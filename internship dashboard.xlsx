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patel\Downloads\Excel, ivy\"/>
    </mc:Choice>
  </mc:AlternateContent>
  <xr:revisionPtr revIDLastSave="0" documentId="13_ncr:1_{77C2182C-8D86-432F-AA92-1D93D36EB9CA}" xr6:coauthVersionLast="47" xr6:coauthVersionMax="47" xr10:uidLastSave="{00000000-0000-0000-0000-000000000000}"/>
  <bookViews>
    <workbookView xWindow="-108" yWindow="-108" windowWidth="23256" windowHeight="12456" activeTab="3" xr2:uid="{AB70DA44-5AC3-47E7-8979-50359B0C1B0D}"/>
  </bookViews>
  <sheets>
    <sheet name="Orders" sheetId="1" r:id="rId1"/>
    <sheet name="OrderLines" sheetId="2" r:id="rId2"/>
    <sheet name="pivot charts" sheetId="13" r:id="rId3"/>
    <sheet name="Dashboard" sheetId="14" r:id="rId4"/>
    <sheet name="Day 2 Ans" sheetId="9" r:id="rId5"/>
    <sheet name="Day 4 Ans" sheetId="11" r:id="rId6"/>
    <sheet name="Daily Summary" sheetId="12" r:id="rId7"/>
    <sheet name="Menu (Day 6 Ans)" sheetId="3" r:id="rId8"/>
    <sheet name="Staff" sheetId="4" r:id="rId9"/>
    <sheet name="Inventory" sheetId="5" r:id="rId10"/>
    <sheet name="Suppliers" sheetId="6" r:id="rId11"/>
    <sheet name="WasteLog" sheetId="7" r:id="rId12"/>
    <sheet name="Feedback" sheetId="8" r:id="rId13"/>
  </sheets>
  <definedNames>
    <definedName name="_xlnm._FilterDatabase" localSheetId="6" hidden="1">'Daily Summary'!$B$1:$E$63</definedName>
    <definedName name="_xlnm._FilterDatabase" localSheetId="12" hidden="1">Feedback!$A$1:$D$221</definedName>
    <definedName name="_xlnm._FilterDatabase" localSheetId="9" hidden="1">Inventory!$A$1:$E$20</definedName>
    <definedName name="_xlnm._FilterDatabase" localSheetId="7" hidden="1">'Menu (Day 6 Ans)'!$A$1:$F$20</definedName>
    <definedName name="_xlnm._FilterDatabase" localSheetId="1" hidden="1">OrderLines!#REF!</definedName>
    <definedName name="_xlnm._FilterDatabase" localSheetId="0" hidden="1">Orders!$A$1:$G$361</definedName>
    <definedName name="_xlnm._FilterDatabase" localSheetId="8" hidden="1">Staff!$A$1:$E$19</definedName>
    <definedName name="_xlnm._FilterDatabase" localSheetId="10" hidden="1">Suppliers!$A$1:$D$11</definedName>
    <definedName name="_xlnm._FilterDatabase" localSheetId="11" hidden="1">WasteLog!$A$1:$D$121</definedName>
    <definedName name="_xlcn.WorksheetConnection_Shibipatel_Day_6.xlsxOrderLines1" hidden="1">OrderLines[]</definedName>
    <definedName name="Category" localSheetId="7">'Menu (Day 6 Ans)'!$C$2:$C$20</definedName>
    <definedName name="Category">OrderLines!$F$2:$F$925</definedName>
    <definedName name="ItemName">'Menu (Day 6 Ans)'!$B$2:$B$20</definedName>
    <definedName name="OrderID">OrderLines!$A$2:$A$925</definedName>
    <definedName name="Qty">OrderLines!$C$2:$C$925</definedName>
    <definedName name="SKU" localSheetId="7">'Menu (Day 6 Ans)'!$A$2:$A$20</definedName>
    <definedName name="SKU">OrderLines!$B$2:$B$925</definedName>
    <definedName name="Slicer_Branch1">#N/A</definedName>
    <definedName name="Slicer_Shift1">#N/A</definedName>
    <definedName name="SupplierID">'Menu (Day 6 Ans)'!$D$2:$D$20</definedName>
    <definedName name="UnitCost" localSheetId="7">'Menu (Day 6 Ans)'!$E$2:$E$20</definedName>
    <definedName name="UnitCost">OrderLines!$E$2:$E$925</definedName>
    <definedName name="UnitPrice" localSheetId="7">'Menu (Day 6 Ans)'!$F$2:$F$20</definedName>
    <definedName name="UnitPrice">OrderLines!$D$2:$D$925</definedName>
  </definedNames>
  <calcPr calcId="191029"/>
  <pivotCaches>
    <pivotCache cacheId="4" r:id="rId14"/>
    <pivotCache cacheId="5" r:id="rId15"/>
    <pivotCache cacheId="47" r:id="rId16"/>
    <pivotCache cacheId="50" r:id="rId17"/>
    <pivotCache cacheId="53" r:id="rId18"/>
    <pivotCache cacheId="56"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Lines" name="OrderLines" connection="WorksheetConnection_Shibipatel_Day_6.xlsx!OrderLin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7" i="13" l="1"/>
  <c r="AH35" i="14"/>
  <c r="AI35" i="14"/>
  <c r="AG35" i="14"/>
  <c r="AH33" i="14"/>
  <c r="AG33" i="14"/>
  <c r="AH31" i="14"/>
  <c r="AG31" i="14"/>
  <c r="AH29" i="14"/>
  <c r="AG29" i="14"/>
  <c r="AA8" i="14"/>
  <c r="E105" i="13"/>
  <c r="AI31" i="14" s="1"/>
  <c r="E106" i="13"/>
  <c r="AI33" i="14" s="1"/>
  <c r="E104" i="13"/>
  <c r="AI29" i="14" s="1"/>
  <c r="V8" i="14"/>
  <c r="Q8" i="14"/>
  <c r="L8" i="14"/>
  <c r="G8" i="14"/>
  <c r="B8" i="14"/>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2"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2" i="12"/>
  <c r="P37" i="14" a="1"/>
  <c r="E71" i="13"/>
  <c r="F71" i="13"/>
  <c r="F57" i="13"/>
  <c r="F58" i="13"/>
  <c r="F59" i="13"/>
  <c r="F60" i="13"/>
  <c r="F61" i="13"/>
  <c r="F62" i="13"/>
  <c r="F63" i="13"/>
  <c r="F64" i="13"/>
  <c r="F65" i="13"/>
  <c r="F66" i="13"/>
  <c r="F67" i="13"/>
  <c r="F68" i="13"/>
  <c r="F69" i="13"/>
  <c r="F70" i="13"/>
  <c r="E57" i="13"/>
  <c r="E58" i="13"/>
  <c r="E59" i="13"/>
  <c r="E60" i="13"/>
  <c r="E61" i="13"/>
  <c r="E62" i="13"/>
  <c r="E63" i="13"/>
  <c r="E64" i="13"/>
  <c r="E65" i="13"/>
  <c r="E66" i="13"/>
  <c r="E67" i="13"/>
  <c r="E68" i="13"/>
  <c r="E69" i="13"/>
  <c r="E70" i="13"/>
  <c r="X42" i="14"/>
  <c r="F78" i="13"/>
  <c r="U37" i="14" a="1"/>
  <c r="G78" i="13"/>
  <c r="F2" i="5"/>
  <c r="F3" i="5"/>
  <c r="F4" i="5"/>
  <c r="F5" i="5"/>
  <c r="F6" i="5"/>
  <c r="F7" i="5"/>
  <c r="F8" i="5"/>
  <c r="F9" i="5"/>
  <c r="F10" i="5"/>
  <c r="F11" i="5"/>
  <c r="F12" i="5"/>
  <c r="F13" i="5"/>
  <c r="F14" i="5"/>
  <c r="F15" i="5"/>
  <c r="F16" i="5"/>
  <c r="F17" i="5"/>
  <c r="F18" i="5"/>
  <c r="F19" i="5"/>
  <c r="F20" i="5"/>
  <c r="D78" i="13" a="1"/>
  <c r="C78" i="13" a="1"/>
  <c r="Q23" i="13"/>
  <c r="N31" i="13" s="1"/>
  <c r="Q24" i="13"/>
  <c r="N32" i="13" s="1"/>
  <c r="P23" i="13"/>
  <c r="P24" i="13"/>
  <c r="O24" i="13"/>
  <c r="O23" i="13"/>
  <c r="N24" i="13"/>
  <c r="N23" i="13"/>
  <c r="D2" i="13"/>
  <c r="K5" i="3"/>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H2" i="2" a="1"/>
  <c r="H3" i="2" a="1"/>
  <c r="H4" i="2" a="1"/>
  <c r="H5" i="2" a="1"/>
  <c r="H6" i="2" a="1"/>
  <c r="H7" i="2" a="1"/>
  <c r="H8" i="2" a="1"/>
  <c r="H9" i="2" a="1"/>
  <c r="H10" i="2" a="1"/>
  <c r="H11" i="2" a="1"/>
  <c r="H12" i="2" a="1"/>
  <c r="H13" i="2" a="1"/>
  <c r="H14" i="2" a="1"/>
  <c r="H15" i="2" a="1"/>
  <c r="H16" i="2" a="1"/>
  <c r="H17" i="2" a="1"/>
  <c r="H18" i="2" a="1"/>
  <c r="H19" i="2" a="1"/>
  <c r="H20" i="2" a="1"/>
  <c r="H21" i="2" a="1"/>
  <c r="H22" i="2" a="1"/>
  <c r="H23" i="2" a="1"/>
  <c r="H24" i="2" a="1"/>
  <c r="H25" i="2" a="1"/>
  <c r="H26" i="2" a="1"/>
  <c r="H27" i="2" a="1"/>
  <c r="H28" i="2" a="1"/>
  <c r="H29" i="2" a="1"/>
  <c r="H30" i="2" a="1"/>
  <c r="H31" i="2" a="1"/>
  <c r="H32" i="2" a="1"/>
  <c r="H33" i="2" a="1"/>
  <c r="H34" i="2" a="1"/>
  <c r="H35" i="2" a="1"/>
  <c r="H36" i="2" a="1"/>
  <c r="H37" i="2" a="1"/>
  <c r="H38" i="2" a="1"/>
  <c r="H39" i="2" a="1"/>
  <c r="H40" i="2" a="1"/>
  <c r="H41" i="2" a="1"/>
  <c r="H42" i="2" a="1"/>
  <c r="H43" i="2" a="1"/>
  <c r="H44" i="2" a="1"/>
  <c r="H45" i="2" a="1"/>
  <c r="H46" i="2" a="1"/>
  <c r="H47" i="2" a="1"/>
  <c r="H48" i="2" a="1"/>
  <c r="H49" i="2" a="1"/>
  <c r="H50" i="2" a="1"/>
  <c r="H51" i="2" a="1"/>
  <c r="H52" i="2" a="1"/>
  <c r="H53" i="2" a="1"/>
  <c r="H54" i="2" a="1"/>
  <c r="H55" i="2" a="1"/>
  <c r="H56" i="2" a="1"/>
  <c r="H57" i="2" a="1"/>
  <c r="H58" i="2" a="1"/>
  <c r="H59" i="2" a="1"/>
  <c r="H60" i="2" a="1"/>
  <c r="H61" i="2" a="1"/>
  <c r="H62" i="2" a="1"/>
  <c r="H63" i="2" a="1"/>
  <c r="H64" i="2" a="1"/>
  <c r="H65" i="2" a="1"/>
  <c r="H66" i="2" a="1"/>
  <c r="H67" i="2" a="1"/>
  <c r="H68" i="2" a="1"/>
  <c r="H69" i="2" a="1"/>
  <c r="H70" i="2" a="1"/>
  <c r="H71" i="2" a="1"/>
  <c r="H72" i="2" a="1"/>
  <c r="H73" i="2" a="1"/>
  <c r="H74" i="2" a="1"/>
  <c r="H75" i="2" a="1"/>
  <c r="H76" i="2" a="1"/>
  <c r="H77" i="2" a="1"/>
  <c r="H78" i="2" a="1"/>
  <c r="H79" i="2" a="1"/>
  <c r="H80" i="2" a="1"/>
  <c r="H81" i="2" a="1"/>
  <c r="H82" i="2" a="1"/>
  <c r="H83" i="2" a="1"/>
  <c r="H84" i="2" a="1"/>
  <c r="H85" i="2" a="1"/>
  <c r="H86" i="2" a="1"/>
  <c r="H87" i="2" a="1"/>
  <c r="H88" i="2" a="1"/>
  <c r="H89" i="2" a="1"/>
  <c r="H90" i="2" a="1"/>
  <c r="H91" i="2" a="1"/>
  <c r="H92" i="2" a="1"/>
  <c r="H93" i="2" a="1"/>
  <c r="H94" i="2" a="1"/>
  <c r="H95" i="2" a="1"/>
  <c r="H96" i="2" a="1"/>
  <c r="H97" i="2" a="1"/>
  <c r="H98" i="2" a="1"/>
  <c r="H99" i="2" a="1"/>
  <c r="H100" i="2" a="1"/>
  <c r="H101" i="2" a="1"/>
  <c r="H102" i="2" a="1"/>
  <c r="H103" i="2" a="1"/>
  <c r="H104" i="2" a="1"/>
  <c r="H105" i="2" a="1"/>
  <c r="H106" i="2" a="1"/>
  <c r="H107" i="2" a="1"/>
  <c r="H108" i="2" a="1"/>
  <c r="H109" i="2" a="1"/>
  <c r="H110" i="2" a="1"/>
  <c r="H111" i="2" a="1"/>
  <c r="H112" i="2" a="1"/>
  <c r="H113" i="2" a="1"/>
  <c r="H114" i="2" a="1"/>
  <c r="H115" i="2" a="1"/>
  <c r="H116" i="2" a="1"/>
  <c r="H117" i="2" a="1"/>
  <c r="H118" i="2" a="1"/>
  <c r="H119" i="2" a="1"/>
  <c r="H120" i="2" a="1"/>
  <c r="H121" i="2" a="1"/>
  <c r="H122" i="2" a="1"/>
  <c r="H123" i="2" a="1"/>
  <c r="H124" i="2" a="1"/>
  <c r="H125" i="2" a="1"/>
  <c r="H126" i="2" a="1"/>
  <c r="H127" i="2" a="1"/>
  <c r="H128" i="2" a="1"/>
  <c r="H129" i="2" a="1"/>
  <c r="H130" i="2" a="1"/>
  <c r="H131" i="2" a="1"/>
  <c r="H132" i="2" a="1"/>
  <c r="H133" i="2" a="1"/>
  <c r="H134" i="2" a="1"/>
  <c r="H135" i="2" a="1"/>
  <c r="H136" i="2" a="1"/>
  <c r="H137" i="2" a="1"/>
  <c r="H138" i="2" a="1"/>
  <c r="H139" i="2" a="1"/>
  <c r="H140" i="2" a="1"/>
  <c r="H141" i="2" a="1"/>
  <c r="H142" i="2" a="1"/>
  <c r="H143" i="2" a="1"/>
  <c r="H144" i="2" a="1"/>
  <c r="H145" i="2" a="1"/>
  <c r="H146" i="2" a="1"/>
  <c r="H147" i="2" a="1"/>
  <c r="H148" i="2" a="1"/>
  <c r="H149" i="2" a="1"/>
  <c r="H150" i="2" a="1"/>
  <c r="H151" i="2" a="1"/>
  <c r="H152" i="2" a="1"/>
  <c r="H153" i="2" a="1"/>
  <c r="H154" i="2" a="1"/>
  <c r="H155" i="2" a="1"/>
  <c r="H156" i="2" a="1"/>
  <c r="H157" i="2" a="1"/>
  <c r="H158" i="2" a="1"/>
  <c r="H159" i="2" a="1"/>
  <c r="H160" i="2" a="1"/>
  <c r="H161" i="2" a="1"/>
  <c r="H162" i="2" a="1"/>
  <c r="H163" i="2" a="1"/>
  <c r="H164" i="2" a="1"/>
  <c r="H165" i="2" a="1"/>
  <c r="H166" i="2" a="1"/>
  <c r="H167" i="2" a="1"/>
  <c r="H168" i="2" a="1"/>
  <c r="H169" i="2" a="1"/>
  <c r="H170" i="2" a="1"/>
  <c r="H171" i="2" a="1"/>
  <c r="H172" i="2" a="1"/>
  <c r="H173" i="2" a="1"/>
  <c r="H174" i="2" a="1"/>
  <c r="H175" i="2" a="1"/>
  <c r="H176" i="2" a="1"/>
  <c r="H177" i="2" a="1"/>
  <c r="H178" i="2" a="1"/>
  <c r="H179" i="2" a="1"/>
  <c r="H180" i="2" a="1"/>
  <c r="H181" i="2" a="1"/>
  <c r="H182" i="2" a="1"/>
  <c r="H183" i="2" a="1"/>
  <c r="H184" i="2" a="1"/>
  <c r="H185" i="2" a="1"/>
  <c r="H186" i="2" a="1"/>
  <c r="H187" i="2" a="1"/>
  <c r="H188" i="2" a="1"/>
  <c r="H189" i="2" a="1"/>
  <c r="H190" i="2" a="1"/>
  <c r="H191" i="2" a="1"/>
  <c r="H192" i="2" a="1"/>
  <c r="H193" i="2" a="1"/>
  <c r="H194" i="2" a="1"/>
  <c r="H195" i="2" a="1"/>
  <c r="H196" i="2" a="1"/>
  <c r="H197" i="2" a="1"/>
  <c r="H198" i="2" a="1"/>
  <c r="H199" i="2" a="1"/>
  <c r="H200" i="2" a="1"/>
  <c r="H201" i="2" a="1"/>
  <c r="H202" i="2" a="1"/>
  <c r="H203" i="2" a="1"/>
  <c r="H204" i="2" a="1"/>
  <c r="H205" i="2" a="1"/>
  <c r="H206" i="2" a="1"/>
  <c r="H207" i="2" a="1"/>
  <c r="H208" i="2" a="1"/>
  <c r="H209" i="2" a="1"/>
  <c r="H210" i="2" a="1"/>
  <c r="H211" i="2" a="1"/>
  <c r="H212" i="2" a="1"/>
  <c r="H213" i="2" a="1"/>
  <c r="H214" i="2" a="1"/>
  <c r="H215" i="2" a="1"/>
  <c r="H216" i="2" a="1"/>
  <c r="H217" i="2" a="1"/>
  <c r="H218" i="2" a="1"/>
  <c r="H219" i="2" a="1"/>
  <c r="H220" i="2" a="1"/>
  <c r="H221" i="2" a="1"/>
  <c r="H222" i="2" a="1"/>
  <c r="H223" i="2" a="1"/>
  <c r="H224" i="2" a="1"/>
  <c r="H225" i="2" a="1"/>
  <c r="H226" i="2" a="1"/>
  <c r="H227" i="2" a="1"/>
  <c r="H228" i="2" a="1"/>
  <c r="H229" i="2" a="1"/>
  <c r="H230" i="2" a="1"/>
  <c r="H231" i="2" a="1"/>
  <c r="H232" i="2" a="1"/>
  <c r="H233" i="2" a="1"/>
  <c r="H234" i="2" a="1"/>
  <c r="H235" i="2" a="1"/>
  <c r="H236" i="2" a="1"/>
  <c r="H237" i="2" a="1"/>
  <c r="H238" i="2" a="1"/>
  <c r="H239" i="2" a="1"/>
  <c r="H240" i="2" a="1"/>
  <c r="H241" i="2" a="1"/>
  <c r="H242" i="2" a="1"/>
  <c r="H243" i="2" a="1"/>
  <c r="H244" i="2" a="1"/>
  <c r="H245" i="2" a="1"/>
  <c r="H246" i="2" a="1"/>
  <c r="H247" i="2" a="1"/>
  <c r="H248" i="2" a="1"/>
  <c r="H249" i="2" a="1"/>
  <c r="H250" i="2" a="1"/>
  <c r="H251" i="2" a="1"/>
  <c r="H252" i="2" a="1"/>
  <c r="H253" i="2" a="1"/>
  <c r="H254" i="2" a="1"/>
  <c r="H255" i="2" a="1"/>
  <c r="H256" i="2" a="1"/>
  <c r="H257" i="2" a="1"/>
  <c r="H258" i="2" a="1"/>
  <c r="H259" i="2" a="1"/>
  <c r="H260" i="2" a="1"/>
  <c r="H261" i="2" a="1"/>
  <c r="H262" i="2" a="1"/>
  <c r="H263" i="2" a="1"/>
  <c r="H264" i="2" a="1"/>
  <c r="H265" i="2" a="1"/>
  <c r="H266" i="2" a="1"/>
  <c r="H267" i="2" a="1"/>
  <c r="H268" i="2" a="1"/>
  <c r="H269" i="2" a="1"/>
  <c r="H270" i="2" a="1"/>
  <c r="H271" i="2" a="1"/>
  <c r="H272" i="2" a="1"/>
  <c r="H273" i="2" a="1"/>
  <c r="H274" i="2" a="1"/>
  <c r="H275" i="2" a="1"/>
  <c r="H276" i="2" a="1"/>
  <c r="H277" i="2" a="1"/>
  <c r="H278" i="2" a="1"/>
  <c r="H279" i="2" a="1"/>
  <c r="H280" i="2" a="1"/>
  <c r="H281" i="2" a="1"/>
  <c r="H282" i="2" a="1"/>
  <c r="H283" i="2" a="1"/>
  <c r="H284" i="2" a="1"/>
  <c r="H285" i="2" a="1"/>
  <c r="H286" i="2" a="1"/>
  <c r="H287" i="2" a="1"/>
  <c r="H288" i="2" a="1"/>
  <c r="H289" i="2" a="1"/>
  <c r="H290" i="2" a="1"/>
  <c r="H291" i="2" a="1"/>
  <c r="H292" i="2" a="1"/>
  <c r="H293" i="2" a="1"/>
  <c r="H294" i="2" a="1"/>
  <c r="H295" i="2" a="1"/>
  <c r="H296" i="2" a="1"/>
  <c r="H297" i="2" a="1"/>
  <c r="H298" i="2" a="1"/>
  <c r="H299" i="2" a="1"/>
  <c r="H300" i="2" a="1"/>
  <c r="H301" i="2" a="1"/>
  <c r="H302" i="2" a="1"/>
  <c r="H303" i="2" a="1"/>
  <c r="H304" i="2" a="1"/>
  <c r="H305" i="2" a="1"/>
  <c r="H306" i="2" a="1"/>
  <c r="H307" i="2" a="1"/>
  <c r="H308" i="2" a="1"/>
  <c r="H309" i="2" a="1"/>
  <c r="H310" i="2" a="1"/>
  <c r="H311" i="2" a="1"/>
  <c r="H312" i="2" a="1"/>
  <c r="H313" i="2" a="1"/>
  <c r="H314" i="2" a="1"/>
  <c r="H315" i="2" a="1"/>
  <c r="H316" i="2" a="1"/>
  <c r="H317" i="2" a="1"/>
  <c r="H318" i="2" a="1"/>
  <c r="H319" i="2" a="1"/>
  <c r="H320" i="2" a="1"/>
  <c r="H321" i="2" a="1"/>
  <c r="H322" i="2" a="1"/>
  <c r="H323" i="2" a="1"/>
  <c r="H324" i="2" a="1"/>
  <c r="H325" i="2" a="1"/>
  <c r="H326" i="2" a="1"/>
  <c r="H327" i="2" a="1"/>
  <c r="H328" i="2" a="1"/>
  <c r="H329" i="2" a="1"/>
  <c r="H330" i="2" a="1"/>
  <c r="H331" i="2" a="1"/>
  <c r="H332" i="2" a="1"/>
  <c r="H333" i="2" a="1"/>
  <c r="H334" i="2" a="1"/>
  <c r="H335" i="2" a="1"/>
  <c r="H336" i="2" a="1"/>
  <c r="H337" i="2" a="1"/>
  <c r="H338" i="2" a="1"/>
  <c r="H339" i="2" a="1"/>
  <c r="H340" i="2" a="1"/>
  <c r="H341" i="2" a="1"/>
  <c r="H342" i="2" a="1"/>
  <c r="H343" i="2" a="1"/>
  <c r="H344" i="2" a="1"/>
  <c r="H345" i="2" a="1"/>
  <c r="H346" i="2" a="1"/>
  <c r="H347" i="2" a="1"/>
  <c r="H348" i="2" a="1"/>
  <c r="H349" i="2" a="1"/>
  <c r="H350" i="2" a="1"/>
  <c r="H351" i="2" a="1"/>
  <c r="H352" i="2" a="1"/>
  <c r="H353" i="2" a="1"/>
  <c r="H354" i="2" a="1"/>
  <c r="H355" i="2" a="1"/>
  <c r="H356" i="2" a="1"/>
  <c r="H357" i="2" a="1"/>
  <c r="H358" i="2" a="1"/>
  <c r="H359" i="2" a="1"/>
  <c r="H360" i="2" a="1"/>
  <c r="H361" i="2" a="1"/>
  <c r="H362" i="2" a="1"/>
  <c r="H363" i="2" a="1"/>
  <c r="H364" i="2" a="1"/>
  <c r="H365" i="2" a="1"/>
  <c r="H366" i="2" a="1"/>
  <c r="H367" i="2" a="1"/>
  <c r="H368" i="2" a="1"/>
  <c r="H369" i="2" a="1"/>
  <c r="H370" i="2" a="1"/>
  <c r="H371" i="2" a="1"/>
  <c r="H372" i="2" a="1"/>
  <c r="H373" i="2" a="1"/>
  <c r="H374" i="2" a="1"/>
  <c r="H375" i="2" a="1"/>
  <c r="H376" i="2" a="1"/>
  <c r="H377" i="2" a="1"/>
  <c r="H378" i="2" a="1"/>
  <c r="H379" i="2" a="1"/>
  <c r="H380" i="2" a="1"/>
  <c r="H381" i="2" a="1"/>
  <c r="H382" i="2" a="1"/>
  <c r="H383" i="2" a="1"/>
  <c r="H384" i="2" a="1"/>
  <c r="H385" i="2" a="1"/>
  <c r="H386" i="2" a="1"/>
  <c r="H387" i="2" a="1"/>
  <c r="H388" i="2" a="1"/>
  <c r="H389" i="2" a="1"/>
  <c r="H390" i="2" a="1"/>
  <c r="H391" i="2" a="1"/>
  <c r="H392" i="2" a="1"/>
  <c r="H393" i="2" a="1"/>
  <c r="H394" i="2" a="1"/>
  <c r="H395" i="2" a="1"/>
  <c r="H396" i="2" a="1"/>
  <c r="H397" i="2" a="1"/>
  <c r="H398" i="2" a="1"/>
  <c r="H399" i="2" a="1"/>
  <c r="H400" i="2" a="1"/>
  <c r="H401" i="2" a="1"/>
  <c r="H402" i="2" a="1"/>
  <c r="H403" i="2" a="1"/>
  <c r="H404" i="2" a="1"/>
  <c r="H405" i="2" a="1"/>
  <c r="H406" i="2" a="1"/>
  <c r="H407" i="2" a="1"/>
  <c r="H408" i="2" a="1"/>
  <c r="H409" i="2" a="1"/>
  <c r="H410" i="2" a="1"/>
  <c r="H411" i="2" a="1"/>
  <c r="H412" i="2" a="1"/>
  <c r="H413" i="2" a="1"/>
  <c r="H414" i="2" a="1"/>
  <c r="H415" i="2" a="1"/>
  <c r="H416" i="2" a="1"/>
  <c r="H417" i="2" a="1"/>
  <c r="H418" i="2" a="1"/>
  <c r="H419" i="2" a="1"/>
  <c r="H420" i="2" a="1"/>
  <c r="H421" i="2" a="1"/>
  <c r="H422" i="2" a="1"/>
  <c r="H423" i="2" a="1"/>
  <c r="H424" i="2" a="1"/>
  <c r="H425" i="2" a="1"/>
  <c r="H426" i="2" a="1"/>
  <c r="H427" i="2" a="1"/>
  <c r="H428" i="2" a="1"/>
  <c r="H429" i="2" a="1"/>
  <c r="H430" i="2" a="1"/>
  <c r="H431" i="2" a="1"/>
  <c r="H432" i="2" a="1"/>
  <c r="H433" i="2" a="1"/>
  <c r="H434" i="2" a="1"/>
  <c r="H435" i="2" a="1"/>
  <c r="H436" i="2" a="1"/>
  <c r="H437" i="2" a="1"/>
  <c r="H438" i="2" a="1"/>
  <c r="H439" i="2" a="1"/>
  <c r="H440" i="2" a="1"/>
  <c r="H441" i="2" a="1"/>
  <c r="H442" i="2" a="1"/>
  <c r="H443" i="2" a="1"/>
  <c r="H444" i="2" a="1"/>
  <c r="H445" i="2" a="1"/>
  <c r="H446" i="2" a="1"/>
  <c r="H447" i="2" a="1"/>
  <c r="H448" i="2" a="1"/>
  <c r="H449" i="2" a="1"/>
  <c r="H450" i="2" a="1"/>
  <c r="H451" i="2" a="1"/>
  <c r="H452" i="2" a="1"/>
  <c r="H453" i="2" a="1"/>
  <c r="H454" i="2" a="1"/>
  <c r="H455" i="2" a="1"/>
  <c r="H456" i="2" a="1"/>
  <c r="H457" i="2" a="1"/>
  <c r="H458" i="2" a="1"/>
  <c r="H459" i="2" a="1"/>
  <c r="H460" i="2" a="1"/>
  <c r="H461" i="2" a="1"/>
  <c r="H462" i="2" a="1"/>
  <c r="H463" i="2" a="1"/>
  <c r="H464" i="2" a="1"/>
  <c r="H465" i="2" a="1"/>
  <c r="H466" i="2" a="1"/>
  <c r="H467" i="2" a="1"/>
  <c r="H468" i="2" a="1"/>
  <c r="H469" i="2" a="1"/>
  <c r="H470" i="2" a="1"/>
  <c r="H471" i="2" a="1"/>
  <c r="H472" i="2" a="1"/>
  <c r="H473" i="2" a="1"/>
  <c r="H474" i="2" a="1"/>
  <c r="H475" i="2" a="1"/>
  <c r="H476" i="2" a="1"/>
  <c r="H477" i="2" a="1"/>
  <c r="H478" i="2" a="1"/>
  <c r="H479" i="2" a="1"/>
  <c r="H480" i="2" a="1"/>
  <c r="H481" i="2" a="1"/>
  <c r="H482" i="2" a="1"/>
  <c r="H483" i="2" a="1"/>
  <c r="H484" i="2" a="1"/>
  <c r="H485" i="2" a="1"/>
  <c r="H486" i="2" a="1"/>
  <c r="H487" i="2" a="1"/>
  <c r="H488" i="2" a="1"/>
  <c r="H489" i="2" a="1"/>
  <c r="H490" i="2" a="1"/>
  <c r="H491" i="2" a="1"/>
  <c r="H492" i="2" a="1"/>
  <c r="H493" i="2" a="1"/>
  <c r="H494" i="2" a="1"/>
  <c r="H495" i="2" a="1"/>
  <c r="H496" i="2" a="1"/>
  <c r="H497" i="2" a="1"/>
  <c r="H498" i="2" a="1"/>
  <c r="H499" i="2" a="1"/>
  <c r="H500" i="2" a="1"/>
  <c r="H501" i="2" a="1"/>
  <c r="H502" i="2" a="1"/>
  <c r="H503" i="2" a="1"/>
  <c r="H504" i="2" a="1"/>
  <c r="H505" i="2" a="1"/>
  <c r="H506" i="2" a="1"/>
  <c r="H507" i="2" a="1"/>
  <c r="H508" i="2" a="1"/>
  <c r="H509" i="2" a="1"/>
  <c r="H510" i="2" a="1"/>
  <c r="H511" i="2" a="1"/>
  <c r="H512" i="2" a="1"/>
  <c r="H513" i="2" a="1"/>
  <c r="H514" i="2" a="1"/>
  <c r="H515" i="2" a="1"/>
  <c r="H516" i="2" a="1"/>
  <c r="H517" i="2" a="1"/>
  <c r="H518" i="2" a="1"/>
  <c r="H519" i="2" a="1"/>
  <c r="H520" i="2" a="1"/>
  <c r="H521" i="2" a="1"/>
  <c r="H522" i="2" a="1"/>
  <c r="H523" i="2" a="1"/>
  <c r="H524" i="2" a="1"/>
  <c r="H525" i="2" a="1"/>
  <c r="H526" i="2" a="1"/>
  <c r="H527" i="2" a="1"/>
  <c r="H528" i="2" a="1"/>
  <c r="H529" i="2" a="1"/>
  <c r="H530" i="2" a="1"/>
  <c r="H531" i="2" a="1"/>
  <c r="H532" i="2" a="1"/>
  <c r="H533" i="2" a="1"/>
  <c r="H534" i="2" a="1"/>
  <c r="H535" i="2" a="1"/>
  <c r="H536" i="2" a="1"/>
  <c r="H537" i="2" a="1"/>
  <c r="H538" i="2" a="1"/>
  <c r="H539" i="2" a="1"/>
  <c r="H540" i="2" a="1"/>
  <c r="H541" i="2" a="1"/>
  <c r="H542" i="2" a="1"/>
  <c r="H543" i="2" a="1"/>
  <c r="H544" i="2" a="1"/>
  <c r="H545" i="2" a="1"/>
  <c r="H546" i="2" a="1"/>
  <c r="H547" i="2" a="1"/>
  <c r="H548" i="2" a="1"/>
  <c r="H549" i="2" a="1"/>
  <c r="H550" i="2" a="1"/>
  <c r="H551" i="2" a="1"/>
  <c r="H552" i="2" a="1"/>
  <c r="H553" i="2" a="1"/>
  <c r="H554" i="2" a="1"/>
  <c r="H555" i="2" a="1"/>
  <c r="H556" i="2" a="1"/>
  <c r="H557" i="2" a="1"/>
  <c r="H558" i="2" a="1"/>
  <c r="H559" i="2" a="1"/>
  <c r="H560" i="2" a="1"/>
  <c r="H561" i="2" a="1"/>
  <c r="H562" i="2" a="1"/>
  <c r="H563" i="2" a="1"/>
  <c r="H564" i="2" a="1"/>
  <c r="H565" i="2" a="1"/>
  <c r="H566" i="2" a="1"/>
  <c r="H567" i="2" a="1"/>
  <c r="H568" i="2" a="1"/>
  <c r="H569" i="2" a="1"/>
  <c r="H570" i="2" a="1"/>
  <c r="H571" i="2" a="1"/>
  <c r="H572" i="2" a="1"/>
  <c r="H573" i="2" a="1"/>
  <c r="H574" i="2" a="1"/>
  <c r="H575" i="2" a="1"/>
  <c r="H576" i="2" a="1"/>
  <c r="H577" i="2" a="1"/>
  <c r="H578" i="2" a="1"/>
  <c r="H579" i="2" a="1"/>
  <c r="H580" i="2" a="1"/>
  <c r="H581" i="2" a="1"/>
  <c r="H582" i="2" a="1"/>
  <c r="H583" i="2" a="1"/>
  <c r="H584" i="2" a="1"/>
  <c r="H585" i="2" a="1"/>
  <c r="H586" i="2" a="1"/>
  <c r="H587" i="2" a="1"/>
  <c r="H588" i="2" a="1"/>
  <c r="H589" i="2" a="1"/>
  <c r="H590" i="2" a="1"/>
  <c r="H591" i="2" a="1"/>
  <c r="H592" i="2" a="1"/>
  <c r="H593" i="2" a="1"/>
  <c r="H594" i="2" a="1"/>
  <c r="H595" i="2" a="1"/>
  <c r="H596" i="2" a="1"/>
  <c r="H597" i="2" a="1"/>
  <c r="H598" i="2" a="1"/>
  <c r="H599" i="2" a="1"/>
  <c r="H600" i="2" a="1"/>
  <c r="H601" i="2" a="1"/>
  <c r="H602" i="2" a="1"/>
  <c r="H603" i="2" a="1"/>
  <c r="H604" i="2" a="1"/>
  <c r="H605" i="2" a="1"/>
  <c r="H606" i="2" a="1"/>
  <c r="H607" i="2" a="1"/>
  <c r="H608" i="2" a="1"/>
  <c r="H609" i="2" a="1"/>
  <c r="H610" i="2" a="1"/>
  <c r="H611" i="2" a="1"/>
  <c r="H612" i="2" a="1"/>
  <c r="H613" i="2" a="1"/>
  <c r="H614" i="2" a="1"/>
  <c r="H615" i="2" a="1"/>
  <c r="H616" i="2" a="1"/>
  <c r="H617" i="2" a="1"/>
  <c r="H618" i="2" a="1"/>
  <c r="H619" i="2" a="1"/>
  <c r="H620" i="2" a="1"/>
  <c r="H621" i="2" a="1"/>
  <c r="H622" i="2" a="1"/>
  <c r="H623" i="2" a="1"/>
  <c r="H624" i="2" a="1"/>
  <c r="H625" i="2" a="1"/>
  <c r="H626" i="2" a="1"/>
  <c r="H627" i="2" a="1"/>
  <c r="H628" i="2" a="1"/>
  <c r="H629" i="2" a="1"/>
  <c r="H630" i="2" a="1"/>
  <c r="H631" i="2" a="1"/>
  <c r="H632" i="2" a="1"/>
  <c r="H633" i="2" a="1"/>
  <c r="H634" i="2" a="1"/>
  <c r="H635" i="2" a="1"/>
  <c r="H636" i="2" a="1"/>
  <c r="H637" i="2" a="1"/>
  <c r="H638" i="2" a="1"/>
  <c r="H639" i="2" a="1"/>
  <c r="H640" i="2" a="1"/>
  <c r="H641" i="2" a="1"/>
  <c r="H642" i="2" a="1"/>
  <c r="H643" i="2" a="1"/>
  <c r="H644" i="2" a="1"/>
  <c r="H645" i="2" a="1"/>
  <c r="H646" i="2" a="1"/>
  <c r="H647" i="2" a="1"/>
  <c r="H648" i="2" a="1"/>
  <c r="H649" i="2" a="1"/>
  <c r="H650" i="2" a="1"/>
  <c r="H651" i="2" a="1"/>
  <c r="H652" i="2" a="1"/>
  <c r="H653" i="2" a="1"/>
  <c r="H654" i="2" a="1"/>
  <c r="H655" i="2" a="1"/>
  <c r="H656" i="2" a="1"/>
  <c r="H657" i="2" a="1"/>
  <c r="H658" i="2" a="1"/>
  <c r="H659" i="2" a="1"/>
  <c r="H660" i="2" a="1"/>
  <c r="H661" i="2" a="1"/>
  <c r="H662" i="2" a="1"/>
  <c r="H663" i="2" a="1"/>
  <c r="H664" i="2" a="1"/>
  <c r="H665" i="2" a="1"/>
  <c r="H666" i="2" a="1"/>
  <c r="H667" i="2" a="1"/>
  <c r="H668" i="2" a="1"/>
  <c r="H669" i="2" a="1"/>
  <c r="H670" i="2" a="1"/>
  <c r="H671" i="2" a="1"/>
  <c r="H672" i="2" a="1"/>
  <c r="H673" i="2" a="1"/>
  <c r="H674" i="2" a="1"/>
  <c r="H675" i="2" a="1"/>
  <c r="H676" i="2" a="1"/>
  <c r="H677" i="2" a="1"/>
  <c r="H678" i="2" a="1"/>
  <c r="H679" i="2" a="1"/>
  <c r="H680" i="2" a="1"/>
  <c r="H681" i="2" a="1"/>
  <c r="H682" i="2" a="1"/>
  <c r="H683" i="2" a="1"/>
  <c r="H684" i="2" a="1"/>
  <c r="H685" i="2" a="1"/>
  <c r="H686" i="2" a="1"/>
  <c r="H687" i="2" a="1"/>
  <c r="H688" i="2" a="1"/>
  <c r="H689" i="2" a="1"/>
  <c r="H690" i="2" a="1"/>
  <c r="H691" i="2" a="1"/>
  <c r="H692" i="2" a="1"/>
  <c r="H693" i="2" a="1"/>
  <c r="H694" i="2" a="1"/>
  <c r="H695" i="2" a="1"/>
  <c r="H696" i="2" a="1"/>
  <c r="H697" i="2" a="1"/>
  <c r="H698" i="2" a="1"/>
  <c r="H699" i="2" a="1"/>
  <c r="H700" i="2" a="1"/>
  <c r="H701" i="2" a="1"/>
  <c r="H702" i="2" a="1"/>
  <c r="H703" i="2" a="1"/>
  <c r="H704" i="2" a="1"/>
  <c r="H705" i="2" a="1"/>
  <c r="H706" i="2" a="1"/>
  <c r="H707" i="2" a="1"/>
  <c r="H708" i="2" a="1"/>
  <c r="H709" i="2" a="1"/>
  <c r="H710" i="2" a="1"/>
  <c r="H711" i="2" a="1"/>
  <c r="H712" i="2" a="1"/>
  <c r="H713" i="2" a="1"/>
  <c r="H714" i="2" a="1"/>
  <c r="H715" i="2" a="1"/>
  <c r="H716" i="2" a="1"/>
  <c r="H717" i="2" a="1"/>
  <c r="H718" i="2" a="1"/>
  <c r="H719" i="2" a="1"/>
  <c r="H720" i="2" a="1"/>
  <c r="H721" i="2" a="1"/>
  <c r="H722" i="2" a="1"/>
  <c r="H723" i="2" a="1"/>
  <c r="H724" i="2" a="1"/>
  <c r="H725" i="2" a="1"/>
  <c r="H726" i="2" a="1"/>
  <c r="H727" i="2" a="1"/>
  <c r="H728" i="2" a="1"/>
  <c r="H729" i="2" a="1"/>
  <c r="H730" i="2" a="1"/>
  <c r="H731" i="2" a="1"/>
  <c r="H732" i="2" a="1"/>
  <c r="H733" i="2" a="1"/>
  <c r="H734" i="2" a="1"/>
  <c r="H735" i="2" a="1"/>
  <c r="H736" i="2" a="1"/>
  <c r="H737" i="2" a="1"/>
  <c r="H738" i="2" a="1"/>
  <c r="H739" i="2" a="1"/>
  <c r="H740" i="2" a="1"/>
  <c r="H741" i="2" a="1"/>
  <c r="H742" i="2" a="1"/>
  <c r="H743" i="2" a="1"/>
  <c r="H744" i="2" a="1"/>
  <c r="H745" i="2" a="1"/>
  <c r="H746" i="2" a="1"/>
  <c r="H747" i="2" a="1"/>
  <c r="H748" i="2" a="1"/>
  <c r="H749" i="2" a="1"/>
  <c r="H750" i="2" a="1"/>
  <c r="H751" i="2" a="1"/>
  <c r="H752" i="2" a="1"/>
  <c r="H753" i="2" a="1"/>
  <c r="H754" i="2" a="1"/>
  <c r="H755" i="2" a="1"/>
  <c r="H756" i="2" a="1"/>
  <c r="H757" i="2" a="1"/>
  <c r="H758" i="2" a="1"/>
  <c r="H759" i="2" a="1"/>
  <c r="H760" i="2" a="1"/>
  <c r="H761" i="2" a="1"/>
  <c r="H762" i="2" a="1"/>
  <c r="H763" i="2" a="1"/>
  <c r="H764" i="2" a="1"/>
  <c r="H765" i="2" a="1"/>
  <c r="H766" i="2" a="1"/>
  <c r="H767" i="2" a="1"/>
  <c r="H768" i="2" a="1"/>
  <c r="H769" i="2" a="1"/>
  <c r="H770" i="2" a="1"/>
  <c r="H771" i="2" a="1"/>
  <c r="H772" i="2" a="1"/>
  <c r="H773" i="2" a="1"/>
  <c r="H774" i="2" a="1"/>
  <c r="H775" i="2" a="1"/>
  <c r="H776" i="2" a="1"/>
  <c r="H777" i="2" a="1"/>
  <c r="H778" i="2" a="1"/>
  <c r="H779" i="2" a="1"/>
  <c r="H780" i="2" a="1"/>
  <c r="H781" i="2" a="1"/>
  <c r="H782" i="2" a="1"/>
  <c r="H783" i="2" a="1"/>
  <c r="H784" i="2" a="1"/>
  <c r="H785" i="2" a="1"/>
  <c r="H786" i="2" a="1"/>
  <c r="H787" i="2" a="1"/>
  <c r="H788" i="2" a="1"/>
  <c r="H789" i="2" a="1"/>
  <c r="H790" i="2" a="1"/>
  <c r="H791" i="2" a="1"/>
  <c r="H792" i="2" a="1"/>
  <c r="H793" i="2" a="1"/>
  <c r="H794" i="2" a="1"/>
  <c r="H795" i="2" a="1"/>
  <c r="H796" i="2" a="1"/>
  <c r="H797" i="2" a="1"/>
  <c r="H798" i="2" a="1"/>
  <c r="H799" i="2" a="1"/>
  <c r="H800" i="2" a="1"/>
  <c r="H801" i="2" a="1"/>
  <c r="H802" i="2" a="1"/>
  <c r="H803" i="2" a="1"/>
  <c r="H804" i="2" a="1"/>
  <c r="H805" i="2" a="1"/>
  <c r="H806" i="2" a="1"/>
  <c r="H807" i="2" a="1"/>
  <c r="H808" i="2" a="1"/>
  <c r="H809" i="2" a="1"/>
  <c r="H810" i="2" a="1"/>
  <c r="H811" i="2" a="1"/>
  <c r="H812" i="2" a="1"/>
  <c r="H813" i="2" a="1"/>
  <c r="H814" i="2" a="1"/>
  <c r="H815" i="2" a="1"/>
  <c r="H816" i="2" a="1"/>
  <c r="H817" i="2" a="1"/>
  <c r="H818" i="2" a="1"/>
  <c r="H819" i="2" a="1"/>
  <c r="H820" i="2" a="1"/>
  <c r="H821" i="2" a="1"/>
  <c r="H822" i="2" a="1"/>
  <c r="H823" i="2" a="1"/>
  <c r="H824" i="2" a="1"/>
  <c r="H825" i="2" a="1"/>
  <c r="H826" i="2" a="1"/>
  <c r="H827" i="2" a="1"/>
  <c r="H828" i="2" a="1"/>
  <c r="H829" i="2" a="1"/>
  <c r="H830" i="2" a="1"/>
  <c r="H831" i="2" a="1"/>
  <c r="H832" i="2" a="1"/>
  <c r="H833" i="2" a="1"/>
  <c r="H834" i="2" a="1"/>
  <c r="H835" i="2" a="1"/>
  <c r="H836" i="2" a="1"/>
  <c r="H837" i="2" a="1"/>
  <c r="H838" i="2" a="1"/>
  <c r="H839" i="2" a="1"/>
  <c r="H840" i="2" a="1"/>
  <c r="H841" i="2" a="1"/>
  <c r="H842" i="2" a="1"/>
  <c r="H843" i="2" a="1"/>
  <c r="H844" i="2" a="1"/>
  <c r="H845" i="2" a="1"/>
  <c r="H846" i="2" a="1"/>
  <c r="H847" i="2" a="1"/>
  <c r="H848" i="2" a="1"/>
  <c r="H849" i="2" a="1"/>
  <c r="H850" i="2" a="1"/>
  <c r="H851" i="2" a="1"/>
  <c r="H852" i="2" a="1"/>
  <c r="H853" i="2" a="1"/>
  <c r="H854" i="2" a="1"/>
  <c r="H855" i="2" a="1"/>
  <c r="H856" i="2" a="1"/>
  <c r="H857" i="2" a="1"/>
  <c r="H858" i="2" a="1"/>
  <c r="H859" i="2" a="1"/>
  <c r="H860" i="2" a="1"/>
  <c r="H861" i="2" a="1"/>
  <c r="H862" i="2" a="1"/>
  <c r="H863" i="2" a="1"/>
  <c r="H864" i="2" a="1"/>
  <c r="H865" i="2" a="1"/>
  <c r="H866" i="2" a="1"/>
  <c r="H867" i="2" a="1"/>
  <c r="H868" i="2" a="1"/>
  <c r="H869" i="2" a="1"/>
  <c r="H870" i="2" a="1"/>
  <c r="H871" i="2" a="1"/>
  <c r="H872" i="2" a="1"/>
  <c r="H873" i="2" a="1"/>
  <c r="H874" i="2" a="1"/>
  <c r="H875" i="2" a="1"/>
  <c r="H876" i="2" a="1"/>
  <c r="H877" i="2" a="1"/>
  <c r="H878" i="2" a="1"/>
  <c r="H879" i="2" a="1"/>
  <c r="H880" i="2" a="1"/>
  <c r="H881" i="2" a="1"/>
  <c r="H882" i="2" a="1"/>
  <c r="H883" i="2" a="1"/>
  <c r="H884" i="2" a="1"/>
  <c r="H885" i="2" a="1"/>
  <c r="H886" i="2" a="1"/>
  <c r="H887" i="2" a="1"/>
  <c r="H888" i="2" a="1"/>
  <c r="H889" i="2" a="1"/>
  <c r="H890" i="2" a="1"/>
  <c r="H891" i="2" a="1"/>
  <c r="H892" i="2" a="1"/>
  <c r="H893" i="2" a="1"/>
  <c r="H894" i="2" a="1"/>
  <c r="H895" i="2" a="1"/>
  <c r="H896" i="2" a="1"/>
  <c r="H897" i="2" a="1"/>
  <c r="H898" i="2" a="1"/>
  <c r="H899" i="2" a="1"/>
  <c r="H900" i="2" a="1"/>
  <c r="H901" i="2" a="1"/>
  <c r="H902" i="2" a="1"/>
  <c r="H903" i="2" a="1"/>
  <c r="H904" i="2" a="1"/>
  <c r="H905" i="2" a="1"/>
  <c r="H906" i="2" a="1"/>
  <c r="H907" i="2" a="1"/>
  <c r="H908" i="2" a="1"/>
  <c r="H909" i="2" a="1"/>
  <c r="H910" i="2" a="1"/>
  <c r="H911" i="2" a="1"/>
  <c r="H912" i="2" a="1"/>
  <c r="H913" i="2" a="1"/>
  <c r="H914" i="2" a="1"/>
  <c r="H915" i="2" a="1"/>
  <c r="H916" i="2" a="1"/>
  <c r="H917" i="2" a="1"/>
  <c r="H918" i="2" a="1"/>
  <c r="H919" i="2" a="1"/>
  <c r="H920" i="2" a="1"/>
  <c r="H921" i="2" a="1"/>
  <c r="H922" i="2" a="1"/>
  <c r="H923" i="2" a="1"/>
  <c r="H924" i="2" a="1"/>
  <c r="H925" i="2" a="1"/>
  <c r="B2" i="12" a="1"/>
  <c r="K3" i="2" a="1"/>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2" i="2" a="1"/>
  <c r="L3" i="2" a="1"/>
  <c r="L4" i="2" a="1"/>
  <c r="L5" i="2" a="1"/>
  <c r="L6" i="2" a="1"/>
  <c r="L7" i="2" a="1"/>
  <c r="L8" i="2" a="1"/>
  <c r="L9" i="2" a="1"/>
  <c r="L10" i="2" a="1"/>
  <c r="L11" i="2" a="1"/>
  <c r="L12" i="2" a="1"/>
  <c r="L13" i="2" a="1"/>
  <c r="L14" i="2" a="1"/>
  <c r="L15" i="2" a="1"/>
  <c r="L16" i="2" a="1"/>
  <c r="L17" i="2" a="1"/>
  <c r="L18" i="2" a="1"/>
  <c r="L19" i="2" a="1"/>
  <c r="L20" i="2" a="1"/>
  <c r="L21" i="2" a="1"/>
  <c r="L22" i="2" a="1"/>
  <c r="L23" i="2" a="1"/>
  <c r="L24" i="2" a="1"/>
  <c r="L25" i="2" a="1"/>
  <c r="L26" i="2" a="1"/>
  <c r="L27" i="2" a="1"/>
  <c r="L28" i="2" a="1"/>
  <c r="L29" i="2" a="1"/>
  <c r="L30" i="2" a="1"/>
  <c r="L31" i="2" a="1"/>
  <c r="L32" i="2" a="1"/>
  <c r="L33" i="2" a="1"/>
  <c r="L34" i="2" a="1"/>
  <c r="L35" i="2" a="1"/>
  <c r="L36" i="2" a="1"/>
  <c r="L37" i="2" a="1"/>
  <c r="L38" i="2" a="1"/>
  <c r="L39" i="2" a="1"/>
  <c r="L40" i="2" a="1"/>
  <c r="L41" i="2" a="1"/>
  <c r="L42" i="2" a="1"/>
  <c r="L43" i="2" a="1"/>
  <c r="L44" i="2" a="1"/>
  <c r="L45" i="2" a="1"/>
  <c r="L46" i="2" a="1"/>
  <c r="L47" i="2" a="1"/>
  <c r="L48" i="2" a="1"/>
  <c r="L49" i="2" a="1"/>
  <c r="L50" i="2" a="1"/>
  <c r="L51" i="2" a="1"/>
  <c r="L52" i="2" a="1"/>
  <c r="L53" i="2" a="1"/>
  <c r="L54" i="2" a="1"/>
  <c r="L55" i="2" a="1"/>
  <c r="L56" i="2" a="1"/>
  <c r="L57" i="2" a="1"/>
  <c r="L58" i="2" a="1"/>
  <c r="L59" i="2" a="1"/>
  <c r="L60" i="2" a="1"/>
  <c r="L61" i="2" a="1"/>
  <c r="L62" i="2" a="1"/>
  <c r="L63" i="2" a="1"/>
  <c r="L64" i="2" a="1"/>
  <c r="L65" i="2" a="1"/>
  <c r="L66" i="2" a="1"/>
  <c r="L67" i="2" a="1"/>
  <c r="L68" i="2" a="1"/>
  <c r="L69" i="2" a="1"/>
  <c r="L70" i="2" a="1"/>
  <c r="L71" i="2" a="1"/>
  <c r="L72" i="2" a="1"/>
  <c r="L73" i="2" a="1"/>
  <c r="L74" i="2" a="1"/>
  <c r="L75" i="2" a="1"/>
  <c r="L76" i="2" a="1"/>
  <c r="L77" i="2" a="1"/>
  <c r="L78" i="2" a="1"/>
  <c r="L79" i="2" a="1"/>
  <c r="L80" i="2" a="1"/>
  <c r="L81" i="2" a="1"/>
  <c r="L82" i="2" a="1"/>
  <c r="L83" i="2" a="1"/>
  <c r="L84" i="2" a="1"/>
  <c r="L85" i="2" a="1"/>
  <c r="L86" i="2" a="1"/>
  <c r="L87" i="2" a="1"/>
  <c r="L88" i="2" a="1"/>
  <c r="L89" i="2" a="1"/>
  <c r="L90" i="2" a="1"/>
  <c r="L91" i="2" a="1"/>
  <c r="L92" i="2" a="1"/>
  <c r="L93" i="2" a="1"/>
  <c r="L94" i="2" a="1"/>
  <c r="L95" i="2" a="1"/>
  <c r="L96" i="2" a="1"/>
  <c r="L97" i="2" a="1"/>
  <c r="L98" i="2" a="1"/>
  <c r="L99" i="2" a="1"/>
  <c r="L100" i="2" a="1"/>
  <c r="L101" i="2" a="1"/>
  <c r="L102" i="2" a="1"/>
  <c r="L103" i="2" a="1"/>
  <c r="L104" i="2" a="1"/>
  <c r="L105" i="2" a="1"/>
  <c r="L106" i="2" a="1"/>
  <c r="L107" i="2" a="1"/>
  <c r="L108" i="2" a="1"/>
  <c r="L109" i="2" a="1"/>
  <c r="L110" i="2" a="1"/>
  <c r="L111" i="2" a="1"/>
  <c r="L112" i="2" a="1"/>
  <c r="L113" i="2" a="1"/>
  <c r="L114" i="2" a="1"/>
  <c r="L115" i="2" a="1"/>
  <c r="L116" i="2" a="1"/>
  <c r="L117" i="2" a="1"/>
  <c r="L118" i="2" a="1"/>
  <c r="L119" i="2" a="1"/>
  <c r="L120" i="2" a="1"/>
  <c r="L121" i="2" a="1"/>
  <c r="L122" i="2" a="1"/>
  <c r="L123" i="2" a="1"/>
  <c r="L124" i="2" a="1"/>
  <c r="L125" i="2" a="1"/>
  <c r="L126" i="2" a="1"/>
  <c r="L127" i="2" a="1"/>
  <c r="L128" i="2" a="1"/>
  <c r="L129" i="2" a="1"/>
  <c r="L130" i="2" a="1"/>
  <c r="L131" i="2" a="1"/>
  <c r="L132" i="2" a="1"/>
  <c r="L133" i="2" a="1"/>
  <c r="L134" i="2" a="1"/>
  <c r="L135" i="2" a="1"/>
  <c r="L136" i="2" a="1"/>
  <c r="L137" i="2" a="1"/>
  <c r="L138" i="2" a="1"/>
  <c r="L139" i="2" a="1"/>
  <c r="L140" i="2" a="1"/>
  <c r="L141" i="2" a="1"/>
  <c r="L142" i="2" a="1"/>
  <c r="L143" i="2" a="1"/>
  <c r="L144" i="2" a="1"/>
  <c r="L145" i="2" a="1"/>
  <c r="L146" i="2" a="1"/>
  <c r="L147" i="2" a="1"/>
  <c r="L148" i="2" a="1"/>
  <c r="L149" i="2" a="1"/>
  <c r="L150" i="2" a="1"/>
  <c r="L151" i="2" a="1"/>
  <c r="L152" i="2" a="1"/>
  <c r="L153" i="2" a="1"/>
  <c r="L154" i="2" a="1"/>
  <c r="L155" i="2" a="1"/>
  <c r="L156" i="2" a="1"/>
  <c r="L157" i="2" a="1"/>
  <c r="L158" i="2" a="1"/>
  <c r="L159" i="2" a="1"/>
  <c r="L160" i="2" a="1"/>
  <c r="L161" i="2" a="1"/>
  <c r="L162" i="2" a="1"/>
  <c r="L163" i="2" a="1"/>
  <c r="L164" i="2" a="1"/>
  <c r="L165" i="2" a="1"/>
  <c r="L166" i="2" a="1"/>
  <c r="L167" i="2" a="1"/>
  <c r="L168" i="2" a="1"/>
  <c r="L169" i="2" a="1"/>
  <c r="L170" i="2" a="1"/>
  <c r="L171" i="2" a="1"/>
  <c r="L172" i="2" a="1"/>
  <c r="L173" i="2" a="1"/>
  <c r="L174" i="2" a="1"/>
  <c r="L175" i="2" a="1"/>
  <c r="L176" i="2" a="1"/>
  <c r="L177" i="2" a="1"/>
  <c r="L178" i="2" a="1"/>
  <c r="L179" i="2" a="1"/>
  <c r="L180" i="2" a="1"/>
  <c r="L181" i="2" a="1"/>
  <c r="L182" i="2" a="1"/>
  <c r="L183" i="2" a="1"/>
  <c r="L184" i="2" a="1"/>
  <c r="L185" i="2" a="1"/>
  <c r="L186" i="2" a="1"/>
  <c r="L187" i="2" a="1"/>
  <c r="L188" i="2" a="1"/>
  <c r="L189" i="2" a="1"/>
  <c r="L190" i="2" a="1"/>
  <c r="L191" i="2" a="1"/>
  <c r="L192" i="2" a="1"/>
  <c r="L193" i="2" a="1"/>
  <c r="L194" i="2" a="1"/>
  <c r="L195" i="2" a="1"/>
  <c r="L196" i="2" a="1"/>
  <c r="L197" i="2" a="1"/>
  <c r="L198" i="2" a="1"/>
  <c r="L199" i="2" a="1"/>
  <c r="L200" i="2" a="1"/>
  <c r="L201" i="2" a="1"/>
  <c r="L202" i="2" a="1"/>
  <c r="L203" i="2" a="1"/>
  <c r="L204" i="2" a="1"/>
  <c r="L205" i="2" a="1"/>
  <c r="L206" i="2" a="1"/>
  <c r="L207" i="2" a="1"/>
  <c r="L208" i="2" a="1"/>
  <c r="L209" i="2" a="1"/>
  <c r="L210" i="2" a="1"/>
  <c r="L211" i="2" a="1"/>
  <c r="L212" i="2" a="1"/>
  <c r="L213" i="2" a="1"/>
  <c r="L214" i="2" a="1"/>
  <c r="L215" i="2" a="1"/>
  <c r="L216" i="2" a="1"/>
  <c r="L217" i="2" a="1"/>
  <c r="L218" i="2" a="1"/>
  <c r="L219" i="2" a="1"/>
  <c r="L220" i="2" a="1"/>
  <c r="L221" i="2" a="1"/>
  <c r="L222" i="2" a="1"/>
  <c r="L223" i="2" a="1"/>
  <c r="L224" i="2" a="1"/>
  <c r="L225" i="2" a="1"/>
  <c r="L226" i="2" a="1"/>
  <c r="L227" i="2" a="1"/>
  <c r="L228" i="2" a="1"/>
  <c r="L229" i="2" a="1"/>
  <c r="L230" i="2" a="1"/>
  <c r="L231" i="2" a="1"/>
  <c r="L232" i="2" a="1"/>
  <c r="L233" i="2" a="1"/>
  <c r="L234" i="2" a="1"/>
  <c r="L235" i="2" a="1"/>
  <c r="L236" i="2" a="1"/>
  <c r="L237" i="2" a="1"/>
  <c r="L238" i="2" a="1"/>
  <c r="L239" i="2" a="1"/>
  <c r="L240" i="2" a="1"/>
  <c r="L241" i="2" a="1"/>
  <c r="L242" i="2" a="1"/>
  <c r="L243" i="2" a="1"/>
  <c r="L244" i="2" a="1"/>
  <c r="L245" i="2" a="1"/>
  <c r="L246" i="2" a="1"/>
  <c r="L247" i="2" a="1"/>
  <c r="L248" i="2" a="1"/>
  <c r="L249" i="2" a="1"/>
  <c r="L250" i="2" a="1"/>
  <c r="L251" i="2" a="1"/>
  <c r="L252" i="2" a="1"/>
  <c r="L253" i="2" a="1"/>
  <c r="L254" i="2" a="1"/>
  <c r="L255" i="2" a="1"/>
  <c r="L256" i="2" a="1"/>
  <c r="L257" i="2" a="1"/>
  <c r="L258" i="2" a="1"/>
  <c r="L259" i="2" a="1"/>
  <c r="L260" i="2" a="1"/>
  <c r="L261" i="2" a="1"/>
  <c r="L262" i="2" a="1"/>
  <c r="L263" i="2" a="1"/>
  <c r="L264" i="2" a="1"/>
  <c r="L265" i="2" a="1"/>
  <c r="L266" i="2" a="1"/>
  <c r="L267" i="2" a="1"/>
  <c r="L268" i="2" a="1"/>
  <c r="L269" i="2" a="1"/>
  <c r="L270" i="2" a="1"/>
  <c r="L271" i="2" a="1"/>
  <c r="L272" i="2" a="1"/>
  <c r="L273" i="2" a="1"/>
  <c r="L274" i="2" a="1"/>
  <c r="L275" i="2" a="1"/>
  <c r="L276" i="2" a="1"/>
  <c r="L277" i="2" a="1"/>
  <c r="L278" i="2" a="1"/>
  <c r="L279" i="2" a="1"/>
  <c r="L280" i="2" a="1"/>
  <c r="L281" i="2" a="1"/>
  <c r="L282" i="2" a="1"/>
  <c r="L283" i="2" a="1"/>
  <c r="L284" i="2" a="1"/>
  <c r="L285" i="2" a="1"/>
  <c r="L286" i="2" a="1"/>
  <c r="L287" i="2" a="1"/>
  <c r="L288" i="2" a="1"/>
  <c r="L289" i="2" a="1"/>
  <c r="L290" i="2" a="1"/>
  <c r="L291" i="2" a="1"/>
  <c r="L292" i="2" a="1"/>
  <c r="L293" i="2" a="1"/>
  <c r="L294" i="2" a="1"/>
  <c r="L295" i="2" a="1"/>
  <c r="L296" i="2" a="1"/>
  <c r="L297" i="2" a="1"/>
  <c r="L298" i="2" a="1"/>
  <c r="L299" i="2" a="1"/>
  <c r="L300" i="2" a="1"/>
  <c r="L301" i="2" a="1"/>
  <c r="L302" i="2" a="1"/>
  <c r="L303" i="2" a="1"/>
  <c r="L304" i="2" a="1"/>
  <c r="L305" i="2" a="1"/>
  <c r="L306" i="2" a="1"/>
  <c r="L307" i="2" a="1"/>
  <c r="L308" i="2" a="1"/>
  <c r="L309" i="2" a="1"/>
  <c r="L310" i="2" a="1"/>
  <c r="L311" i="2" a="1"/>
  <c r="L312" i="2" a="1"/>
  <c r="L313" i="2" a="1"/>
  <c r="L314" i="2" a="1"/>
  <c r="L315" i="2" a="1"/>
  <c r="L316" i="2" a="1"/>
  <c r="L317" i="2" a="1"/>
  <c r="L318" i="2" a="1"/>
  <c r="L319" i="2" a="1"/>
  <c r="L320" i="2" a="1"/>
  <c r="L321" i="2" a="1"/>
  <c r="L322" i="2" a="1"/>
  <c r="L323" i="2" a="1"/>
  <c r="L324" i="2" a="1"/>
  <c r="L325" i="2" a="1"/>
  <c r="L326" i="2" a="1"/>
  <c r="L327" i="2" a="1"/>
  <c r="L328" i="2" a="1"/>
  <c r="L329" i="2" a="1"/>
  <c r="L330" i="2" a="1"/>
  <c r="L331" i="2" a="1"/>
  <c r="L332" i="2" a="1"/>
  <c r="L333" i="2" a="1"/>
  <c r="L334" i="2" a="1"/>
  <c r="L335" i="2" a="1"/>
  <c r="L336" i="2" a="1"/>
  <c r="L337" i="2" a="1"/>
  <c r="L338" i="2" a="1"/>
  <c r="L339" i="2" a="1"/>
  <c r="L340" i="2" a="1"/>
  <c r="L341" i="2" a="1"/>
  <c r="L342" i="2" a="1"/>
  <c r="L343" i="2" a="1"/>
  <c r="L344" i="2" a="1"/>
  <c r="L345" i="2" a="1"/>
  <c r="L346" i="2" a="1"/>
  <c r="L347" i="2" a="1"/>
  <c r="L348" i="2" a="1"/>
  <c r="L349" i="2" a="1"/>
  <c r="L350" i="2" a="1"/>
  <c r="L351" i="2" a="1"/>
  <c r="L352" i="2" a="1"/>
  <c r="L353" i="2" a="1"/>
  <c r="L354" i="2" a="1"/>
  <c r="L355" i="2" a="1"/>
  <c r="L356" i="2" a="1"/>
  <c r="L357" i="2" a="1"/>
  <c r="L358" i="2" a="1"/>
  <c r="L359" i="2" a="1"/>
  <c r="L360" i="2" a="1"/>
  <c r="L361" i="2" a="1"/>
  <c r="L362" i="2" a="1"/>
  <c r="L363" i="2" a="1"/>
  <c r="L364" i="2" a="1"/>
  <c r="L365" i="2" a="1"/>
  <c r="L366" i="2" a="1"/>
  <c r="L367" i="2" a="1"/>
  <c r="L368" i="2" a="1"/>
  <c r="L369" i="2" a="1"/>
  <c r="L370" i="2" a="1"/>
  <c r="L371" i="2" a="1"/>
  <c r="L372" i="2" a="1"/>
  <c r="L373" i="2" a="1"/>
  <c r="L374" i="2" a="1"/>
  <c r="L375" i="2" a="1"/>
  <c r="L376" i="2" a="1"/>
  <c r="L377" i="2" a="1"/>
  <c r="L378" i="2" a="1"/>
  <c r="L379" i="2" a="1"/>
  <c r="L380" i="2" a="1"/>
  <c r="L381" i="2" a="1"/>
  <c r="L382" i="2" a="1"/>
  <c r="L383" i="2" a="1"/>
  <c r="L384" i="2" a="1"/>
  <c r="L385" i="2" a="1"/>
  <c r="L386" i="2" a="1"/>
  <c r="L387" i="2" a="1"/>
  <c r="L388" i="2" a="1"/>
  <c r="L389" i="2" a="1"/>
  <c r="L390" i="2" a="1"/>
  <c r="L391" i="2" a="1"/>
  <c r="L392" i="2" a="1"/>
  <c r="L393" i="2" a="1"/>
  <c r="L394" i="2" a="1"/>
  <c r="L395" i="2" a="1"/>
  <c r="L396" i="2" a="1"/>
  <c r="L397" i="2" a="1"/>
  <c r="L398" i="2" a="1"/>
  <c r="L399" i="2" a="1"/>
  <c r="L400" i="2" a="1"/>
  <c r="L401" i="2" a="1"/>
  <c r="L402" i="2" a="1"/>
  <c r="L403" i="2" a="1"/>
  <c r="L404" i="2" a="1"/>
  <c r="L405" i="2" a="1"/>
  <c r="L406" i="2" a="1"/>
  <c r="L407" i="2" a="1"/>
  <c r="L408" i="2" a="1"/>
  <c r="L409" i="2" a="1"/>
  <c r="L410" i="2" a="1"/>
  <c r="L411" i="2" a="1"/>
  <c r="L412" i="2" a="1"/>
  <c r="L413" i="2" a="1"/>
  <c r="L414" i="2" a="1"/>
  <c r="L415" i="2" a="1"/>
  <c r="L416" i="2" a="1"/>
  <c r="L417" i="2" a="1"/>
  <c r="L418" i="2" a="1"/>
  <c r="L419" i="2" a="1"/>
  <c r="L420" i="2" a="1"/>
  <c r="L421" i="2" a="1"/>
  <c r="L422" i="2" a="1"/>
  <c r="L423" i="2" a="1"/>
  <c r="L424" i="2" a="1"/>
  <c r="L425" i="2" a="1"/>
  <c r="L426" i="2" a="1"/>
  <c r="L427" i="2" a="1"/>
  <c r="L428" i="2" a="1"/>
  <c r="L429" i="2" a="1"/>
  <c r="L430" i="2" a="1"/>
  <c r="L431" i="2" a="1"/>
  <c r="L432" i="2" a="1"/>
  <c r="L433" i="2" a="1"/>
  <c r="L434" i="2" a="1"/>
  <c r="L435" i="2" a="1"/>
  <c r="L436" i="2" a="1"/>
  <c r="L437" i="2" a="1"/>
  <c r="L438" i="2" a="1"/>
  <c r="L439" i="2" a="1"/>
  <c r="L440" i="2" a="1"/>
  <c r="L441" i="2" a="1"/>
  <c r="L442" i="2" a="1"/>
  <c r="L443" i="2" a="1"/>
  <c r="L444" i="2" a="1"/>
  <c r="L445" i="2" a="1"/>
  <c r="L446" i="2" a="1"/>
  <c r="L447" i="2" a="1"/>
  <c r="L448" i="2" a="1"/>
  <c r="L449" i="2" a="1"/>
  <c r="L450" i="2" a="1"/>
  <c r="L451" i="2" a="1"/>
  <c r="L452" i="2" a="1"/>
  <c r="L453" i="2" a="1"/>
  <c r="L454" i="2" a="1"/>
  <c r="L455" i="2" a="1"/>
  <c r="L456" i="2" a="1"/>
  <c r="L457" i="2" a="1"/>
  <c r="L458" i="2" a="1"/>
  <c r="L459" i="2" a="1"/>
  <c r="L460" i="2" a="1"/>
  <c r="L461" i="2" a="1"/>
  <c r="L462" i="2" a="1"/>
  <c r="L463" i="2" a="1"/>
  <c r="L464" i="2" a="1"/>
  <c r="L465" i="2" a="1"/>
  <c r="L466" i="2" a="1"/>
  <c r="L467" i="2" a="1"/>
  <c r="L468" i="2" a="1"/>
  <c r="L469" i="2" a="1"/>
  <c r="L470" i="2" a="1"/>
  <c r="L471" i="2" a="1"/>
  <c r="L472" i="2" a="1"/>
  <c r="L473" i="2" a="1"/>
  <c r="L474" i="2" a="1"/>
  <c r="L475" i="2" a="1"/>
  <c r="L476" i="2" a="1"/>
  <c r="L477" i="2" a="1"/>
  <c r="L478" i="2" a="1"/>
  <c r="L479" i="2" a="1"/>
  <c r="L480" i="2" a="1"/>
  <c r="L481" i="2" a="1"/>
  <c r="L482" i="2" a="1"/>
  <c r="L483" i="2" a="1"/>
  <c r="L484" i="2" a="1"/>
  <c r="L485" i="2" a="1"/>
  <c r="L486" i="2" a="1"/>
  <c r="L487" i="2" a="1"/>
  <c r="L488" i="2" a="1"/>
  <c r="L489" i="2" a="1"/>
  <c r="L490" i="2" a="1"/>
  <c r="L491" i="2" a="1"/>
  <c r="L492" i="2" a="1"/>
  <c r="L493" i="2" a="1"/>
  <c r="L494" i="2" a="1"/>
  <c r="L495" i="2" a="1"/>
  <c r="L496" i="2" a="1"/>
  <c r="L497" i="2" a="1"/>
  <c r="L498" i="2" a="1"/>
  <c r="L499" i="2" a="1"/>
  <c r="L500" i="2" a="1"/>
  <c r="L501" i="2" a="1"/>
  <c r="L502" i="2" a="1"/>
  <c r="L503" i="2" a="1"/>
  <c r="L504" i="2" a="1"/>
  <c r="L505" i="2" a="1"/>
  <c r="L506" i="2" a="1"/>
  <c r="L507" i="2" a="1"/>
  <c r="L508" i="2" a="1"/>
  <c r="L509" i="2" a="1"/>
  <c r="L510" i="2" a="1"/>
  <c r="L511" i="2" a="1"/>
  <c r="L512" i="2" a="1"/>
  <c r="L513" i="2" a="1"/>
  <c r="L514" i="2" a="1"/>
  <c r="L515" i="2" a="1"/>
  <c r="L516" i="2" a="1"/>
  <c r="L517" i="2" a="1"/>
  <c r="L518" i="2" a="1"/>
  <c r="L519" i="2" a="1"/>
  <c r="L520" i="2" a="1"/>
  <c r="L521" i="2" a="1"/>
  <c r="L522" i="2" a="1"/>
  <c r="L523" i="2" a="1"/>
  <c r="L524" i="2" a="1"/>
  <c r="L525" i="2" a="1"/>
  <c r="L526" i="2" a="1"/>
  <c r="L527" i="2" a="1"/>
  <c r="L528" i="2" a="1"/>
  <c r="L529" i="2" a="1"/>
  <c r="L530" i="2" a="1"/>
  <c r="L531" i="2" a="1"/>
  <c r="L532" i="2" a="1"/>
  <c r="L533" i="2" a="1"/>
  <c r="L534" i="2" a="1"/>
  <c r="L535" i="2" a="1"/>
  <c r="L536" i="2" a="1"/>
  <c r="L537" i="2" a="1"/>
  <c r="L538" i="2" a="1"/>
  <c r="L539" i="2" a="1"/>
  <c r="L540" i="2" a="1"/>
  <c r="L541" i="2" a="1"/>
  <c r="L542" i="2" a="1"/>
  <c r="L543" i="2" a="1"/>
  <c r="L544" i="2" a="1"/>
  <c r="L545" i="2" a="1"/>
  <c r="L546" i="2" a="1"/>
  <c r="L547" i="2" a="1"/>
  <c r="L548" i="2" a="1"/>
  <c r="L549" i="2" a="1"/>
  <c r="L550" i="2" a="1"/>
  <c r="L551" i="2" a="1"/>
  <c r="L552" i="2" a="1"/>
  <c r="L553" i="2" a="1"/>
  <c r="L554" i="2" a="1"/>
  <c r="L555" i="2" a="1"/>
  <c r="L556" i="2" a="1"/>
  <c r="L557" i="2" a="1"/>
  <c r="L558" i="2" a="1"/>
  <c r="L559" i="2" a="1"/>
  <c r="L560" i="2" a="1"/>
  <c r="L561" i="2" a="1"/>
  <c r="L562" i="2" a="1"/>
  <c r="L563" i="2" a="1"/>
  <c r="L564" i="2" a="1"/>
  <c r="L565" i="2" a="1"/>
  <c r="L566" i="2" a="1"/>
  <c r="L567" i="2" a="1"/>
  <c r="L568" i="2" a="1"/>
  <c r="L569" i="2" a="1"/>
  <c r="L570" i="2" a="1"/>
  <c r="L571" i="2" a="1"/>
  <c r="L572" i="2" a="1"/>
  <c r="L573" i="2" a="1"/>
  <c r="L574" i="2" a="1"/>
  <c r="L575" i="2" a="1"/>
  <c r="L576" i="2" a="1"/>
  <c r="L577" i="2" a="1"/>
  <c r="L578" i="2" a="1"/>
  <c r="L579" i="2" a="1"/>
  <c r="L580" i="2" a="1"/>
  <c r="L581" i="2" a="1"/>
  <c r="L582" i="2" a="1"/>
  <c r="L583" i="2" a="1"/>
  <c r="L584" i="2" a="1"/>
  <c r="L585" i="2" a="1"/>
  <c r="L586" i="2" a="1"/>
  <c r="L587" i="2" a="1"/>
  <c r="L588" i="2" a="1"/>
  <c r="L589" i="2" a="1"/>
  <c r="L590" i="2" a="1"/>
  <c r="L591" i="2" a="1"/>
  <c r="L592" i="2" a="1"/>
  <c r="L593" i="2" a="1"/>
  <c r="L594" i="2" a="1"/>
  <c r="L595" i="2" a="1"/>
  <c r="L596" i="2" a="1"/>
  <c r="L597" i="2" a="1"/>
  <c r="L598" i="2" a="1"/>
  <c r="L599" i="2" a="1"/>
  <c r="L600" i="2" a="1"/>
  <c r="L601" i="2" a="1"/>
  <c r="L602" i="2" a="1"/>
  <c r="L603" i="2" a="1"/>
  <c r="L604" i="2" a="1"/>
  <c r="L605" i="2" a="1"/>
  <c r="L606" i="2" a="1"/>
  <c r="L607" i="2" a="1"/>
  <c r="L608" i="2" a="1"/>
  <c r="L609" i="2" a="1"/>
  <c r="L610" i="2" a="1"/>
  <c r="L611" i="2" a="1"/>
  <c r="L612" i="2" a="1"/>
  <c r="L613" i="2" a="1"/>
  <c r="L614" i="2" a="1"/>
  <c r="L615" i="2" a="1"/>
  <c r="L616" i="2" a="1"/>
  <c r="L617" i="2" a="1"/>
  <c r="L618" i="2" a="1"/>
  <c r="L619" i="2" a="1"/>
  <c r="L620" i="2" a="1"/>
  <c r="L621" i="2" a="1"/>
  <c r="L622" i="2" a="1"/>
  <c r="L623" i="2" a="1"/>
  <c r="L624" i="2" a="1"/>
  <c r="L625" i="2" a="1"/>
  <c r="L626" i="2" a="1"/>
  <c r="L627" i="2" a="1"/>
  <c r="L628" i="2" a="1"/>
  <c r="L629" i="2" a="1"/>
  <c r="L630" i="2" a="1"/>
  <c r="L631" i="2" a="1"/>
  <c r="L632" i="2" a="1"/>
  <c r="L633" i="2" a="1"/>
  <c r="L634" i="2" a="1"/>
  <c r="L635" i="2" a="1"/>
  <c r="L636" i="2" a="1"/>
  <c r="L637" i="2" a="1"/>
  <c r="L638" i="2" a="1"/>
  <c r="L639" i="2" a="1"/>
  <c r="L640" i="2" a="1"/>
  <c r="L641" i="2" a="1"/>
  <c r="L642" i="2" a="1"/>
  <c r="L643" i="2" a="1"/>
  <c r="L644" i="2" a="1"/>
  <c r="L645" i="2" a="1"/>
  <c r="L646" i="2" a="1"/>
  <c r="L647" i="2" a="1"/>
  <c r="L648" i="2" a="1"/>
  <c r="L649" i="2" a="1"/>
  <c r="L650" i="2" a="1"/>
  <c r="L651" i="2" a="1"/>
  <c r="L652" i="2" a="1"/>
  <c r="L653" i="2" a="1"/>
  <c r="L654" i="2" a="1"/>
  <c r="L655" i="2" a="1"/>
  <c r="L656" i="2" a="1"/>
  <c r="L657" i="2" a="1"/>
  <c r="L658" i="2" a="1"/>
  <c r="L659" i="2" a="1"/>
  <c r="L660" i="2" a="1"/>
  <c r="L661" i="2" a="1"/>
  <c r="L662" i="2" a="1"/>
  <c r="L663" i="2" a="1"/>
  <c r="L664" i="2" a="1"/>
  <c r="L665" i="2" a="1"/>
  <c r="L666" i="2" a="1"/>
  <c r="L667" i="2" a="1"/>
  <c r="L668" i="2" a="1"/>
  <c r="L669" i="2" a="1"/>
  <c r="L670" i="2" a="1"/>
  <c r="L671" i="2" a="1"/>
  <c r="L672" i="2" a="1"/>
  <c r="L673" i="2" a="1"/>
  <c r="L674" i="2" a="1"/>
  <c r="L675" i="2" a="1"/>
  <c r="L676" i="2" a="1"/>
  <c r="L677" i="2" a="1"/>
  <c r="L678" i="2" a="1"/>
  <c r="L679" i="2" a="1"/>
  <c r="L680" i="2" a="1"/>
  <c r="L681" i="2" a="1"/>
  <c r="L682" i="2" a="1"/>
  <c r="L683" i="2" a="1"/>
  <c r="L684" i="2" a="1"/>
  <c r="L685" i="2" a="1"/>
  <c r="L686" i="2" a="1"/>
  <c r="L687" i="2" a="1"/>
  <c r="L688" i="2" a="1"/>
  <c r="L689" i="2" a="1"/>
  <c r="L690" i="2" a="1"/>
  <c r="L691" i="2" a="1"/>
  <c r="L692" i="2" a="1"/>
  <c r="L693" i="2" a="1"/>
  <c r="L694" i="2" a="1"/>
  <c r="L695" i="2" a="1"/>
  <c r="L696" i="2" a="1"/>
  <c r="L697" i="2" a="1"/>
  <c r="L698" i="2" a="1"/>
  <c r="L699" i="2" a="1"/>
  <c r="L700" i="2" a="1"/>
  <c r="L701" i="2" a="1"/>
  <c r="L702" i="2" a="1"/>
  <c r="L703" i="2" a="1"/>
  <c r="L704" i="2" a="1"/>
  <c r="L705" i="2" a="1"/>
  <c r="L706" i="2" a="1"/>
  <c r="L707" i="2" a="1"/>
  <c r="L708" i="2" a="1"/>
  <c r="L709" i="2" a="1"/>
  <c r="L710" i="2" a="1"/>
  <c r="L711" i="2" a="1"/>
  <c r="L712" i="2" a="1"/>
  <c r="L713" i="2" a="1"/>
  <c r="L714" i="2" a="1"/>
  <c r="L715" i="2" a="1"/>
  <c r="L716" i="2" a="1"/>
  <c r="L717" i="2" a="1"/>
  <c r="L718" i="2" a="1"/>
  <c r="L719" i="2" a="1"/>
  <c r="L720" i="2" a="1"/>
  <c r="L721" i="2" a="1"/>
  <c r="L722" i="2" a="1"/>
  <c r="L723" i="2" a="1"/>
  <c r="L724" i="2" a="1"/>
  <c r="L725" i="2" a="1"/>
  <c r="L726" i="2" a="1"/>
  <c r="L727" i="2" a="1"/>
  <c r="L728" i="2" a="1"/>
  <c r="L729" i="2" a="1"/>
  <c r="L730" i="2" a="1"/>
  <c r="L731" i="2" a="1"/>
  <c r="L732" i="2" a="1"/>
  <c r="L733" i="2" a="1"/>
  <c r="L734" i="2" a="1"/>
  <c r="L735" i="2" a="1"/>
  <c r="L736" i="2" a="1"/>
  <c r="L737" i="2" a="1"/>
  <c r="L738" i="2" a="1"/>
  <c r="L739" i="2" a="1"/>
  <c r="L740" i="2" a="1"/>
  <c r="L741" i="2" a="1"/>
  <c r="L742" i="2" a="1"/>
  <c r="L743" i="2" a="1"/>
  <c r="L744" i="2" a="1"/>
  <c r="L745" i="2" a="1"/>
  <c r="L746" i="2" a="1"/>
  <c r="L747" i="2" a="1"/>
  <c r="L748" i="2" a="1"/>
  <c r="L749" i="2" a="1"/>
  <c r="L750" i="2" a="1"/>
  <c r="L751" i="2" a="1"/>
  <c r="L752" i="2" a="1"/>
  <c r="L753" i="2" a="1"/>
  <c r="L754" i="2" a="1"/>
  <c r="L755" i="2" a="1"/>
  <c r="L756" i="2" a="1"/>
  <c r="L757" i="2" a="1"/>
  <c r="L758" i="2" a="1"/>
  <c r="L759" i="2" a="1"/>
  <c r="L760" i="2" a="1"/>
  <c r="L761" i="2" a="1"/>
  <c r="L762" i="2" a="1"/>
  <c r="L763" i="2" a="1"/>
  <c r="L764" i="2" a="1"/>
  <c r="L765" i="2" a="1"/>
  <c r="L766" i="2" a="1"/>
  <c r="L767" i="2" a="1"/>
  <c r="L768" i="2" a="1"/>
  <c r="L769" i="2" a="1"/>
  <c r="L770" i="2" a="1"/>
  <c r="L771" i="2" a="1"/>
  <c r="L772" i="2" a="1"/>
  <c r="L773" i="2" a="1"/>
  <c r="L774" i="2" a="1"/>
  <c r="L775" i="2" a="1"/>
  <c r="L776" i="2" a="1"/>
  <c r="L777" i="2" a="1"/>
  <c r="L778" i="2" a="1"/>
  <c r="L779" i="2" a="1"/>
  <c r="L780" i="2" a="1"/>
  <c r="L781" i="2" a="1"/>
  <c r="L782" i="2" a="1"/>
  <c r="L783" i="2" a="1"/>
  <c r="L784" i="2" a="1"/>
  <c r="L785" i="2" a="1"/>
  <c r="L786" i="2" a="1"/>
  <c r="L787" i="2" a="1"/>
  <c r="L788" i="2" a="1"/>
  <c r="L789" i="2" a="1"/>
  <c r="L790" i="2" a="1"/>
  <c r="L791" i="2" a="1"/>
  <c r="L792" i="2" a="1"/>
  <c r="L793" i="2" a="1"/>
  <c r="L794" i="2" a="1"/>
  <c r="L795" i="2" a="1"/>
  <c r="L796" i="2" a="1"/>
  <c r="L797" i="2" a="1"/>
  <c r="L798" i="2" a="1"/>
  <c r="L799" i="2" a="1"/>
  <c r="L800" i="2" a="1"/>
  <c r="L801" i="2" a="1"/>
  <c r="L802" i="2" a="1"/>
  <c r="L803" i="2" a="1"/>
  <c r="L804" i="2" a="1"/>
  <c r="L805" i="2" a="1"/>
  <c r="L806" i="2" a="1"/>
  <c r="L807" i="2" a="1"/>
  <c r="L808" i="2" a="1"/>
  <c r="L809" i="2" a="1"/>
  <c r="L810" i="2" a="1"/>
  <c r="L811" i="2" a="1"/>
  <c r="L812" i="2" a="1"/>
  <c r="L813" i="2" a="1"/>
  <c r="L814" i="2" a="1"/>
  <c r="L815" i="2" a="1"/>
  <c r="L816" i="2" a="1"/>
  <c r="L817" i="2" a="1"/>
  <c r="L818" i="2" a="1"/>
  <c r="L819" i="2" a="1"/>
  <c r="L820" i="2" a="1"/>
  <c r="L821" i="2" a="1"/>
  <c r="L822" i="2" a="1"/>
  <c r="L823" i="2" a="1"/>
  <c r="L824" i="2" a="1"/>
  <c r="L825" i="2" a="1"/>
  <c r="L826" i="2" a="1"/>
  <c r="L827" i="2" a="1"/>
  <c r="L828" i="2" a="1"/>
  <c r="L829" i="2" a="1"/>
  <c r="L830" i="2" a="1"/>
  <c r="L831" i="2" a="1"/>
  <c r="L832" i="2" a="1"/>
  <c r="L833" i="2" a="1"/>
  <c r="L834" i="2" a="1"/>
  <c r="L835" i="2" a="1"/>
  <c r="L836" i="2" a="1"/>
  <c r="L837" i="2" a="1"/>
  <c r="L838" i="2" a="1"/>
  <c r="L839" i="2" a="1"/>
  <c r="L840" i="2" a="1"/>
  <c r="L841" i="2" a="1"/>
  <c r="L842" i="2" a="1"/>
  <c r="L843" i="2" a="1"/>
  <c r="L844" i="2" a="1"/>
  <c r="L845" i="2" a="1"/>
  <c r="L846" i="2" a="1"/>
  <c r="L847" i="2" a="1"/>
  <c r="L848" i="2" a="1"/>
  <c r="L849" i="2" a="1"/>
  <c r="L850" i="2" a="1"/>
  <c r="L851" i="2" a="1"/>
  <c r="L852" i="2" a="1"/>
  <c r="L853" i="2" a="1"/>
  <c r="L854" i="2" a="1"/>
  <c r="L855" i="2" a="1"/>
  <c r="L856" i="2" a="1"/>
  <c r="L857" i="2" a="1"/>
  <c r="L858" i="2" a="1"/>
  <c r="L859" i="2" a="1"/>
  <c r="L860" i="2" a="1"/>
  <c r="L861" i="2" a="1"/>
  <c r="L862" i="2" a="1"/>
  <c r="L863" i="2" a="1"/>
  <c r="L864" i="2" a="1"/>
  <c r="L865" i="2" a="1"/>
  <c r="L866" i="2" a="1"/>
  <c r="L867" i="2" a="1"/>
  <c r="L868" i="2" a="1"/>
  <c r="L869" i="2" a="1"/>
  <c r="L870" i="2" a="1"/>
  <c r="L871" i="2" a="1"/>
  <c r="L872" i="2" a="1"/>
  <c r="L873" i="2" a="1"/>
  <c r="L874" i="2" a="1"/>
  <c r="L875" i="2" a="1"/>
  <c r="L876" i="2" a="1"/>
  <c r="L877" i="2" a="1"/>
  <c r="L878" i="2" a="1"/>
  <c r="L879" i="2" a="1"/>
  <c r="L880" i="2" a="1"/>
  <c r="L881" i="2" a="1"/>
  <c r="L882" i="2" a="1"/>
  <c r="L883" i="2" a="1"/>
  <c r="L884" i="2" a="1"/>
  <c r="L885" i="2" a="1"/>
  <c r="L886" i="2" a="1"/>
  <c r="L887" i="2" a="1"/>
  <c r="L888" i="2" a="1"/>
  <c r="L889" i="2" a="1"/>
  <c r="L890" i="2" a="1"/>
  <c r="L891" i="2" a="1"/>
  <c r="L892" i="2" a="1"/>
  <c r="L893" i="2" a="1"/>
  <c r="L894" i="2" a="1"/>
  <c r="L895" i="2" a="1"/>
  <c r="L896" i="2" a="1"/>
  <c r="L897" i="2" a="1"/>
  <c r="L898" i="2" a="1"/>
  <c r="L899" i="2" a="1"/>
  <c r="L900" i="2" a="1"/>
  <c r="L901" i="2" a="1"/>
  <c r="L902" i="2" a="1"/>
  <c r="L903" i="2" a="1"/>
  <c r="L904" i="2" a="1"/>
  <c r="L905" i="2" a="1"/>
  <c r="L906" i="2" a="1"/>
  <c r="L907" i="2" a="1"/>
  <c r="L908" i="2" a="1"/>
  <c r="L909" i="2" a="1"/>
  <c r="L910" i="2" a="1"/>
  <c r="L911" i="2" a="1"/>
  <c r="L912" i="2" a="1"/>
  <c r="L913" i="2" a="1"/>
  <c r="L914" i="2" a="1"/>
  <c r="L915" i="2" a="1"/>
  <c r="L916" i="2" a="1"/>
  <c r="L917" i="2" a="1"/>
  <c r="L918" i="2" a="1"/>
  <c r="L919" i="2" a="1"/>
  <c r="L920" i="2" a="1"/>
  <c r="L921" i="2" a="1"/>
  <c r="L922" i="2" a="1"/>
  <c r="L923" i="2" a="1"/>
  <c r="L924" i="2" a="1"/>
  <c r="L925" i="2" a="1"/>
  <c r="L2" i="2" a="1"/>
  <c r="I5" i="2" a="1"/>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I3" i="2" a="1"/>
  <c r="I4"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J2" i="2" a="1"/>
  <c r="I2" i="2" a="1"/>
  <c r="D3" i="2" a="1"/>
  <c r="D4" i="2" a="1"/>
  <c r="D5" i="2" a="1"/>
  <c r="D6" i="2" a="1"/>
  <c r="D7" i="2" a="1"/>
  <c r="D8" i="2" a="1"/>
  <c r="D9" i="2" a="1"/>
  <c r="D10" i="2" a="1"/>
  <c r="D11" i="2" a="1"/>
  <c r="D12" i="2" a="1"/>
  <c r="D13" i="2" a="1"/>
  <c r="D14" i="2" a="1"/>
  <c r="D15" i="2" a="1"/>
  <c r="D16" i="2" a="1"/>
  <c r="D17" i="2" a="1"/>
  <c r="D18" i="2" a="1"/>
  <c r="D19" i="2" a="1"/>
  <c r="D20" i="2" a="1"/>
  <c r="D21" i="2" a="1"/>
  <c r="D22" i="2" a="1"/>
  <c r="D23" i="2" a="1"/>
  <c r="D24" i="2" a="1"/>
  <c r="D25" i="2" a="1"/>
  <c r="D26" i="2" a="1"/>
  <c r="D27" i="2" a="1"/>
  <c r="D28" i="2" a="1"/>
  <c r="D29" i="2" a="1"/>
  <c r="D30" i="2" a="1"/>
  <c r="D31" i="2" a="1"/>
  <c r="D32" i="2" a="1"/>
  <c r="D33" i="2" a="1"/>
  <c r="D34" i="2" a="1"/>
  <c r="D35" i="2" a="1"/>
  <c r="D36" i="2" a="1"/>
  <c r="D37" i="2" a="1"/>
  <c r="D38" i="2" a="1"/>
  <c r="D39" i="2" a="1"/>
  <c r="D40" i="2" a="1"/>
  <c r="D41" i="2" a="1"/>
  <c r="D42" i="2" a="1"/>
  <c r="D43" i="2" a="1"/>
  <c r="D44" i="2" a="1"/>
  <c r="D45" i="2" a="1"/>
  <c r="D46" i="2" a="1"/>
  <c r="D47" i="2" a="1"/>
  <c r="D48" i="2" a="1"/>
  <c r="D49" i="2" a="1"/>
  <c r="D50" i="2" a="1"/>
  <c r="D51" i="2" a="1"/>
  <c r="D52" i="2" a="1"/>
  <c r="D53" i="2" a="1"/>
  <c r="D54" i="2" a="1"/>
  <c r="D55" i="2" a="1"/>
  <c r="D56" i="2" a="1"/>
  <c r="D57" i="2" a="1"/>
  <c r="D58" i="2" a="1"/>
  <c r="D59" i="2" a="1"/>
  <c r="D60" i="2" a="1"/>
  <c r="D61" i="2" a="1"/>
  <c r="D62" i="2" a="1"/>
  <c r="D63" i="2" a="1"/>
  <c r="D64" i="2" a="1"/>
  <c r="D65" i="2" a="1"/>
  <c r="D66" i="2" a="1"/>
  <c r="D67" i="2" a="1"/>
  <c r="D68" i="2" a="1"/>
  <c r="D69" i="2" a="1"/>
  <c r="D70" i="2" a="1"/>
  <c r="D71" i="2" a="1"/>
  <c r="D72" i="2" a="1"/>
  <c r="D73" i="2" a="1"/>
  <c r="D74" i="2" a="1"/>
  <c r="D75" i="2" a="1"/>
  <c r="D76" i="2" a="1"/>
  <c r="D77" i="2" a="1"/>
  <c r="D78" i="2" a="1"/>
  <c r="D79" i="2" a="1"/>
  <c r="D80" i="2" a="1"/>
  <c r="D81" i="2" a="1"/>
  <c r="D82" i="2" a="1"/>
  <c r="D83" i="2" a="1"/>
  <c r="D84" i="2" a="1"/>
  <c r="D85" i="2" a="1"/>
  <c r="D86" i="2" a="1"/>
  <c r="D87" i="2" a="1"/>
  <c r="D88" i="2" a="1"/>
  <c r="D89" i="2" a="1"/>
  <c r="D90" i="2" a="1"/>
  <c r="D91" i="2" a="1"/>
  <c r="D92" i="2" a="1"/>
  <c r="D93" i="2" a="1"/>
  <c r="D94" i="2" a="1"/>
  <c r="D95" i="2" a="1"/>
  <c r="D96" i="2" a="1"/>
  <c r="D97" i="2" a="1"/>
  <c r="D98" i="2" a="1"/>
  <c r="D99" i="2" a="1"/>
  <c r="D100" i="2" a="1"/>
  <c r="D101" i="2" a="1"/>
  <c r="D102" i="2" a="1"/>
  <c r="D103" i="2" a="1"/>
  <c r="D104" i="2" a="1"/>
  <c r="D105" i="2" a="1"/>
  <c r="D106" i="2" a="1"/>
  <c r="D107" i="2" a="1"/>
  <c r="D108" i="2" a="1"/>
  <c r="D109" i="2" a="1"/>
  <c r="D110" i="2" a="1"/>
  <c r="D111" i="2" a="1"/>
  <c r="D112" i="2" a="1"/>
  <c r="D113" i="2" a="1"/>
  <c r="D114" i="2" a="1"/>
  <c r="D115" i="2" a="1"/>
  <c r="D116" i="2" a="1"/>
  <c r="D117" i="2" a="1"/>
  <c r="D118" i="2" a="1"/>
  <c r="D119" i="2" a="1"/>
  <c r="D120" i="2" a="1"/>
  <c r="D121" i="2" a="1"/>
  <c r="D122" i="2" a="1"/>
  <c r="D123" i="2" a="1"/>
  <c r="D124" i="2" a="1"/>
  <c r="D125" i="2" a="1"/>
  <c r="D126" i="2" a="1"/>
  <c r="D127" i="2" a="1"/>
  <c r="D128" i="2" a="1"/>
  <c r="D129" i="2" a="1"/>
  <c r="D130" i="2" a="1"/>
  <c r="D131" i="2" a="1"/>
  <c r="D132" i="2" a="1"/>
  <c r="D133" i="2" a="1"/>
  <c r="D134" i="2" a="1"/>
  <c r="D135" i="2" a="1"/>
  <c r="D136" i="2" a="1"/>
  <c r="D137" i="2" a="1"/>
  <c r="D138" i="2" a="1"/>
  <c r="D139" i="2" a="1"/>
  <c r="D140" i="2" a="1"/>
  <c r="D141" i="2" a="1"/>
  <c r="D142" i="2" a="1"/>
  <c r="D143" i="2" a="1"/>
  <c r="D144" i="2" a="1"/>
  <c r="D145" i="2" a="1"/>
  <c r="D146" i="2" a="1"/>
  <c r="D147" i="2" a="1"/>
  <c r="D148" i="2" a="1"/>
  <c r="D149" i="2" a="1"/>
  <c r="D150" i="2" a="1"/>
  <c r="D151" i="2" a="1"/>
  <c r="D152" i="2" a="1"/>
  <c r="D153" i="2" a="1"/>
  <c r="D154" i="2" a="1"/>
  <c r="D155" i="2" a="1"/>
  <c r="D156" i="2" a="1"/>
  <c r="D157" i="2" a="1"/>
  <c r="D158" i="2" a="1"/>
  <c r="D159" i="2" a="1"/>
  <c r="D160" i="2" a="1"/>
  <c r="D161" i="2" a="1"/>
  <c r="D162" i="2" a="1"/>
  <c r="D163" i="2" a="1"/>
  <c r="D164" i="2" a="1"/>
  <c r="D165" i="2" a="1"/>
  <c r="D166" i="2" a="1"/>
  <c r="D167" i="2" a="1"/>
  <c r="D168" i="2" a="1"/>
  <c r="D169" i="2" a="1"/>
  <c r="D170" i="2" a="1"/>
  <c r="D171" i="2" a="1"/>
  <c r="D172" i="2" a="1"/>
  <c r="D173" i="2" a="1"/>
  <c r="D174" i="2" a="1"/>
  <c r="D175" i="2" a="1"/>
  <c r="D176" i="2" a="1"/>
  <c r="D177" i="2" a="1"/>
  <c r="D178" i="2" a="1"/>
  <c r="D179" i="2" a="1"/>
  <c r="D180" i="2" a="1"/>
  <c r="D181" i="2" a="1"/>
  <c r="D182" i="2" a="1"/>
  <c r="D183" i="2" a="1"/>
  <c r="D184" i="2" a="1"/>
  <c r="D185" i="2" a="1"/>
  <c r="D186" i="2" a="1"/>
  <c r="D187" i="2" a="1"/>
  <c r="D188" i="2" a="1"/>
  <c r="D189" i="2" a="1"/>
  <c r="D190" i="2" a="1"/>
  <c r="D191" i="2" a="1"/>
  <c r="D192" i="2" a="1"/>
  <c r="D193" i="2" a="1"/>
  <c r="D194" i="2" a="1"/>
  <c r="D195" i="2" a="1"/>
  <c r="D196" i="2" a="1"/>
  <c r="D197" i="2" a="1"/>
  <c r="D198" i="2" a="1"/>
  <c r="D199" i="2" a="1"/>
  <c r="D200" i="2" a="1"/>
  <c r="D201" i="2" a="1"/>
  <c r="D202" i="2" a="1"/>
  <c r="D203" i="2" a="1"/>
  <c r="D204" i="2" a="1"/>
  <c r="D205" i="2" a="1"/>
  <c r="D206" i="2" a="1"/>
  <c r="D207" i="2" a="1"/>
  <c r="D208" i="2" a="1"/>
  <c r="D209" i="2" a="1"/>
  <c r="D210" i="2" a="1"/>
  <c r="D211" i="2" a="1"/>
  <c r="D212" i="2" a="1"/>
  <c r="D213" i="2" a="1"/>
  <c r="D214" i="2" a="1"/>
  <c r="D215" i="2" a="1"/>
  <c r="D216" i="2" a="1"/>
  <c r="D217" i="2" a="1"/>
  <c r="D218" i="2" a="1"/>
  <c r="D219" i="2" a="1"/>
  <c r="D220" i="2" a="1"/>
  <c r="D221" i="2" a="1"/>
  <c r="D222" i="2" a="1"/>
  <c r="D223" i="2" a="1"/>
  <c r="D224" i="2" a="1"/>
  <c r="D225" i="2" a="1"/>
  <c r="D226" i="2" a="1"/>
  <c r="D227" i="2" a="1"/>
  <c r="D228" i="2" a="1"/>
  <c r="D229" i="2" a="1"/>
  <c r="D230" i="2" a="1"/>
  <c r="D231" i="2" a="1"/>
  <c r="D232" i="2" a="1"/>
  <c r="D233" i="2" a="1"/>
  <c r="D234" i="2" a="1"/>
  <c r="D235" i="2" a="1"/>
  <c r="D236" i="2" a="1"/>
  <c r="D237" i="2" a="1"/>
  <c r="D238" i="2" a="1"/>
  <c r="D239" i="2" a="1"/>
  <c r="D240" i="2" a="1"/>
  <c r="D241" i="2" a="1"/>
  <c r="D242" i="2" a="1"/>
  <c r="D243" i="2" a="1"/>
  <c r="D244" i="2" a="1"/>
  <c r="D245" i="2" a="1"/>
  <c r="D246" i="2" a="1"/>
  <c r="D247" i="2" a="1"/>
  <c r="D248" i="2" a="1"/>
  <c r="D249" i="2" a="1"/>
  <c r="D250" i="2" a="1"/>
  <c r="D251" i="2" a="1"/>
  <c r="D252" i="2" a="1"/>
  <c r="D253" i="2" a="1"/>
  <c r="D254" i="2" a="1"/>
  <c r="D255" i="2" a="1"/>
  <c r="D256" i="2" a="1"/>
  <c r="D257" i="2" a="1"/>
  <c r="D258" i="2" a="1"/>
  <c r="D259" i="2" a="1"/>
  <c r="D260" i="2" a="1"/>
  <c r="D261" i="2" a="1"/>
  <c r="D262" i="2" a="1"/>
  <c r="D263" i="2" a="1"/>
  <c r="D264" i="2" a="1"/>
  <c r="D265" i="2" a="1"/>
  <c r="D266" i="2" a="1"/>
  <c r="D267" i="2" a="1"/>
  <c r="D268" i="2" a="1"/>
  <c r="D269" i="2" a="1"/>
  <c r="D270" i="2" a="1"/>
  <c r="D271" i="2" a="1"/>
  <c r="D272" i="2" a="1"/>
  <c r="D273" i="2" a="1"/>
  <c r="D274" i="2" a="1"/>
  <c r="D275" i="2" a="1"/>
  <c r="D276" i="2" a="1"/>
  <c r="D277" i="2" a="1"/>
  <c r="D278" i="2" a="1"/>
  <c r="D279" i="2" a="1"/>
  <c r="D280" i="2" a="1"/>
  <c r="D281" i="2" a="1"/>
  <c r="D282" i="2" a="1"/>
  <c r="D283" i="2" a="1"/>
  <c r="D284" i="2" a="1"/>
  <c r="D285" i="2" a="1"/>
  <c r="D286" i="2" a="1"/>
  <c r="D287" i="2" a="1"/>
  <c r="D288" i="2" a="1"/>
  <c r="D289" i="2" a="1"/>
  <c r="D290" i="2" a="1"/>
  <c r="D291" i="2" a="1"/>
  <c r="D292" i="2" a="1"/>
  <c r="D293" i="2" a="1"/>
  <c r="D294" i="2" a="1"/>
  <c r="D295" i="2" a="1"/>
  <c r="D296" i="2" a="1"/>
  <c r="D297" i="2" a="1"/>
  <c r="D298" i="2" a="1"/>
  <c r="D299" i="2" a="1"/>
  <c r="D300" i="2" a="1"/>
  <c r="D301" i="2" a="1"/>
  <c r="D302" i="2" a="1"/>
  <c r="D303" i="2" a="1"/>
  <c r="D304" i="2" a="1"/>
  <c r="D305" i="2" a="1"/>
  <c r="D306" i="2" a="1"/>
  <c r="D307" i="2" a="1"/>
  <c r="D308" i="2" a="1"/>
  <c r="D309" i="2" a="1"/>
  <c r="D310" i="2" a="1"/>
  <c r="D311" i="2" a="1"/>
  <c r="D312" i="2" a="1"/>
  <c r="D313" i="2" a="1"/>
  <c r="D314" i="2" a="1"/>
  <c r="D315" i="2" a="1"/>
  <c r="D316" i="2" a="1"/>
  <c r="D317" i="2" a="1"/>
  <c r="D318" i="2" a="1"/>
  <c r="D319" i="2" a="1"/>
  <c r="D320" i="2" a="1"/>
  <c r="D321" i="2" a="1"/>
  <c r="D322" i="2" a="1"/>
  <c r="D323" i="2" a="1"/>
  <c r="D324" i="2" a="1"/>
  <c r="D325" i="2" a="1"/>
  <c r="D326" i="2" a="1"/>
  <c r="D327" i="2" a="1"/>
  <c r="D328" i="2" a="1"/>
  <c r="D329" i="2" a="1"/>
  <c r="D330" i="2" a="1"/>
  <c r="D331" i="2" a="1"/>
  <c r="D332" i="2" a="1"/>
  <c r="D333" i="2" a="1"/>
  <c r="D334" i="2" a="1"/>
  <c r="D335" i="2" a="1"/>
  <c r="D336" i="2" a="1"/>
  <c r="D337" i="2" a="1"/>
  <c r="D338" i="2" a="1"/>
  <c r="D339" i="2" a="1"/>
  <c r="D340" i="2" a="1"/>
  <c r="D341" i="2" a="1"/>
  <c r="D342" i="2" a="1"/>
  <c r="D343" i="2" a="1"/>
  <c r="D344" i="2" a="1"/>
  <c r="D345" i="2" a="1"/>
  <c r="D346" i="2" a="1"/>
  <c r="D347" i="2" a="1"/>
  <c r="D348" i="2" a="1"/>
  <c r="D349" i="2" a="1"/>
  <c r="D350" i="2" a="1"/>
  <c r="D351" i="2" a="1"/>
  <c r="D352" i="2" a="1"/>
  <c r="D353" i="2" a="1"/>
  <c r="D354" i="2" a="1"/>
  <c r="D355" i="2" a="1"/>
  <c r="D356" i="2" a="1"/>
  <c r="D357" i="2" a="1"/>
  <c r="D358" i="2" a="1"/>
  <c r="D359" i="2" a="1"/>
  <c r="D360" i="2" a="1"/>
  <c r="D361" i="2" a="1"/>
  <c r="D362" i="2" a="1"/>
  <c r="D363" i="2" a="1"/>
  <c r="D364" i="2" a="1"/>
  <c r="D365" i="2" a="1"/>
  <c r="D366" i="2" a="1"/>
  <c r="D367" i="2" a="1"/>
  <c r="D368" i="2" a="1"/>
  <c r="D369" i="2" a="1"/>
  <c r="D370" i="2" a="1"/>
  <c r="D371" i="2" a="1"/>
  <c r="D372" i="2" a="1"/>
  <c r="D373" i="2" a="1"/>
  <c r="D374" i="2" a="1"/>
  <c r="D375" i="2" a="1"/>
  <c r="D376" i="2" a="1"/>
  <c r="D377" i="2" a="1"/>
  <c r="D378" i="2" a="1"/>
  <c r="D379" i="2" a="1"/>
  <c r="D380" i="2" a="1"/>
  <c r="D381" i="2" a="1"/>
  <c r="D382" i="2" a="1"/>
  <c r="D383" i="2" a="1"/>
  <c r="D384" i="2" a="1"/>
  <c r="D385" i="2" a="1"/>
  <c r="D386" i="2" a="1"/>
  <c r="D387" i="2" a="1"/>
  <c r="D388" i="2" a="1"/>
  <c r="D389" i="2" a="1"/>
  <c r="D390" i="2" a="1"/>
  <c r="D391" i="2" a="1"/>
  <c r="D392" i="2" a="1"/>
  <c r="D393" i="2" a="1"/>
  <c r="D394" i="2" a="1"/>
  <c r="D395" i="2" a="1"/>
  <c r="D396" i="2" a="1"/>
  <c r="D397" i="2" a="1"/>
  <c r="D398" i="2" a="1"/>
  <c r="D399" i="2" a="1"/>
  <c r="D400" i="2" a="1"/>
  <c r="D401" i="2" a="1"/>
  <c r="D402" i="2" a="1"/>
  <c r="D403" i="2" a="1"/>
  <c r="D404" i="2" a="1"/>
  <c r="D405" i="2" a="1"/>
  <c r="D406" i="2" a="1"/>
  <c r="D407" i="2" a="1"/>
  <c r="D408" i="2" a="1"/>
  <c r="D409" i="2" a="1"/>
  <c r="D410" i="2" a="1"/>
  <c r="D411" i="2" a="1"/>
  <c r="D412" i="2" a="1"/>
  <c r="D413" i="2" a="1"/>
  <c r="D414" i="2" a="1"/>
  <c r="D415" i="2" a="1"/>
  <c r="D416" i="2" a="1"/>
  <c r="D417" i="2" a="1"/>
  <c r="D418" i="2" a="1"/>
  <c r="D419" i="2" a="1"/>
  <c r="D420" i="2" a="1"/>
  <c r="D421" i="2" a="1"/>
  <c r="D422" i="2" a="1"/>
  <c r="D423" i="2" a="1"/>
  <c r="D424" i="2" a="1"/>
  <c r="D425" i="2" a="1"/>
  <c r="D426" i="2" a="1"/>
  <c r="D427" i="2" a="1"/>
  <c r="D428" i="2" a="1"/>
  <c r="D429" i="2" a="1"/>
  <c r="D430" i="2" a="1"/>
  <c r="D431" i="2" a="1"/>
  <c r="D432" i="2" a="1"/>
  <c r="D433" i="2" a="1"/>
  <c r="D434" i="2" a="1"/>
  <c r="D435" i="2" a="1"/>
  <c r="D436" i="2" a="1"/>
  <c r="D437" i="2" a="1"/>
  <c r="D438" i="2" a="1"/>
  <c r="D439" i="2" a="1"/>
  <c r="D440" i="2" a="1"/>
  <c r="D441" i="2" a="1"/>
  <c r="D442" i="2" a="1"/>
  <c r="D443" i="2" a="1"/>
  <c r="D444" i="2" a="1"/>
  <c r="D445" i="2" a="1"/>
  <c r="D446" i="2" a="1"/>
  <c r="D447" i="2" a="1"/>
  <c r="D448" i="2" a="1"/>
  <c r="D449" i="2" a="1"/>
  <c r="D450" i="2" a="1"/>
  <c r="D451" i="2" a="1"/>
  <c r="D452" i="2" a="1"/>
  <c r="D453" i="2" a="1"/>
  <c r="D454" i="2" a="1"/>
  <c r="D455" i="2" a="1"/>
  <c r="D456" i="2" a="1"/>
  <c r="D457" i="2" a="1"/>
  <c r="D458" i="2" a="1"/>
  <c r="D459" i="2" a="1"/>
  <c r="D460" i="2" a="1"/>
  <c r="D461" i="2" a="1"/>
  <c r="D462" i="2" a="1"/>
  <c r="D463" i="2" a="1"/>
  <c r="D464" i="2" a="1"/>
  <c r="D465" i="2" a="1"/>
  <c r="D466" i="2" a="1"/>
  <c r="D467" i="2" a="1"/>
  <c r="D468" i="2" a="1"/>
  <c r="D469" i="2" a="1"/>
  <c r="D470" i="2" a="1"/>
  <c r="D471" i="2" a="1"/>
  <c r="D472" i="2" a="1"/>
  <c r="D473" i="2" a="1"/>
  <c r="D474" i="2" a="1"/>
  <c r="D475" i="2" a="1"/>
  <c r="D476" i="2" a="1"/>
  <c r="D477" i="2" a="1"/>
  <c r="D478" i="2" a="1"/>
  <c r="D479" i="2" a="1"/>
  <c r="D480" i="2" a="1"/>
  <c r="D481" i="2" a="1"/>
  <c r="D482" i="2" a="1"/>
  <c r="D483" i="2" a="1"/>
  <c r="D484" i="2" a="1"/>
  <c r="D485" i="2" a="1"/>
  <c r="D486" i="2" a="1"/>
  <c r="D487" i="2" a="1"/>
  <c r="D488" i="2" a="1"/>
  <c r="D489" i="2" a="1"/>
  <c r="D490" i="2" a="1"/>
  <c r="D491" i="2" a="1"/>
  <c r="D492" i="2" a="1"/>
  <c r="D493" i="2" a="1"/>
  <c r="D494" i="2" a="1"/>
  <c r="D495" i="2" a="1"/>
  <c r="D496" i="2" a="1"/>
  <c r="D497" i="2" a="1"/>
  <c r="D498" i="2" a="1"/>
  <c r="D499" i="2" a="1"/>
  <c r="D500" i="2" a="1"/>
  <c r="D501" i="2" a="1"/>
  <c r="D502" i="2" a="1"/>
  <c r="D503" i="2" a="1"/>
  <c r="D504" i="2" a="1"/>
  <c r="D505" i="2" a="1"/>
  <c r="D506" i="2" a="1"/>
  <c r="D507" i="2" a="1"/>
  <c r="D508" i="2" a="1"/>
  <c r="D509" i="2" a="1"/>
  <c r="D510" i="2" a="1"/>
  <c r="D511" i="2" a="1"/>
  <c r="D512" i="2" a="1"/>
  <c r="D513" i="2" a="1"/>
  <c r="D514" i="2" a="1"/>
  <c r="D515" i="2" a="1"/>
  <c r="D516" i="2" a="1"/>
  <c r="D517" i="2" a="1"/>
  <c r="D518" i="2" a="1"/>
  <c r="D519" i="2" a="1"/>
  <c r="D520" i="2" a="1"/>
  <c r="D521" i="2" a="1"/>
  <c r="D522" i="2" a="1"/>
  <c r="D523" i="2" a="1"/>
  <c r="D524" i="2" a="1"/>
  <c r="D525" i="2" a="1"/>
  <c r="D526" i="2" a="1"/>
  <c r="D527" i="2" a="1"/>
  <c r="D528" i="2" a="1"/>
  <c r="D529" i="2" a="1"/>
  <c r="D530" i="2" a="1"/>
  <c r="D531" i="2" a="1"/>
  <c r="D532" i="2" a="1"/>
  <c r="D533" i="2" a="1"/>
  <c r="D534" i="2" a="1"/>
  <c r="D535" i="2" a="1"/>
  <c r="D536" i="2" a="1"/>
  <c r="D537" i="2" a="1"/>
  <c r="D538" i="2" a="1"/>
  <c r="D539" i="2" a="1"/>
  <c r="D540" i="2" a="1"/>
  <c r="D541" i="2" a="1"/>
  <c r="D542" i="2" a="1"/>
  <c r="D543" i="2" a="1"/>
  <c r="D544" i="2" a="1"/>
  <c r="D545" i="2" a="1"/>
  <c r="D546" i="2" a="1"/>
  <c r="D547" i="2" a="1"/>
  <c r="D548" i="2" a="1"/>
  <c r="D549" i="2" a="1"/>
  <c r="D550" i="2" a="1"/>
  <c r="D551" i="2" a="1"/>
  <c r="D552" i="2" a="1"/>
  <c r="D553" i="2" a="1"/>
  <c r="D554" i="2" a="1"/>
  <c r="D555" i="2" a="1"/>
  <c r="D556" i="2" a="1"/>
  <c r="D557" i="2" a="1"/>
  <c r="D558" i="2" a="1"/>
  <c r="D559" i="2" a="1"/>
  <c r="D560" i="2" a="1"/>
  <c r="D561" i="2" a="1"/>
  <c r="D562" i="2" a="1"/>
  <c r="D563" i="2" a="1"/>
  <c r="D564" i="2" a="1"/>
  <c r="D565" i="2" a="1"/>
  <c r="D566" i="2" a="1"/>
  <c r="D567" i="2" a="1"/>
  <c r="D568" i="2" a="1"/>
  <c r="D569" i="2" a="1"/>
  <c r="D570" i="2" a="1"/>
  <c r="D571" i="2" a="1"/>
  <c r="D572" i="2" a="1"/>
  <c r="D573" i="2" a="1"/>
  <c r="D574" i="2" a="1"/>
  <c r="D575" i="2" a="1"/>
  <c r="D576" i="2" a="1"/>
  <c r="D577" i="2" a="1"/>
  <c r="D578" i="2" a="1"/>
  <c r="D579" i="2" a="1"/>
  <c r="D580" i="2" a="1"/>
  <c r="D581" i="2" a="1"/>
  <c r="D582" i="2" a="1"/>
  <c r="D583" i="2" a="1"/>
  <c r="D584" i="2" a="1"/>
  <c r="D585" i="2" a="1"/>
  <c r="D586" i="2" a="1"/>
  <c r="D587" i="2" a="1"/>
  <c r="D588" i="2" a="1"/>
  <c r="D589" i="2" a="1"/>
  <c r="D590" i="2" a="1"/>
  <c r="D591" i="2" a="1"/>
  <c r="D592" i="2" a="1"/>
  <c r="D593" i="2" a="1"/>
  <c r="D594" i="2" a="1"/>
  <c r="D595" i="2" a="1"/>
  <c r="D596" i="2" a="1"/>
  <c r="D597" i="2" a="1"/>
  <c r="D598" i="2" a="1"/>
  <c r="D599" i="2" a="1"/>
  <c r="D600" i="2" a="1"/>
  <c r="D601" i="2" a="1"/>
  <c r="D602" i="2" a="1"/>
  <c r="D603" i="2" a="1"/>
  <c r="D604" i="2" a="1"/>
  <c r="D605" i="2" a="1"/>
  <c r="D606" i="2" a="1"/>
  <c r="D607" i="2" a="1"/>
  <c r="D608" i="2" a="1"/>
  <c r="D609" i="2" a="1"/>
  <c r="D610" i="2" a="1"/>
  <c r="D611" i="2" a="1"/>
  <c r="D612" i="2" a="1"/>
  <c r="D613" i="2" a="1"/>
  <c r="D614" i="2" a="1"/>
  <c r="D615" i="2" a="1"/>
  <c r="D616" i="2" a="1"/>
  <c r="D617" i="2" a="1"/>
  <c r="D618" i="2" a="1"/>
  <c r="D619" i="2" a="1"/>
  <c r="D620" i="2" a="1"/>
  <c r="D621" i="2" a="1"/>
  <c r="D622" i="2" a="1"/>
  <c r="D623" i="2" a="1"/>
  <c r="D624" i="2" a="1"/>
  <c r="D625" i="2" a="1"/>
  <c r="D626" i="2" a="1"/>
  <c r="D627" i="2" a="1"/>
  <c r="D628" i="2" a="1"/>
  <c r="D629" i="2" a="1"/>
  <c r="D630" i="2" a="1"/>
  <c r="D631" i="2" a="1"/>
  <c r="D632" i="2" a="1"/>
  <c r="D633" i="2" a="1"/>
  <c r="D634" i="2" a="1"/>
  <c r="D635" i="2" a="1"/>
  <c r="D636" i="2" a="1"/>
  <c r="D637" i="2" a="1"/>
  <c r="D638" i="2" a="1"/>
  <c r="D639" i="2" a="1"/>
  <c r="D640" i="2" a="1"/>
  <c r="D641" i="2" a="1"/>
  <c r="D642" i="2" a="1"/>
  <c r="D643" i="2" a="1"/>
  <c r="D644" i="2" a="1"/>
  <c r="D645" i="2" a="1"/>
  <c r="D646" i="2" a="1"/>
  <c r="D647" i="2" a="1"/>
  <c r="D648" i="2" a="1"/>
  <c r="D649" i="2" a="1"/>
  <c r="D650" i="2" a="1"/>
  <c r="D651" i="2" a="1"/>
  <c r="D652" i="2" a="1"/>
  <c r="D653" i="2" a="1"/>
  <c r="D654" i="2" a="1"/>
  <c r="D655" i="2" a="1"/>
  <c r="D656" i="2" a="1"/>
  <c r="D657" i="2" a="1"/>
  <c r="D658" i="2" a="1"/>
  <c r="D659" i="2" a="1"/>
  <c r="D660" i="2" a="1"/>
  <c r="D661" i="2" a="1"/>
  <c r="D662" i="2" a="1"/>
  <c r="D663" i="2" a="1"/>
  <c r="D664" i="2" a="1"/>
  <c r="D665" i="2" a="1"/>
  <c r="D666" i="2" a="1"/>
  <c r="D667" i="2" a="1"/>
  <c r="D668" i="2" a="1"/>
  <c r="D669" i="2" a="1"/>
  <c r="D670" i="2" a="1"/>
  <c r="D671" i="2" a="1"/>
  <c r="D672" i="2" a="1"/>
  <c r="D673" i="2" a="1"/>
  <c r="D674" i="2" a="1"/>
  <c r="D675" i="2" a="1"/>
  <c r="D676" i="2" a="1"/>
  <c r="D677" i="2" a="1"/>
  <c r="D678" i="2" a="1"/>
  <c r="D679" i="2" a="1"/>
  <c r="D680" i="2" a="1"/>
  <c r="D681" i="2" a="1"/>
  <c r="D682" i="2" a="1"/>
  <c r="D683" i="2" a="1"/>
  <c r="D684" i="2" a="1"/>
  <c r="D685" i="2" a="1"/>
  <c r="D686" i="2" a="1"/>
  <c r="D687" i="2" a="1"/>
  <c r="D688" i="2" a="1"/>
  <c r="D689" i="2" a="1"/>
  <c r="D690" i="2" a="1"/>
  <c r="D691" i="2" a="1"/>
  <c r="D692" i="2" a="1"/>
  <c r="D693" i="2" a="1"/>
  <c r="D694" i="2" a="1"/>
  <c r="D695" i="2" a="1"/>
  <c r="D696" i="2" a="1"/>
  <c r="D697" i="2" a="1"/>
  <c r="D698" i="2" a="1"/>
  <c r="D699" i="2" a="1"/>
  <c r="D700" i="2" a="1"/>
  <c r="D701" i="2" a="1"/>
  <c r="D702" i="2" a="1"/>
  <c r="D703" i="2" a="1"/>
  <c r="D704" i="2" a="1"/>
  <c r="D705" i="2" a="1"/>
  <c r="D706" i="2" a="1"/>
  <c r="D707" i="2" a="1"/>
  <c r="D708" i="2" a="1"/>
  <c r="D709" i="2" a="1"/>
  <c r="D710" i="2" a="1"/>
  <c r="D711" i="2" a="1"/>
  <c r="D712" i="2" a="1"/>
  <c r="D713" i="2" a="1"/>
  <c r="D714" i="2" a="1"/>
  <c r="D715" i="2" a="1"/>
  <c r="D716" i="2" a="1"/>
  <c r="D717" i="2" a="1"/>
  <c r="D718" i="2" a="1"/>
  <c r="D719" i="2" a="1"/>
  <c r="D720" i="2" a="1"/>
  <c r="D721" i="2" a="1"/>
  <c r="D722" i="2" a="1"/>
  <c r="D723" i="2" a="1"/>
  <c r="D724" i="2" a="1"/>
  <c r="D725" i="2" a="1"/>
  <c r="D726" i="2" a="1"/>
  <c r="D727" i="2" a="1"/>
  <c r="D728" i="2" a="1"/>
  <c r="D729" i="2" a="1"/>
  <c r="D730" i="2" a="1"/>
  <c r="D731" i="2" a="1"/>
  <c r="D732" i="2" a="1"/>
  <c r="D733" i="2" a="1"/>
  <c r="D734" i="2" a="1"/>
  <c r="D735" i="2" a="1"/>
  <c r="D736" i="2" a="1"/>
  <c r="D737" i="2" a="1"/>
  <c r="D738" i="2" a="1"/>
  <c r="D739" i="2" a="1"/>
  <c r="D740" i="2" a="1"/>
  <c r="D741" i="2" a="1"/>
  <c r="D742" i="2" a="1"/>
  <c r="D743" i="2" a="1"/>
  <c r="D744" i="2" a="1"/>
  <c r="D745" i="2" a="1"/>
  <c r="D746" i="2" a="1"/>
  <c r="D747" i="2" a="1"/>
  <c r="D748" i="2" a="1"/>
  <c r="D749" i="2" a="1"/>
  <c r="D750" i="2" a="1"/>
  <c r="D751" i="2" a="1"/>
  <c r="D752" i="2" a="1"/>
  <c r="D753" i="2" a="1"/>
  <c r="D754" i="2" a="1"/>
  <c r="D755" i="2" a="1"/>
  <c r="D756" i="2" a="1"/>
  <c r="D757" i="2" a="1"/>
  <c r="D758" i="2" a="1"/>
  <c r="D759" i="2" a="1"/>
  <c r="D760" i="2" a="1"/>
  <c r="D761" i="2" a="1"/>
  <c r="D762" i="2" a="1"/>
  <c r="D763" i="2" a="1"/>
  <c r="D764" i="2" a="1"/>
  <c r="D765" i="2" a="1"/>
  <c r="D766" i="2" a="1"/>
  <c r="D767" i="2" a="1"/>
  <c r="D768" i="2" a="1"/>
  <c r="D769" i="2" a="1"/>
  <c r="D770" i="2" a="1"/>
  <c r="D771" i="2" a="1"/>
  <c r="D772" i="2" a="1"/>
  <c r="D773" i="2" a="1"/>
  <c r="D774" i="2" a="1"/>
  <c r="D775" i="2" a="1"/>
  <c r="D776" i="2" a="1"/>
  <c r="D777" i="2" a="1"/>
  <c r="D778" i="2" a="1"/>
  <c r="D779" i="2" a="1"/>
  <c r="D780" i="2" a="1"/>
  <c r="D781" i="2" a="1"/>
  <c r="D782" i="2" a="1"/>
  <c r="D783" i="2" a="1"/>
  <c r="D784" i="2" a="1"/>
  <c r="D785" i="2" a="1"/>
  <c r="D786" i="2" a="1"/>
  <c r="D787" i="2" a="1"/>
  <c r="D788" i="2" a="1"/>
  <c r="D789" i="2" a="1"/>
  <c r="D790" i="2" a="1"/>
  <c r="D791" i="2" a="1"/>
  <c r="D792" i="2" a="1"/>
  <c r="D793" i="2" a="1"/>
  <c r="D794" i="2" a="1"/>
  <c r="D795" i="2" a="1"/>
  <c r="D796" i="2" a="1"/>
  <c r="D797" i="2" a="1"/>
  <c r="D798" i="2" a="1"/>
  <c r="D799" i="2" a="1"/>
  <c r="D800" i="2" a="1"/>
  <c r="D801" i="2" a="1"/>
  <c r="D802" i="2" a="1"/>
  <c r="D803" i="2" a="1"/>
  <c r="D804" i="2" a="1"/>
  <c r="D805" i="2" a="1"/>
  <c r="D806" i="2" a="1"/>
  <c r="D807" i="2" a="1"/>
  <c r="D808" i="2" a="1"/>
  <c r="D809" i="2" a="1"/>
  <c r="D810" i="2" a="1"/>
  <c r="D811" i="2" a="1"/>
  <c r="D812" i="2" a="1"/>
  <c r="D813" i="2" a="1"/>
  <c r="D814" i="2" a="1"/>
  <c r="D815" i="2" a="1"/>
  <c r="D816" i="2" a="1"/>
  <c r="D817" i="2" a="1"/>
  <c r="D818" i="2" a="1"/>
  <c r="D819" i="2" a="1"/>
  <c r="D820" i="2" a="1"/>
  <c r="D821" i="2" a="1"/>
  <c r="D822" i="2" a="1"/>
  <c r="D823" i="2" a="1"/>
  <c r="D824" i="2" a="1"/>
  <c r="D825" i="2" a="1"/>
  <c r="D826" i="2" a="1"/>
  <c r="D827" i="2" a="1"/>
  <c r="D828" i="2" a="1"/>
  <c r="D829" i="2" a="1"/>
  <c r="D830" i="2" a="1"/>
  <c r="D831" i="2" a="1"/>
  <c r="D832" i="2" a="1"/>
  <c r="D833" i="2" a="1"/>
  <c r="D834" i="2" a="1"/>
  <c r="D835" i="2" a="1"/>
  <c r="D836" i="2" a="1"/>
  <c r="D837" i="2" a="1"/>
  <c r="D838" i="2" a="1"/>
  <c r="D839" i="2" a="1"/>
  <c r="D840" i="2" a="1"/>
  <c r="D841" i="2" a="1"/>
  <c r="D842" i="2" a="1"/>
  <c r="D843" i="2" a="1"/>
  <c r="D844" i="2" a="1"/>
  <c r="D845" i="2" a="1"/>
  <c r="D846" i="2" a="1"/>
  <c r="D847" i="2" a="1"/>
  <c r="D848" i="2" a="1"/>
  <c r="D849" i="2" a="1"/>
  <c r="D850" i="2" a="1"/>
  <c r="D851" i="2" a="1"/>
  <c r="D852" i="2" a="1"/>
  <c r="D853" i="2" a="1"/>
  <c r="D854" i="2" a="1"/>
  <c r="D855" i="2" a="1"/>
  <c r="D856" i="2" a="1"/>
  <c r="D857" i="2" a="1"/>
  <c r="D858" i="2" a="1"/>
  <c r="D859" i="2" a="1"/>
  <c r="D860" i="2" a="1"/>
  <c r="D861" i="2" a="1"/>
  <c r="D862" i="2" a="1"/>
  <c r="D863" i="2" a="1"/>
  <c r="D864" i="2" a="1"/>
  <c r="D865" i="2" a="1"/>
  <c r="D866" i="2" a="1"/>
  <c r="D867" i="2" a="1"/>
  <c r="D868" i="2" a="1"/>
  <c r="D869" i="2" a="1"/>
  <c r="D870" i="2" a="1"/>
  <c r="D871" i="2" a="1"/>
  <c r="D872" i="2" a="1"/>
  <c r="D873" i="2" a="1"/>
  <c r="D874" i="2" a="1"/>
  <c r="D875" i="2" a="1"/>
  <c r="D876" i="2" a="1"/>
  <c r="D877" i="2" a="1"/>
  <c r="D878" i="2" a="1"/>
  <c r="D879" i="2" a="1"/>
  <c r="D880" i="2" a="1"/>
  <c r="D881" i="2" a="1"/>
  <c r="D882" i="2" a="1"/>
  <c r="D883" i="2" a="1"/>
  <c r="D884" i="2" a="1"/>
  <c r="D885" i="2" a="1"/>
  <c r="D886" i="2" a="1"/>
  <c r="D887" i="2" a="1"/>
  <c r="D888" i="2" a="1"/>
  <c r="D889" i="2" a="1"/>
  <c r="D890" i="2" a="1"/>
  <c r="D891" i="2" a="1"/>
  <c r="D892" i="2" a="1"/>
  <c r="D893" i="2" a="1"/>
  <c r="D894" i="2" a="1"/>
  <c r="D895" i="2" a="1"/>
  <c r="D896" i="2" a="1"/>
  <c r="D897" i="2" a="1"/>
  <c r="D898" i="2" a="1"/>
  <c r="D899" i="2" a="1"/>
  <c r="D900" i="2" a="1"/>
  <c r="D901" i="2" a="1"/>
  <c r="D902" i="2" a="1"/>
  <c r="D903" i="2" a="1"/>
  <c r="D904" i="2" a="1"/>
  <c r="D905" i="2" a="1"/>
  <c r="D906" i="2" a="1"/>
  <c r="D907" i="2" a="1"/>
  <c r="D908" i="2" a="1"/>
  <c r="D909" i="2" a="1"/>
  <c r="D910" i="2" a="1"/>
  <c r="D911" i="2" a="1"/>
  <c r="D912" i="2" a="1"/>
  <c r="D913" i="2" a="1"/>
  <c r="D914" i="2" a="1"/>
  <c r="D915" i="2" a="1"/>
  <c r="D916" i="2" a="1"/>
  <c r="D917" i="2" a="1"/>
  <c r="D918" i="2" a="1"/>
  <c r="D919" i="2" a="1"/>
  <c r="D920" i="2" a="1"/>
  <c r="D921" i="2" a="1"/>
  <c r="D922" i="2" a="1"/>
  <c r="D923" i="2" a="1"/>
  <c r="D924" i="2" a="1"/>
  <c r="D925" i="2" a="1"/>
  <c r="D2" i="2" a="1"/>
  <c r="F2" i="2" a="1"/>
  <c r="N2" i="1" s="1" a="1"/>
  <c r="E2" i="2" a="1"/>
  <c r="E3" i="2" a="1"/>
  <c r="E4" i="2" a="1"/>
  <c r="E5" i="2" a="1"/>
  <c r="E6" i="2" a="1"/>
  <c r="E7" i="2" a="1"/>
  <c r="E8" i="2" a="1"/>
  <c r="E9" i="2" a="1"/>
  <c r="E10" i="2" a="1"/>
  <c r="E11" i="2" a="1"/>
  <c r="E12" i="2" a="1"/>
  <c r="E13" i="2" a="1"/>
  <c r="E14" i="2" a="1"/>
  <c r="E15" i="2" a="1"/>
  <c r="E16" i="2" a="1"/>
  <c r="E17" i="2" a="1"/>
  <c r="E18" i="2" a="1"/>
  <c r="E19" i="2" a="1"/>
  <c r="E20" i="2" a="1"/>
  <c r="E21" i="2" a="1"/>
  <c r="E22" i="2" a="1"/>
  <c r="E23" i="2" a="1"/>
  <c r="E24" i="2" a="1"/>
  <c r="E25" i="2" a="1"/>
  <c r="E26" i="2" a="1"/>
  <c r="E27" i="2" a="1"/>
  <c r="E28" i="2" a="1"/>
  <c r="E29" i="2" a="1"/>
  <c r="E30" i="2" a="1"/>
  <c r="E31" i="2" a="1"/>
  <c r="E32" i="2" a="1"/>
  <c r="E33" i="2" a="1"/>
  <c r="E34" i="2" a="1"/>
  <c r="E35" i="2" a="1"/>
  <c r="E36" i="2" a="1"/>
  <c r="E37" i="2" a="1"/>
  <c r="E38" i="2" a="1"/>
  <c r="E39" i="2" a="1"/>
  <c r="E40" i="2" a="1"/>
  <c r="E41" i="2" a="1"/>
  <c r="E42" i="2" a="1"/>
  <c r="E43" i="2" a="1"/>
  <c r="E44" i="2" a="1"/>
  <c r="E45" i="2" a="1"/>
  <c r="E46" i="2" a="1"/>
  <c r="E47" i="2" a="1"/>
  <c r="E48" i="2" a="1"/>
  <c r="E49" i="2" a="1"/>
  <c r="E50" i="2" a="1"/>
  <c r="E51" i="2" a="1"/>
  <c r="E52" i="2" a="1"/>
  <c r="E53" i="2" a="1"/>
  <c r="E54" i="2" a="1"/>
  <c r="E55" i="2" a="1"/>
  <c r="E56" i="2" a="1"/>
  <c r="E57" i="2" a="1"/>
  <c r="E58" i="2" a="1"/>
  <c r="E59" i="2" a="1"/>
  <c r="E60" i="2" a="1"/>
  <c r="E61" i="2" a="1"/>
  <c r="E62" i="2" a="1"/>
  <c r="E63" i="2" a="1"/>
  <c r="E64" i="2" a="1"/>
  <c r="E65" i="2" a="1"/>
  <c r="E66" i="2" a="1"/>
  <c r="E67" i="2" a="1"/>
  <c r="E68" i="2" a="1"/>
  <c r="E69" i="2" a="1"/>
  <c r="E70" i="2" a="1"/>
  <c r="E71" i="2" a="1"/>
  <c r="E72" i="2" a="1"/>
  <c r="E73" i="2" a="1"/>
  <c r="E74" i="2" a="1"/>
  <c r="E75" i="2" a="1"/>
  <c r="E76" i="2" a="1"/>
  <c r="E77" i="2" a="1"/>
  <c r="E78" i="2" a="1"/>
  <c r="E79" i="2" a="1"/>
  <c r="E80" i="2" a="1"/>
  <c r="E81" i="2" a="1"/>
  <c r="E82" i="2" a="1"/>
  <c r="E83" i="2" a="1"/>
  <c r="E84" i="2" a="1"/>
  <c r="E85" i="2" a="1"/>
  <c r="E86" i="2" a="1"/>
  <c r="E87" i="2" a="1"/>
  <c r="E88" i="2" a="1"/>
  <c r="E89" i="2" a="1"/>
  <c r="E90" i="2" a="1"/>
  <c r="E91" i="2" a="1"/>
  <c r="E92" i="2" a="1"/>
  <c r="E93" i="2" a="1"/>
  <c r="E94" i="2" a="1"/>
  <c r="E95" i="2" a="1"/>
  <c r="E96" i="2" a="1"/>
  <c r="E97" i="2" a="1"/>
  <c r="E98" i="2" a="1"/>
  <c r="E99" i="2" a="1"/>
  <c r="E100" i="2" a="1"/>
  <c r="E101" i="2" a="1"/>
  <c r="E102" i="2" a="1"/>
  <c r="E103" i="2" a="1"/>
  <c r="E104" i="2" a="1"/>
  <c r="E105" i="2" a="1"/>
  <c r="E106" i="2" a="1"/>
  <c r="E107" i="2" a="1"/>
  <c r="E108" i="2" a="1"/>
  <c r="E109" i="2" a="1"/>
  <c r="E110" i="2" a="1"/>
  <c r="E111" i="2" a="1"/>
  <c r="E112" i="2" a="1"/>
  <c r="E113" i="2" a="1"/>
  <c r="E114" i="2" a="1"/>
  <c r="E115" i="2" a="1"/>
  <c r="E116" i="2" a="1"/>
  <c r="E117" i="2" a="1"/>
  <c r="E118" i="2" a="1"/>
  <c r="E119" i="2" a="1"/>
  <c r="E120" i="2" a="1"/>
  <c r="E121" i="2" a="1"/>
  <c r="E122" i="2" a="1"/>
  <c r="E123" i="2" a="1"/>
  <c r="E124" i="2" a="1"/>
  <c r="E125" i="2" a="1"/>
  <c r="E126" i="2" a="1"/>
  <c r="E127" i="2" a="1"/>
  <c r="E128" i="2" a="1"/>
  <c r="E129" i="2" a="1"/>
  <c r="E130" i="2" a="1"/>
  <c r="E131" i="2" a="1"/>
  <c r="E132" i="2" a="1"/>
  <c r="E133" i="2" a="1"/>
  <c r="E134" i="2" a="1"/>
  <c r="E135" i="2" a="1"/>
  <c r="E136" i="2" a="1"/>
  <c r="E137" i="2" a="1"/>
  <c r="E138" i="2" a="1"/>
  <c r="E139" i="2" a="1"/>
  <c r="E140" i="2" a="1"/>
  <c r="E141" i="2" a="1"/>
  <c r="E142" i="2" a="1"/>
  <c r="E143" i="2" a="1"/>
  <c r="E144" i="2" a="1"/>
  <c r="E145" i="2" a="1"/>
  <c r="E146" i="2" a="1"/>
  <c r="E147" i="2" a="1"/>
  <c r="E148" i="2" a="1"/>
  <c r="E149" i="2" a="1"/>
  <c r="E150" i="2" a="1"/>
  <c r="E151" i="2" a="1"/>
  <c r="E152" i="2" a="1"/>
  <c r="E153" i="2" a="1"/>
  <c r="E154" i="2" a="1"/>
  <c r="E155" i="2" a="1"/>
  <c r="E156" i="2" a="1"/>
  <c r="E157" i="2" a="1"/>
  <c r="E158" i="2" a="1"/>
  <c r="E159" i="2" a="1"/>
  <c r="E160" i="2" a="1"/>
  <c r="E161" i="2" a="1"/>
  <c r="E162" i="2" a="1"/>
  <c r="E163" i="2" a="1"/>
  <c r="E164" i="2" a="1"/>
  <c r="E165" i="2" a="1"/>
  <c r="E166" i="2" a="1"/>
  <c r="E167" i="2" a="1"/>
  <c r="E168" i="2" a="1"/>
  <c r="E169" i="2" a="1"/>
  <c r="E170" i="2" a="1"/>
  <c r="E171" i="2" a="1"/>
  <c r="E172" i="2" a="1"/>
  <c r="E173" i="2" a="1"/>
  <c r="E174" i="2" a="1"/>
  <c r="E175" i="2" a="1"/>
  <c r="E176" i="2" a="1"/>
  <c r="E177" i="2" a="1"/>
  <c r="E178" i="2" a="1"/>
  <c r="E179" i="2" a="1"/>
  <c r="E180" i="2" a="1"/>
  <c r="E181" i="2" a="1"/>
  <c r="E182" i="2" a="1"/>
  <c r="E183" i="2" a="1"/>
  <c r="E184" i="2" a="1"/>
  <c r="E185" i="2" a="1"/>
  <c r="E186" i="2" a="1"/>
  <c r="E187" i="2" a="1"/>
  <c r="E188" i="2" a="1"/>
  <c r="E189" i="2" a="1"/>
  <c r="E190" i="2" a="1"/>
  <c r="E191" i="2" a="1"/>
  <c r="E192" i="2" a="1"/>
  <c r="E193" i="2" a="1"/>
  <c r="E194" i="2" a="1"/>
  <c r="E195" i="2" a="1"/>
  <c r="E196" i="2" a="1"/>
  <c r="E197" i="2" a="1"/>
  <c r="E198" i="2" a="1"/>
  <c r="E199" i="2" a="1"/>
  <c r="E200" i="2" a="1"/>
  <c r="E201" i="2" a="1"/>
  <c r="E202" i="2" a="1"/>
  <c r="E203" i="2" a="1"/>
  <c r="E204" i="2" a="1"/>
  <c r="E205" i="2" a="1"/>
  <c r="E206" i="2" a="1"/>
  <c r="E207" i="2" a="1"/>
  <c r="E208" i="2" a="1"/>
  <c r="E209" i="2" a="1"/>
  <c r="E210" i="2" a="1"/>
  <c r="E211" i="2" a="1"/>
  <c r="E212" i="2" a="1"/>
  <c r="E213" i="2" a="1"/>
  <c r="E214" i="2" a="1"/>
  <c r="E215" i="2" a="1"/>
  <c r="E216" i="2" a="1"/>
  <c r="E217" i="2" a="1"/>
  <c r="E218" i="2" a="1"/>
  <c r="E219" i="2" a="1"/>
  <c r="E220" i="2" a="1"/>
  <c r="E221" i="2" a="1"/>
  <c r="E222" i="2" a="1"/>
  <c r="E223" i="2" a="1"/>
  <c r="E224" i="2" a="1"/>
  <c r="E225" i="2" a="1"/>
  <c r="E226" i="2" a="1"/>
  <c r="E227" i="2" a="1"/>
  <c r="E228" i="2" a="1"/>
  <c r="E229" i="2" a="1"/>
  <c r="E230" i="2" a="1"/>
  <c r="E231" i="2" a="1"/>
  <c r="E232" i="2" a="1"/>
  <c r="E233" i="2" a="1"/>
  <c r="E234" i="2" a="1"/>
  <c r="E235" i="2" a="1"/>
  <c r="E236" i="2" a="1"/>
  <c r="E237" i="2" a="1"/>
  <c r="E238" i="2" a="1"/>
  <c r="E239" i="2" a="1"/>
  <c r="E240" i="2" a="1"/>
  <c r="E241" i="2" a="1"/>
  <c r="E242" i="2" a="1"/>
  <c r="E243" i="2" a="1"/>
  <c r="E244" i="2" a="1"/>
  <c r="E245" i="2" a="1"/>
  <c r="E246" i="2" a="1"/>
  <c r="E247" i="2" a="1"/>
  <c r="E248" i="2" a="1"/>
  <c r="E249" i="2" a="1"/>
  <c r="E250" i="2" a="1"/>
  <c r="E251" i="2" a="1"/>
  <c r="E252" i="2" a="1"/>
  <c r="E253" i="2" a="1"/>
  <c r="E254" i="2" a="1"/>
  <c r="E255" i="2" a="1"/>
  <c r="E256" i="2" a="1"/>
  <c r="E257" i="2" a="1"/>
  <c r="E258" i="2" a="1"/>
  <c r="E259" i="2" a="1"/>
  <c r="E260" i="2" a="1"/>
  <c r="E261" i="2" a="1"/>
  <c r="E262" i="2" a="1"/>
  <c r="E263" i="2" a="1"/>
  <c r="E264" i="2" a="1"/>
  <c r="E265" i="2" a="1"/>
  <c r="E266" i="2" a="1"/>
  <c r="E267" i="2" a="1"/>
  <c r="E268" i="2" a="1"/>
  <c r="E269" i="2" a="1"/>
  <c r="E270" i="2" a="1"/>
  <c r="E271" i="2" a="1"/>
  <c r="E272" i="2" a="1"/>
  <c r="E273" i="2" a="1"/>
  <c r="E274" i="2" a="1"/>
  <c r="E275" i="2" a="1"/>
  <c r="E276" i="2" a="1"/>
  <c r="E277" i="2" a="1"/>
  <c r="E278" i="2" a="1"/>
  <c r="E279" i="2" a="1"/>
  <c r="E280" i="2" a="1"/>
  <c r="E281" i="2" a="1"/>
  <c r="E282" i="2" a="1"/>
  <c r="E283" i="2" a="1"/>
  <c r="E284" i="2" a="1"/>
  <c r="E285" i="2" a="1"/>
  <c r="E286" i="2" a="1"/>
  <c r="E287" i="2" a="1"/>
  <c r="E288" i="2" a="1"/>
  <c r="E289" i="2" a="1"/>
  <c r="E290" i="2" a="1"/>
  <c r="E291" i="2" a="1"/>
  <c r="E292" i="2" a="1"/>
  <c r="E293" i="2" a="1"/>
  <c r="E294" i="2" a="1"/>
  <c r="E295" i="2" a="1"/>
  <c r="E296" i="2" a="1"/>
  <c r="E297" i="2" a="1"/>
  <c r="E298" i="2" a="1"/>
  <c r="E299" i="2" a="1"/>
  <c r="E300" i="2" a="1"/>
  <c r="E301" i="2" a="1"/>
  <c r="E302" i="2" a="1"/>
  <c r="E303" i="2" a="1"/>
  <c r="E304" i="2" a="1"/>
  <c r="E305" i="2" a="1"/>
  <c r="E306" i="2" a="1"/>
  <c r="E307" i="2" a="1"/>
  <c r="E308" i="2" a="1"/>
  <c r="E309" i="2" a="1"/>
  <c r="E310" i="2" a="1"/>
  <c r="E311" i="2" a="1"/>
  <c r="E312" i="2" a="1"/>
  <c r="E313" i="2" a="1"/>
  <c r="E314" i="2" a="1"/>
  <c r="E315" i="2" a="1"/>
  <c r="E316" i="2" a="1"/>
  <c r="E317" i="2" a="1"/>
  <c r="E318" i="2" a="1"/>
  <c r="E319" i="2" a="1"/>
  <c r="E320" i="2" a="1"/>
  <c r="E321" i="2" a="1"/>
  <c r="E322" i="2" a="1"/>
  <c r="E323" i="2" a="1"/>
  <c r="E324" i="2" a="1"/>
  <c r="E325" i="2" a="1"/>
  <c r="E326" i="2" a="1"/>
  <c r="E327" i="2" a="1"/>
  <c r="E328" i="2" a="1"/>
  <c r="E329" i="2" a="1"/>
  <c r="E330" i="2" a="1"/>
  <c r="E331" i="2" a="1"/>
  <c r="E332" i="2" a="1"/>
  <c r="E333" i="2" a="1"/>
  <c r="E334" i="2" a="1"/>
  <c r="E335" i="2" a="1"/>
  <c r="E336" i="2" a="1"/>
  <c r="E337" i="2" a="1"/>
  <c r="E338" i="2" a="1"/>
  <c r="E339" i="2" a="1"/>
  <c r="E340" i="2" a="1"/>
  <c r="E341" i="2" a="1"/>
  <c r="E342" i="2" a="1"/>
  <c r="E343" i="2" a="1"/>
  <c r="E344" i="2" a="1"/>
  <c r="E345" i="2" a="1"/>
  <c r="E346" i="2" a="1"/>
  <c r="E347" i="2" a="1"/>
  <c r="E348" i="2" a="1"/>
  <c r="E349" i="2" a="1"/>
  <c r="E350" i="2" a="1"/>
  <c r="E351" i="2" a="1"/>
  <c r="E352" i="2" a="1"/>
  <c r="E353" i="2" a="1"/>
  <c r="E354" i="2" a="1"/>
  <c r="E355" i="2" a="1"/>
  <c r="E356" i="2" a="1"/>
  <c r="E357" i="2" a="1"/>
  <c r="E358" i="2" a="1"/>
  <c r="E359" i="2" a="1"/>
  <c r="E360" i="2" a="1"/>
  <c r="E361" i="2" a="1"/>
  <c r="E362" i="2" a="1"/>
  <c r="E363" i="2" a="1"/>
  <c r="E364" i="2" a="1"/>
  <c r="E365" i="2" a="1"/>
  <c r="E366" i="2" a="1"/>
  <c r="E367" i="2" a="1"/>
  <c r="E368" i="2" a="1"/>
  <c r="E369" i="2" a="1"/>
  <c r="E370" i="2" a="1"/>
  <c r="E371" i="2" a="1"/>
  <c r="E372" i="2" a="1"/>
  <c r="E373" i="2" a="1"/>
  <c r="E374" i="2" a="1"/>
  <c r="E375" i="2" a="1"/>
  <c r="E376" i="2" a="1"/>
  <c r="E377" i="2" a="1"/>
  <c r="E378" i="2" a="1"/>
  <c r="E379" i="2" a="1"/>
  <c r="E380" i="2" a="1"/>
  <c r="E381" i="2" a="1"/>
  <c r="E382" i="2" a="1"/>
  <c r="E383" i="2" a="1"/>
  <c r="E384" i="2" a="1"/>
  <c r="E385" i="2" a="1"/>
  <c r="E386" i="2" a="1"/>
  <c r="E387" i="2" a="1"/>
  <c r="E388" i="2" a="1"/>
  <c r="E389" i="2" a="1"/>
  <c r="E390" i="2" a="1"/>
  <c r="E391" i="2" a="1"/>
  <c r="E392" i="2" a="1"/>
  <c r="E393" i="2" a="1"/>
  <c r="E394" i="2" a="1"/>
  <c r="E395" i="2" a="1"/>
  <c r="E396" i="2" a="1"/>
  <c r="E397" i="2" a="1"/>
  <c r="E398" i="2" a="1"/>
  <c r="E399" i="2" a="1"/>
  <c r="E400" i="2" a="1"/>
  <c r="E401" i="2" a="1"/>
  <c r="E402" i="2" a="1"/>
  <c r="E403" i="2" a="1"/>
  <c r="E404" i="2" a="1"/>
  <c r="E405" i="2" a="1"/>
  <c r="E406" i="2" a="1"/>
  <c r="E407" i="2" a="1"/>
  <c r="E408" i="2" a="1"/>
  <c r="E409" i="2" a="1"/>
  <c r="E410" i="2" a="1"/>
  <c r="E411" i="2" a="1"/>
  <c r="E412" i="2" a="1"/>
  <c r="E413" i="2" a="1"/>
  <c r="E414" i="2" a="1"/>
  <c r="E415" i="2" a="1"/>
  <c r="E416" i="2" a="1"/>
  <c r="E417" i="2" a="1"/>
  <c r="E418" i="2" a="1"/>
  <c r="E419" i="2" a="1"/>
  <c r="E420" i="2" a="1"/>
  <c r="E421" i="2" a="1"/>
  <c r="E422" i="2" a="1"/>
  <c r="E423" i="2" a="1"/>
  <c r="E424" i="2" a="1"/>
  <c r="E425" i="2" a="1"/>
  <c r="E426" i="2" a="1"/>
  <c r="E427" i="2" a="1"/>
  <c r="E428" i="2" a="1"/>
  <c r="E429" i="2" a="1"/>
  <c r="E430" i="2" a="1"/>
  <c r="E431" i="2" a="1"/>
  <c r="E432" i="2" a="1"/>
  <c r="E433" i="2" a="1"/>
  <c r="E434" i="2" a="1"/>
  <c r="E435" i="2" a="1"/>
  <c r="E436" i="2" a="1"/>
  <c r="E437" i="2" a="1"/>
  <c r="E438" i="2" a="1"/>
  <c r="E439" i="2" a="1"/>
  <c r="E440" i="2" a="1"/>
  <c r="E441" i="2" a="1"/>
  <c r="E442" i="2" a="1"/>
  <c r="E443" i="2" a="1"/>
  <c r="E444" i="2" a="1"/>
  <c r="E445" i="2" a="1"/>
  <c r="E446" i="2" a="1"/>
  <c r="E447" i="2" a="1"/>
  <c r="E448" i="2" a="1"/>
  <c r="E449" i="2" a="1"/>
  <c r="E450" i="2" a="1"/>
  <c r="E451" i="2" a="1"/>
  <c r="E452" i="2" a="1"/>
  <c r="E453" i="2" a="1"/>
  <c r="E454" i="2" a="1"/>
  <c r="E455" i="2" a="1"/>
  <c r="E456" i="2" a="1"/>
  <c r="E457" i="2" a="1"/>
  <c r="E458" i="2" a="1"/>
  <c r="E459" i="2" a="1"/>
  <c r="E460" i="2" a="1"/>
  <c r="E461" i="2" a="1"/>
  <c r="E462" i="2" a="1"/>
  <c r="E463" i="2" a="1"/>
  <c r="E464" i="2" a="1"/>
  <c r="E465" i="2" a="1"/>
  <c r="E466" i="2" a="1"/>
  <c r="E467" i="2" a="1"/>
  <c r="E468" i="2" a="1"/>
  <c r="E469" i="2" a="1"/>
  <c r="E470" i="2" a="1"/>
  <c r="E471" i="2" a="1"/>
  <c r="E472" i="2" a="1"/>
  <c r="E473" i="2" a="1"/>
  <c r="E474" i="2" a="1"/>
  <c r="E475" i="2" a="1"/>
  <c r="E476" i="2" a="1"/>
  <c r="E477" i="2" a="1"/>
  <c r="E478" i="2" a="1"/>
  <c r="E479" i="2" a="1"/>
  <c r="E480" i="2" a="1"/>
  <c r="E481" i="2" a="1"/>
  <c r="E482" i="2" a="1"/>
  <c r="E483" i="2" a="1"/>
  <c r="E484" i="2" a="1"/>
  <c r="E485" i="2" a="1"/>
  <c r="E486" i="2" a="1"/>
  <c r="E487" i="2" a="1"/>
  <c r="E488" i="2" a="1"/>
  <c r="E489" i="2" a="1"/>
  <c r="E490" i="2" a="1"/>
  <c r="E491" i="2" a="1"/>
  <c r="E492" i="2" a="1"/>
  <c r="E493" i="2" a="1"/>
  <c r="E494" i="2" a="1"/>
  <c r="E495" i="2" a="1"/>
  <c r="E496" i="2" a="1"/>
  <c r="E497" i="2" a="1"/>
  <c r="E498" i="2" a="1"/>
  <c r="E499" i="2" a="1"/>
  <c r="E500" i="2" a="1"/>
  <c r="E501" i="2" a="1"/>
  <c r="E502" i="2" a="1"/>
  <c r="E503" i="2" a="1"/>
  <c r="E504" i="2" a="1"/>
  <c r="E505" i="2" a="1"/>
  <c r="E506" i="2" a="1"/>
  <c r="E507" i="2" a="1"/>
  <c r="E508" i="2" a="1"/>
  <c r="E509" i="2" a="1"/>
  <c r="E510" i="2" a="1"/>
  <c r="E511" i="2" a="1"/>
  <c r="E512" i="2" a="1"/>
  <c r="E513" i="2" a="1"/>
  <c r="E514" i="2" a="1"/>
  <c r="E515" i="2" a="1"/>
  <c r="E516" i="2" a="1"/>
  <c r="E517" i="2" a="1"/>
  <c r="E518" i="2" a="1"/>
  <c r="E519" i="2" a="1"/>
  <c r="E520" i="2" a="1"/>
  <c r="E521" i="2" a="1"/>
  <c r="E522" i="2" a="1"/>
  <c r="E523" i="2" a="1"/>
  <c r="E524" i="2" a="1"/>
  <c r="E525" i="2" a="1"/>
  <c r="E526" i="2" a="1"/>
  <c r="E527" i="2" a="1"/>
  <c r="E528" i="2" a="1"/>
  <c r="E529" i="2" a="1"/>
  <c r="E530" i="2" a="1"/>
  <c r="E531" i="2" a="1"/>
  <c r="E532" i="2" a="1"/>
  <c r="E533" i="2" a="1"/>
  <c r="E534" i="2" a="1"/>
  <c r="E535" i="2" a="1"/>
  <c r="E536" i="2" a="1"/>
  <c r="E537" i="2" a="1"/>
  <c r="E538" i="2" a="1"/>
  <c r="E539" i="2" a="1"/>
  <c r="E540" i="2" a="1"/>
  <c r="E541" i="2" a="1"/>
  <c r="E542" i="2" a="1"/>
  <c r="E543" i="2" a="1"/>
  <c r="E544" i="2" a="1"/>
  <c r="E545" i="2" a="1"/>
  <c r="E546" i="2" a="1"/>
  <c r="E547" i="2" a="1"/>
  <c r="E548" i="2" a="1"/>
  <c r="E549" i="2" a="1"/>
  <c r="E550" i="2" a="1"/>
  <c r="E551" i="2" a="1"/>
  <c r="E552" i="2" a="1"/>
  <c r="E553" i="2" a="1"/>
  <c r="E554" i="2" a="1"/>
  <c r="E555" i="2" a="1"/>
  <c r="E556" i="2" a="1"/>
  <c r="E557" i="2" a="1"/>
  <c r="E558" i="2" a="1"/>
  <c r="E559" i="2" a="1"/>
  <c r="E560" i="2" a="1"/>
  <c r="E561" i="2" a="1"/>
  <c r="E562" i="2" a="1"/>
  <c r="E563" i="2" a="1"/>
  <c r="E564" i="2" a="1"/>
  <c r="E565" i="2" a="1"/>
  <c r="E566" i="2" a="1"/>
  <c r="E567" i="2" a="1"/>
  <c r="E568" i="2" a="1"/>
  <c r="E569" i="2" a="1"/>
  <c r="E570" i="2" a="1"/>
  <c r="E571" i="2" a="1"/>
  <c r="E572" i="2" a="1"/>
  <c r="E573" i="2" a="1"/>
  <c r="E574" i="2" a="1"/>
  <c r="E575" i="2" a="1"/>
  <c r="E576" i="2" a="1"/>
  <c r="E577" i="2" a="1"/>
  <c r="E578" i="2" a="1"/>
  <c r="E579" i="2" a="1"/>
  <c r="E580" i="2" a="1"/>
  <c r="E581" i="2" a="1"/>
  <c r="E582" i="2" a="1"/>
  <c r="E583" i="2" a="1"/>
  <c r="E584" i="2" a="1"/>
  <c r="E585" i="2" a="1"/>
  <c r="E586" i="2" a="1"/>
  <c r="E587" i="2" a="1"/>
  <c r="E588" i="2" a="1"/>
  <c r="E589" i="2" a="1"/>
  <c r="E590" i="2" a="1"/>
  <c r="E591" i="2" a="1"/>
  <c r="E592" i="2" a="1"/>
  <c r="E593" i="2" a="1"/>
  <c r="E594" i="2" a="1"/>
  <c r="E595" i="2" a="1"/>
  <c r="E596" i="2" a="1"/>
  <c r="E597" i="2" a="1"/>
  <c r="E598" i="2" a="1"/>
  <c r="E599" i="2" a="1"/>
  <c r="E600" i="2" a="1"/>
  <c r="E601" i="2" a="1"/>
  <c r="E602" i="2" a="1"/>
  <c r="E603" i="2" a="1"/>
  <c r="E604" i="2" a="1"/>
  <c r="E605" i="2" a="1"/>
  <c r="E606" i="2" a="1"/>
  <c r="E607" i="2" a="1"/>
  <c r="E608" i="2" a="1"/>
  <c r="E609" i="2" a="1"/>
  <c r="E610" i="2" a="1"/>
  <c r="E611" i="2" a="1"/>
  <c r="E612" i="2" a="1"/>
  <c r="E613" i="2" a="1"/>
  <c r="E614" i="2" a="1"/>
  <c r="E615" i="2" a="1"/>
  <c r="E616" i="2" a="1"/>
  <c r="E617" i="2" a="1"/>
  <c r="E618" i="2" a="1"/>
  <c r="E619" i="2" a="1"/>
  <c r="E620" i="2" a="1"/>
  <c r="E621" i="2" a="1"/>
  <c r="E622" i="2" a="1"/>
  <c r="E623" i="2" a="1"/>
  <c r="E624" i="2" a="1"/>
  <c r="E625" i="2" a="1"/>
  <c r="E626" i="2" a="1"/>
  <c r="E627" i="2" a="1"/>
  <c r="E628" i="2" a="1"/>
  <c r="E629" i="2" a="1"/>
  <c r="E630" i="2" a="1"/>
  <c r="E631" i="2" a="1"/>
  <c r="E632" i="2" a="1"/>
  <c r="E633" i="2" a="1"/>
  <c r="E634" i="2" a="1"/>
  <c r="E635" i="2" a="1"/>
  <c r="E636" i="2" a="1"/>
  <c r="E637" i="2" a="1"/>
  <c r="E638" i="2" a="1"/>
  <c r="E639" i="2" a="1"/>
  <c r="E640" i="2" a="1"/>
  <c r="E641" i="2" a="1"/>
  <c r="E642" i="2" a="1"/>
  <c r="E643" i="2" a="1"/>
  <c r="E644" i="2" a="1"/>
  <c r="E645" i="2" a="1"/>
  <c r="E646" i="2" a="1"/>
  <c r="E647" i="2" a="1"/>
  <c r="E648" i="2" a="1"/>
  <c r="E649" i="2" a="1"/>
  <c r="E650" i="2" a="1"/>
  <c r="E651" i="2" a="1"/>
  <c r="E652" i="2" a="1"/>
  <c r="E653" i="2" a="1"/>
  <c r="E654" i="2" a="1"/>
  <c r="E655" i="2" a="1"/>
  <c r="E656" i="2" a="1"/>
  <c r="E657" i="2" a="1"/>
  <c r="E658" i="2" a="1"/>
  <c r="E659" i="2" a="1"/>
  <c r="E660" i="2" a="1"/>
  <c r="E661" i="2" a="1"/>
  <c r="E662" i="2" a="1"/>
  <c r="E663" i="2" a="1"/>
  <c r="E664" i="2" a="1"/>
  <c r="E665" i="2" a="1"/>
  <c r="E666" i="2" a="1"/>
  <c r="E667" i="2" a="1"/>
  <c r="E668" i="2" a="1"/>
  <c r="E669" i="2" a="1"/>
  <c r="E670" i="2" a="1"/>
  <c r="E671" i="2" a="1"/>
  <c r="E672" i="2" a="1"/>
  <c r="E673" i="2" a="1"/>
  <c r="E674" i="2" a="1"/>
  <c r="E675" i="2" a="1"/>
  <c r="E676" i="2" a="1"/>
  <c r="E677" i="2" a="1"/>
  <c r="E678" i="2" a="1"/>
  <c r="E679" i="2" a="1"/>
  <c r="E680" i="2" a="1"/>
  <c r="E681" i="2" a="1"/>
  <c r="E682" i="2" a="1"/>
  <c r="E683" i="2" a="1"/>
  <c r="E684" i="2" a="1"/>
  <c r="E685" i="2" a="1"/>
  <c r="E686" i="2" a="1"/>
  <c r="E687" i="2" a="1"/>
  <c r="E688" i="2" a="1"/>
  <c r="E689" i="2" a="1"/>
  <c r="E690" i="2" a="1"/>
  <c r="E691" i="2" a="1"/>
  <c r="E692" i="2" a="1"/>
  <c r="E693" i="2" a="1"/>
  <c r="E694" i="2" a="1"/>
  <c r="E695" i="2" a="1"/>
  <c r="E696" i="2" a="1"/>
  <c r="E697" i="2" a="1"/>
  <c r="E698" i="2" a="1"/>
  <c r="E699" i="2" a="1"/>
  <c r="E700" i="2" a="1"/>
  <c r="E701" i="2" a="1"/>
  <c r="E702" i="2" a="1"/>
  <c r="E703" i="2" a="1"/>
  <c r="E704" i="2" a="1"/>
  <c r="E705" i="2" a="1"/>
  <c r="E706" i="2" a="1"/>
  <c r="E707" i="2" a="1"/>
  <c r="E708" i="2" a="1"/>
  <c r="E709" i="2" a="1"/>
  <c r="E710" i="2" a="1"/>
  <c r="E711" i="2" a="1"/>
  <c r="E712" i="2" a="1"/>
  <c r="E713" i="2" a="1"/>
  <c r="E714" i="2" a="1"/>
  <c r="E715" i="2" a="1"/>
  <c r="E716" i="2" a="1"/>
  <c r="E717" i="2" a="1"/>
  <c r="E718" i="2" a="1"/>
  <c r="E719" i="2" a="1"/>
  <c r="E720" i="2" a="1"/>
  <c r="E721" i="2" a="1"/>
  <c r="E722" i="2" a="1"/>
  <c r="E723" i="2" a="1"/>
  <c r="E724" i="2" a="1"/>
  <c r="E725" i="2" a="1"/>
  <c r="E726" i="2" a="1"/>
  <c r="E727" i="2" a="1"/>
  <c r="E728" i="2" a="1"/>
  <c r="E729" i="2" a="1"/>
  <c r="E730" i="2" a="1"/>
  <c r="E731" i="2" a="1"/>
  <c r="E732" i="2" a="1"/>
  <c r="E733" i="2" a="1"/>
  <c r="E734" i="2" a="1"/>
  <c r="E735" i="2" a="1"/>
  <c r="E736" i="2" a="1"/>
  <c r="E737" i="2" a="1"/>
  <c r="E738" i="2" a="1"/>
  <c r="E739" i="2" a="1"/>
  <c r="E740" i="2" a="1"/>
  <c r="E741" i="2" a="1"/>
  <c r="E742" i="2" a="1"/>
  <c r="E743" i="2" a="1"/>
  <c r="E744" i="2" a="1"/>
  <c r="E745" i="2" a="1"/>
  <c r="E746" i="2" a="1"/>
  <c r="E747" i="2" a="1"/>
  <c r="E748" i="2" a="1"/>
  <c r="E749" i="2" a="1"/>
  <c r="E750" i="2" a="1"/>
  <c r="E751" i="2" a="1"/>
  <c r="E752" i="2" a="1"/>
  <c r="E753" i="2" a="1"/>
  <c r="E754" i="2" a="1"/>
  <c r="E755" i="2" a="1"/>
  <c r="E756" i="2" a="1"/>
  <c r="E757" i="2" a="1"/>
  <c r="E758" i="2" a="1"/>
  <c r="E759" i="2" a="1"/>
  <c r="E760" i="2" a="1"/>
  <c r="E761" i="2" a="1"/>
  <c r="E762" i="2" a="1"/>
  <c r="E763" i="2" a="1"/>
  <c r="E764" i="2" a="1"/>
  <c r="E765" i="2" a="1"/>
  <c r="E766" i="2" a="1"/>
  <c r="E767" i="2" a="1"/>
  <c r="E768" i="2" a="1"/>
  <c r="E769" i="2" a="1"/>
  <c r="E770" i="2" a="1"/>
  <c r="E771" i="2" a="1"/>
  <c r="E772" i="2" a="1"/>
  <c r="E773" i="2" a="1"/>
  <c r="E774" i="2" a="1"/>
  <c r="E775" i="2" a="1"/>
  <c r="E776" i="2" a="1"/>
  <c r="E777" i="2" a="1"/>
  <c r="E778" i="2" a="1"/>
  <c r="E779" i="2" a="1"/>
  <c r="E780" i="2" a="1"/>
  <c r="E781" i="2" a="1"/>
  <c r="E782" i="2" a="1"/>
  <c r="E783" i="2" a="1"/>
  <c r="E784" i="2" a="1"/>
  <c r="E785" i="2" a="1"/>
  <c r="E786" i="2" a="1"/>
  <c r="E787" i="2" a="1"/>
  <c r="E788" i="2" a="1"/>
  <c r="E789" i="2" a="1"/>
  <c r="E790" i="2" a="1"/>
  <c r="E791" i="2" a="1"/>
  <c r="E792" i="2" a="1"/>
  <c r="E793" i="2" a="1"/>
  <c r="E794" i="2" a="1"/>
  <c r="E795" i="2" a="1"/>
  <c r="E796" i="2" a="1"/>
  <c r="E797" i="2" a="1"/>
  <c r="E798" i="2" a="1"/>
  <c r="E799" i="2" a="1"/>
  <c r="E800" i="2" a="1"/>
  <c r="E801" i="2" a="1"/>
  <c r="E802" i="2" a="1"/>
  <c r="E803" i="2" a="1"/>
  <c r="E804" i="2" a="1"/>
  <c r="E805" i="2" a="1"/>
  <c r="E806" i="2" a="1"/>
  <c r="E807" i="2" a="1"/>
  <c r="E808" i="2" a="1"/>
  <c r="E809" i="2" a="1"/>
  <c r="E810" i="2" a="1"/>
  <c r="E811" i="2" a="1"/>
  <c r="E812" i="2" a="1"/>
  <c r="E813" i="2" a="1"/>
  <c r="E814" i="2" a="1"/>
  <c r="E815" i="2" a="1"/>
  <c r="E816" i="2" a="1"/>
  <c r="E817" i="2" a="1"/>
  <c r="E818" i="2" a="1"/>
  <c r="E819" i="2" a="1"/>
  <c r="E820" i="2" a="1"/>
  <c r="E821" i="2" a="1"/>
  <c r="E822" i="2" a="1"/>
  <c r="E823" i="2" a="1"/>
  <c r="E824" i="2" a="1"/>
  <c r="E825" i="2" a="1"/>
  <c r="E826" i="2" a="1"/>
  <c r="E827" i="2" a="1"/>
  <c r="E828" i="2" a="1"/>
  <c r="E829" i="2" a="1"/>
  <c r="E830" i="2" a="1"/>
  <c r="E831" i="2" a="1"/>
  <c r="E832" i="2" a="1"/>
  <c r="E833" i="2" a="1"/>
  <c r="E834" i="2" a="1"/>
  <c r="E835" i="2" a="1"/>
  <c r="E836" i="2" a="1"/>
  <c r="E837" i="2" a="1"/>
  <c r="E838" i="2" a="1"/>
  <c r="E839" i="2" a="1"/>
  <c r="E840" i="2" a="1"/>
  <c r="E841" i="2" a="1"/>
  <c r="E842" i="2" a="1"/>
  <c r="E843" i="2" a="1"/>
  <c r="E844" i="2" a="1"/>
  <c r="E845" i="2" a="1"/>
  <c r="E846" i="2" a="1"/>
  <c r="E847" i="2" a="1"/>
  <c r="E848" i="2" a="1"/>
  <c r="E849" i="2" a="1"/>
  <c r="E850" i="2" a="1"/>
  <c r="E851" i="2" a="1"/>
  <c r="E852" i="2" a="1"/>
  <c r="E853" i="2" a="1"/>
  <c r="E854" i="2" a="1"/>
  <c r="E855" i="2" a="1"/>
  <c r="E856" i="2" a="1"/>
  <c r="E857" i="2" a="1"/>
  <c r="E858" i="2" a="1"/>
  <c r="E859" i="2" a="1"/>
  <c r="E860" i="2" a="1"/>
  <c r="E861" i="2" a="1"/>
  <c r="E862" i="2" a="1"/>
  <c r="E863" i="2" a="1"/>
  <c r="E864" i="2" a="1"/>
  <c r="E865" i="2" a="1"/>
  <c r="E866" i="2" a="1"/>
  <c r="E867" i="2" a="1"/>
  <c r="E868" i="2" a="1"/>
  <c r="E869" i="2" a="1"/>
  <c r="E870" i="2" a="1"/>
  <c r="E871" i="2" a="1"/>
  <c r="E872" i="2" a="1"/>
  <c r="E873" i="2" a="1"/>
  <c r="E874" i="2" a="1"/>
  <c r="E875" i="2" a="1"/>
  <c r="E876" i="2" a="1"/>
  <c r="E877" i="2" a="1"/>
  <c r="E878" i="2" a="1"/>
  <c r="E879" i="2" a="1"/>
  <c r="E880" i="2" a="1"/>
  <c r="E881" i="2" a="1"/>
  <c r="E882" i="2" a="1"/>
  <c r="E883" i="2" a="1"/>
  <c r="E884" i="2" a="1"/>
  <c r="E885" i="2" a="1"/>
  <c r="E886" i="2" a="1"/>
  <c r="E887" i="2" a="1"/>
  <c r="E888" i="2" a="1"/>
  <c r="E889" i="2" a="1"/>
  <c r="E890" i="2" a="1"/>
  <c r="E891" i="2" a="1"/>
  <c r="E892" i="2" a="1"/>
  <c r="E893" i="2" a="1"/>
  <c r="E894" i="2" a="1"/>
  <c r="E895" i="2" a="1"/>
  <c r="E896" i="2" a="1"/>
  <c r="E897" i="2" a="1"/>
  <c r="E898" i="2" a="1"/>
  <c r="E899" i="2" a="1"/>
  <c r="E900" i="2" a="1"/>
  <c r="E901" i="2" a="1"/>
  <c r="E902" i="2" a="1"/>
  <c r="E903" i="2" a="1"/>
  <c r="E904" i="2" a="1"/>
  <c r="E905" i="2" a="1"/>
  <c r="E906" i="2" a="1"/>
  <c r="E907" i="2" a="1"/>
  <c r="E908" i="2" a="1"/>
  <c r="E909" i="2" a="1"/>
  <c r="E910" i="2" a="1"/>
  <c r="E911" i="2" a="1"/>
  <c r="E912" i="2" a="1"/>
  <c r="E913" i="2" a="1"/>
  <c r="E914" i="2" a="1"/>
  <c r="E915" i="2" a="1"/>
  <c r="E916" i="2" a="1"/>
  <c r="E917" i="2" a="1"/>
  <c r="E918" i="2" a="1"/>
  <c r="E919" i="2" a="1"/>
  <c r="E920" i="2" a="1"/>
  <c r="E921" i="2" a="1"/>
  <c r="E922" i="2" a="1"/>
  <c r="E923" i="2" a="1"/>
  <c r="E924" i="2" a="1"/>
  <c r="E925" i="2" a="1"/>
  <c r="F3" i="2" a="1"/>
  <c r="F4" i="2" a="1"/>
  <c r="F5" i="2" a="1"/>
  <c r="F6" i="2" a="1"/>
  <c r="F7" i="2" a="1"/>
  <c r="F8" i="2" a="1"/>
  <c r="F9" i="2" a="1"/>
  <c r="N5" i="1" s="1" a="1"/>
  <c r="F10" i="2" a="1"/>
  <c r="F11" i="2" a="1"/>
  <c r="F12" i="2" a="1"/>
  <c r="N7" i="1" s="1" a="1"/>
  <c r="F13" i="2" a="1"/>
  <c r="F14" i="2" a="1"/>
  <c r="F15" i="2" a="1"/>
  <c r="F16" i="2" a="1"/>
  <c r="F17" i="2" a="1"/>
  <c r="F18" i="2" a="1"/>
  <c r="F19" i="2" a="1"/>
  <c r="F20" i="2" a="1"/>
  <c r="F21" i="2" a="1"/>
  <c r="F22" i="2" a="1"/>
  <c r="F23" i="2" a="1"/>
  <c r="F24" i="2" a="1"/>
  <c r="F25" i="2" a="1"/>
  <c r="N12" i="1" s="1" a="1"/>
  <c r="F26" i="2" a="1"/>
  <c r="F27" i="2" a="1"/>
  <c r="F28" i="2" a="1"/>
  <c r="F29" i="2" a="1"/>
  <c r="F30" i="2" a="1"/>
  <c r="F31" i="2" a="1"/>
  <c r="F32" i="2" a="1"/>
  <c r="F33" i="2" a="1"/>
  <c r="F34" i="2" a="1"/>
  <c r="F35" i="2" a="1"/>
  <c r="F36" i="2" a="1"/>
  <c r="F37" i="2" a="1"/>
  <c r="F38" i="2" a="1"/>
  <c r="F39" i="2" a="1"/>
  <c r="F40" i="2" a="1"/>
  <c r="F41" i="2" a="1"/>
  <c r="F42" i="2" a="1"/>
  <c r="N18" i="1" s="1" a="1"/>
  <c r="F43" i="2" a="1"/>
  <c r="F44" i="2" a="1"/>
  <c r="F45" i="2" a="1"/>
  <c r="F46" i="2" a="1"/>
  <c r="F47" i="2" a="1"/>
  <c r="F48" i="2" a="1"/>
  <c r="F49" i="2" a="1"/>
  <c r="F50" i="2" a="1"/>
  <c r="F51" i="2" a="1"/>
  <c r="F52" i="2" a="1"/>
  <c r="F53" i="2" a="1"/>
  <c r="F54" i="2" a="1"/>
  <c r="F55" i="2" a="1"/>
  <c r="F56" i="2" a="1"/>
  <c r="F57" i="2" a="1"/>
  <c r="F58" i="2" a="1"/>
  <c r="F59" i="2" a="1"/>
  <c r="F60" i="2" a="1"/>
  <c r="N25" i="1" s="1" a="1"/>
  <c r="F61" i="2" a="1"/>
  <c r="N26" i="1" s="1" a="1"/>
  <c r="F62" i="2" a="1"/>
  <c r="F63" i="2" a="1"/>
  <c r="F64" i="2" a="1"/>
  <c r="F65" i="2" a="1"/>
  <c r="F66" i="2" a="1"/>
  <c r="F67" i="2" a="1"/>
  <c r="F68" i="2" a="1"/>
  <c r="F69" i="2" a="1"/>
  <c r="F70" i="2" a="1"/>
  <c r="F71" i="2" a="1"/>
  <c r="F72" i="2" a="1"/>
  <c r="N30" i="1" s="1" a="1"/>
  <c r="F73" i="2" a="1"/>
  <c r="F74" i="2" a="1"/>
  <c r="F75" i="2" a="1"/>
  <c r="F76" i="2" a="1"/>
  <c r="F77" i="2" a="1"/>
  <c r="F78" i="2" a="1"/>
  <c r="F79" i="2" a="1"/>
  <c r="F80" i="2" a="1"/>
  <c r="F81" i="2" a="1"/>
  <c r="F82" i="2" a="1"/>
  <c r="F83" i="2" a="1"/>
  <c r="F84" i="2" a="1"/>
  <c r="F85" i="2" a="1"/>
  <c r="F86" i="2" a="1"/>
  <c r="F87" i="2" a="1"/>
  <c r="F88" i="2" a="1"/>
  <c r="F89" i="2" a="1"/>
  <c r="F90" i="2" a="1"/>
  <c r="F91" i="2" a="1"/>
  <c r="F92" i="2" a="1"/>
  <c r="F93" i="2" a="1"/>
  <c r="F94" i="2" a="1"/>
  <c r="N38" i="1" s="1" a="1"/>
  <c r="F95" i="2" a="1"/>
  <c r="F96" i="2" a="1"/>
  <c r="F97" i="2" a="1"/>
  <c r="N40" i="1" s="1" a="1"/>
  <c r="F98" i="2" a="1"/>
  <c r="F99" i="2" a="1"/>
  <c r="F100" i="2" a="1"/>
  <c r="F101" i="2" a="1"/>
  <c r="F102" i="2" a="1"/>
  <c r="F103" i="2" a="1"/>
  <c r="F104" i="2" a="1"/>
  <c r="F105" i="2" a="1"/>
  <c r="F106" i="2" a="1"/>
  <c r="F107" i="2" a="1"/>
  <c r="F108" i="2" a="1"/>
  <c r="N44" i="1" s="1" a="1"/>
  <c r="F109" i="2" a="1"/>
  <c r="F110" i="2" a="1"/>
  <c r="F111" i="2" a="1"/>
  <c r="F112" i="2" a="1"/>
  <c r="F113" i="2" a="1"/>
  <c r="F114" i="2" a="1"/>
  <c r="F115" i="2" a="1"/>
  <c r="N47" i="1" s="1" a="1"/>
  <c r="F116" i="2" a="1"/>
  <c r="F117" i="2" a="1"/>
  <c r="F118" i="2" a="1"/>
  <c r="F119" i="2" a="1"/>
  <c r="F120" i="2" a="1"/>
  <c r="F121" i="2" a="1"/>
  <c r="F122" i="2" a="1"/>
  <c r="F123" i="2" a="1"/>
  <c r="F124" i="2" a="1"/>
  <c r="F125" i="2" a="1"/>
  <c r="F126" i="2" a="1"/>
  <c r="F127" i="2" a="1"/>
  <c r="F128" i="2" a="1"/>
  <c r="F129" i="2" a="1"/>
  <c r="F130" i="2" a="1"/>
  <c r="F131" i="2" a="1"/>
  <c r="N54" i="1" s="1" a="1"/>
  <c r="F132" i="2" a="1"/>
  <c r="F133" i="2" a="1"/>
  <c r="F134" i="2" a="1"/>
  <c r="F135" i="2" a="1"/>
  <c r="F136" i="2" a="1"/>
  <c r="F137" i="2" a="1"/>
  <c r="F138" i="2" a="1"/>
  <c r="F139" i="2" a="1"/>
  <c r="F140" i="2" a="1"/>
  <c r="F141" i="2" a="1"/>
  <c r="F142" i="2" a="1"/>
  <c r="N59" i="1" s="1" a="1"/>
  <c r="F143" i="2" a="1"/>
  <c r="F144" i="2" a="1"/>
  <c r="F145" i="2" a="1"/>
  <c r="F146" i="2" a="1"/>
  <c r="F147" i="2" a="1"/>
  <c r="F148" i="2" a="1"/>
  <c r="F149" i="2" a="1"/>
  <c r="F150" i="2" a="1"/>
  <c r="F151" i="2" a="1"/>
  <c r="F152" i="2" a="1"/>
  <c r="F153" i="2" a="1"/>
  <c r="F154" i="2" a="1"/>
  <c r="F155" i="2" a="1"/>
  <c r="N64" i="1" s="1" a="1"/>
  <c r="F156" i="2" a="1"/>
  <c r="N65" i="1" s="1" a="1"/>
  <c r="F157" i="2" a="1"/>
  <c r="F158" i="2" a="1"/>
  <c r="F159" i="2" a="1"/>
  <c r="F160" i="2" a="1"/>
  <c r="F161" i="2" a="1"/>
  <c r="F162" i="2" a="1"/>
  <c r="F163" i="2" a="1"/>
  <c r="F164" i="2" a="1"/>
  <c r="F165" i="2" a="1"/>
  <c r="F166" i="2" a="1"/>
  <c r="F167" i="2" a="1"/>
  <c r="F168" i="2" a="1"/>
  <c r="F169" i="2" a="1"/>
  <c r="F170" i="2" a="1"/>
  <c r="F171" i="2" a="1"/>
  <c r="F172" i="2" a="1"/>
  <c r="F173" i="2" a="1"/>
  <c r="F174" i="2" a="1"/>
  <c r="F175" i="2" a="1"/>
  <c r="F176" i="2" a="1"/>
  <c r="N71" i="1" s="1" a="1"/>
  <c r="F177" i="2" a="1"/>
  <c r="F178" i="2" a="1"/>
  <c r="F179" i="2" a="1"/>
  <c r="F180" i="2" a="1"/>
  <c r="F181" i="2" a="1"/>
  <c r="F182" i="2" a="1"/>
  <c r="N74" i="1" s="1" a="1"/>
  <c r="F183" i="2" a="1"/>
  <c r="F184" i="2" a="1"/>
  <c r="F185" i="2" a="1"/>
  <c r="F186" i="2" a="1"/>
  <c r="F187" i="2" a="1"/>
  <c r="F188" i="2" a="1"/>
  <c r="F189" i="2" a="1"/>
  <c r="F190" i="2" a="1"/>
  <c r="F191" i="2" a="1"/>
  <c r="F192" i="2" a="1"/>
  <c r="F193" i="2" a="1"/>
  <c r="F194" i="2" a="1"/>
  <c r="F195" i="2" a="1"/>
  <c r="F196" i="2" a="1"/>
  <c r="F197" i="2" a="1"/>
  <c r="F198" i="2" a="1"/>
  <c r="F199" i="2" a="1"/>
  <c r="F200" i="2" a="1"/>
  <c r="F201" i="2" a="1"/>
  <c r="F202" i="2" a="1"/>
  <c r="F203" i="2" a="1"/>
  <c r="F204" i="2" a="1"/>
  <c r="N82" i="1" s="1" a="1"/>
  <c r="F205" i="2" a="1"/>
  <c r="N83" i="1" s="1" a="1"/>
  <c r="F206" i="2" a="1"/>
  <c r="F207" i="2" a="1"/>
  <c r="F208" i="2" a="1"/>
  <c r="F209" i="2" a="1"/>
  <c r="F210" i="2" a="1"/>
  <c r="F211" i="2" a="1"/>
  <c r="F212" i="2" a="1"/>
  <c r="F213" i="2" a="1"/>
  <c r="F214" i="2" a="1"/>
  <c r="F215" i="2" a="1"/>
  <c r="F216" i="2" a="1"/>
  <c r="F217" i="2" a="1"/>
  <c r="F218" i="2" a="1"/>
  <c r="F219" i="2" a="1"/>
  <c r="F220" i="2" a="1"/>
  <c r="F221" i="2" a="1"/>
  <c r="F222" i="2" a="1"/>
  <c r="F223" i="2" a="1"/>
  <c r="F224" i="2" a="1"/>
  <c r="F225" i="2" a="1"/>
  <c r="F226" i="2" a="1"/>
  <c r="N92" i="1" s="1" a="1"/>
  <c r="F227" i="2" a="1"/>
  <c r="F228" i="2" a="1"/>
  <c r="F229" i="2" a="1"/>
  <c r="F230" i="2" a="1"/>
  <c r="N94" i="1" s="1" a="1"/>
  <c r="F231" i="2" a="1"/>
  <c r="F232" i="2" a="1"/>
  <c r="F233" i="2" a="1"/>
  <c r="F234" i="2" a="1"/>
  <c r="F235" i="2" a="1"/>
  <c r="N96" i="1" s="1" a="1"/>
  <c r="F236" i="2" a="1"/>
  <c r="F237" i="2" a="1"/>
  <c r="N97" i="1" s="1" a="1"/>
  <c r="F238" i="2" a="1"/>
  <c r="F239" i="2" a="1"/>
  <c r="F240" i="2" a="1"/>
  <c r="N98" i="1" s="1" a="1"/>
  <c r="F241" i="2" a="1"/>
  <c r="F242" i="2" a="1"/>
  <c r="F243" i="2" a="1"/>
  <c r="N100" i="1" s="1" a="1"/>
  <c r="F244" i="2" a="1"/>
  <c r="F245" i="2" a="1"/>
  <c r="F246" i="2" a="1"/>
  <c r="F247" i="2" a="1"/>
  <c r="N102" i="1" s="1" a="1"/>
  <c r="F248" i="2" a="1"/>
  <c r="F249" i="2" a="1"/>
  <c r="F250" i="2" a="1"/>
  <c r="N103" i="1" s="1" a="1"/>
  <c r="F251" i="2" a="1"/>
  <c r="N104" i="1" s="1" a="1"/>
  <c r="F252" i="2" a="1"/>
  <c r="N105" i="1" s="1" a="1"/>
  <c r="F253" i="2" a="1"/>
  <c r="N106" i="1" s="1" a="1"/>
  <c r="F254" i="2" a="1"/>
  <c r="N107" i="1" s="1" a="1"/>
  <c r="F255" i="2" a="1"/>
  <c r="F256" i="2" a="1"/>
  <c r="F257" i="2" a="1"/>
  <c r="N108" i="1" s="1" a="1"/>
  <c r="F258" i="2" a="1"/>
  <c r="F259" i="2" a="1"/>
  <c r="N109" i="1" s="1" a="1"/>
  <c r="F260" i="2" a="1"/>
  <c r="F261" i="2" a="1"/>
  <c r="F262" i="2" a="1"/>
  <c r="F263" i="2" a="1"/>
  <c r="N110" i="1" s="1" a="1"/>
  <c r="F264" i="2" a="1"/>
  <c r="N111" i="1" s="1" a="1"/>
  <c r="F265" i="2" a="1"/>
  <c r="F266" i="2" a="1"/>
  <c r="F267" i="2" a="1"/>
  <c r="F268" i="2" a="1"/>
  <c r="F269" i="2" a="1"/>
  <c r="F270" i="2" a="1"/>
  <c r="F271" i="2" a="1"/>
  <c r="N113" i="1" s="1" a="1"/>
  <c r="F272" i="2" a="1"/>
  <c r="F273" i="2" a="1"/>
  <c r="F274" i="2" a="1"/>
  <c r="F275" i="2" a="1"/>
  <c r="F276" i="2" a="1"/>
  <c r="F277" i="2" a="1"/>
  <c r="F278" i="2" a="1"/>
  <c r="N115" i="1" s="1" a="1"/>
  <c r="F279" i="2" a="1"/>
  <c r="F280" i="2" a="1"/>
  <c r="F281" i="2" a="1"/>
  <c r="F282" i="2" a="1"/>
  <c r="F283" i="2" a="1"/>
  <c r="F284" i="2" a="1"/>
  <c r="N117" i="1" s="1" a="1"/>
  <c r="F285" i="2" a="1"/>
  <c r="F286" i="2" a="1"/>
  <c r="F287" i="2" a="1"/>
  <c r="F288" i="2" a="1"/>
  <c r="F289" i="2" a="1"/>
  <c r="F290" i="2" a="1"/>
  <c r="F291" i="2" a="1"/>
  <c r="N119" i="1" s="1" a="1"/>
  <c r="F292" i="2" a="1"/>
  <c r="N120" i="1" s="1" a="1"/>
  <c r="F293" i="2" a="1"/>
  <c r="N121" i="1" s="1" a="1"/>
  <c r="F294" i="2" a="1"/>
  <c r="F295" i="2" a="1"/>
  <c r="F296" i="2" a="1"/>
  <c r="F297" i="2" a="1"/>
  <c r="F298" i="2" a="1"/>
  <c r="F299" i="2" a="1"/>
  <c r="N123" i="1" s="1" a="1"/>
  <c r="F300" i="2" a="1"/>
  <c r="F301" i="2" a="1"/>
  <c r="F302" i="2" a="1"/>
  <c r="F303" i="2" a="1"/>
  <c r="F304" i="2" a="1"/>
  <c r="F305" i="2" a="1"/>
  <c r="F306" i="2" a="1"/>
  <c r="F307" i="2" a="1"/>
  <c r="N125" i="1" s="1" a="1"/>
  <c r="F308" i="2" a="1"/>
  <c r="F309" i="2" a="1"/>
  <c r="F310" i="2" a="1"/>
  <c r="F311" i="2" a="1"/>
  <c r="F312" i="2" a="1"/>
  <c r="F313" i="2" a="1"/>
  <c r="N127" i="1" s="1" a="1"/>
  <c r="F314" i="2" a="1"/>
  <c r="F315" i="2" a="1"/>
  <c r="F316" i="2" a="1"/>
  <c r="F317" i="2" a="1"/>
  <c r="F318" i="2" a="1"/>
  <c r="F319" i="2" a="1"/>
  <c r="F320" i="2" a="1"/>
  <c r="F321" i="2" a="1"/>
  <c r="N130" i="1" s="1" a="1"/>
  <c r="F322" i="2" a="1"/>
  <c r="F323" i="2" a="1"/>
  <c r="F324" i="2" a="1"/>
  <c r="F325" i="2" a="1"/>
  <c r="F326" i="2" a="1"/>
  <c r="F327" i="2" a="1"/>
  <c r="N132" i="1" s="1" a="1"/>
  <c r="F328" i="2" a="1"/>
  <c r="F329" i="2" a="1"/>
  <c r="F330" i="2" a="1"/>
  <c r="F331" i="2" a="1"/>
  <c r="F332" i="2" a="1"/>
  <c r="F333" i="2" a="1"/>
  <c r="N134" i="1" s="1" a="1"/>
  <c r="F334" i="2" a="1"/>
  <c r="F335" i="2" a="1"/>
  <c r="F336" i="2" a="1"/>
  <c r="N135" i="1" s="1" a="1"/>
  <c r="F337" i="2" a="1"/>
  <c r="N136" i="1" s="1" a="1"/>
  <c r="F338" i="2" a="1"/>
  <c r="F339" i="2" a="1"/>
  <c r="F340" i="2" a="1"/>
  <c r="N137" i="1" s="1" a="1"/>
  <c r="F341" i="2" a="1"/>
  <c r="F342" i="2" a="1"/>
  <c r="N138" i="1" s="1" a="1"/>
  <c r="F343" i="2" a="1"/>
  <c r="F344" i="2" a="1"/>
  <c r="F345" i="2" a="1"/>
  <c r="F346" i="2" a="1"/>
  <c r="N139" i="1" s="1" a="1"/>
  <c r="F347" i="2" a="1"/>
  <c r="N140" i="1" s="1" a="1"/>
  <c r="F348" i="2" a="1"/>
  <c r="F349" i="2" a="1"/>
  <c r="F350" i="2" a="1"/>
  <c r="F351" i="2" a="1"/>
  <c r="F352" i="2" a="1"/>
  <c r="F353" i="2" a="1"/>
  <c r="F354" i="2" a="1"/>
  <c r="N142" i="1" s="1" a="1"/>
  <c r="F355" i="2" a="1"/>
  <c r="F356" i="2" a="1"/>
  <c r="N143" i="1" s="1" a="1"/>
  <c r="F357" i="2" a="1"/>
  <c r="F358" i="2" a="1"/>
  <c r="N144" i="1" s="1" a="1"/>
  <c r="F359" i="2" a="1"/>
  <c r="N145" i="1" s="1" a="1"/>
  <c r="F360" i="2" a="1"/>
  <c r="N146" i="1" s="1" a="1"/>
  <c r="F361" i="2" a="1"/>
  <c r="F362" i="2" a="1"/>
  <c r="F363" i="2" a="1"/>
  <c r="N147" i="1" s="1" a="1"/>
  <c r="F364" i="2" a="1"/>
  <c r="F365" i="2" a="1"/>
  <c r="F366" i="2" a="1"/>
  <c r="F367" i="2" a="1"/>
  <c r="N148" i="1" s="1" a="1"/>
  <c r="F368" i="2" a="1"/>
  <c r="F369" i="2" a="1"/>
  <c r="F370" i="2" a="1"/>
  <c r="F371" i="2" a="1"/>
  <c r="N149" i="1" s="1" a="1"/>
  <c r="F372" i="2" a="1"/>
  <c r="F373" i="2" a="1"/>
  <c r="N150" i="1" s="1" a="1"/>
  <c r="F374" i="2" a="1"/>
  <c r="F375" i="2" a="1"/>
  <c r="N151" i="1" s="1" a="1"/>
  <c r="F376" i="2" a="1"/>
  <c r="F377" i="2" a="1"/>
  <c r="F378" i="2" a="1"/>
  <c r="N152" i="1" s="1" a="1"/>
  <c r="F379" i="2" a="1"/>
  <c r="F380" i="2" a="1"/>
  <c r="F381" i="2" a="1"/>
  <c r="N153" i="1" s="1" a="1"/>
  <c r="F382" i="2" a="1"/>
  <c r="F383" i="2" a="1"/>
  <c r="N154" i="1" s="1" a="1"/>
  <c r="F384" i="2" a="1"/>
  <c r="F385" i="2" a="1"/>
  <c r="F386" i="2" a="1"/>
  <c r="F387" i="2" a="1"/>
  <c r="F388" i="2" a="1"/>
  <c r="F389" i="2" a="1"/>
  <c r="N156" i="1" s="1" a="1"/>
  <c r="F390" i="2" a="1"/>
  <c r="F391" i="2" a="1"/>
  <c r="F392" i="2" a="1"/>
  <c r="F393" i="2" a="1"/>
  <c r="F394" i="2" a="1"/>
  <c r="F395" i="2" a="1"/>
  <c r="F396" i="2" a="1"/>
  <c r="F397" i="2" a="1"/>
  <c r="N158" i="1" s="1" a="1"/>
  <c r="F398" i="2" a="1"/>
  <c r="F399" i="2" a="1"/>
  <c r="F400" i="2" a="1"/>
  <c r="F401" i="2" a="1"/>
  <c r="F402" i="2" a="1"/>
  <c r="F403" i="2" a="1"/>
  <c r="F404" i="2" a="1"/>
  <c r="N160" i="1" s="1" a="1"/>
  <c r="F405" i="2" a="1"/>
  <c r="N161" i="1" s="1" a="1"/>
  <c r="F406" i="2" a="1"/>
  <c r="N162" i="1" s="1" a="1"/>
  <c r="F407" i="2" a="1"/>
  <c r="F408" i="2" a="1"/>
  <c r="F409" i="2" a="1"/>
  <c r="F410" i="2" a="1"/>
  <c r="N163" i="1" s="1" a="1"/>
  <c r="F411" i="2" a="1"/>
  <c r="F412" i="2" a="1"/>
  <c r="F413" i="2" a="1"/>
  <c r="F414" i="2" a="1"/>
  <c r="N164" i="1" s="1" a="1"/>
  <c r="F415" i="2" a="1"/>
  <c r="F416" i="2" a="1"/>
  <c r="F417" i="2" a="1"/>
  <c r="F418" i="2" a="1"/>
  <c r="N166" i="1" s="1" a="1"/>
  <c r="F419" i="2" a="1"/>
  <c r="F420" i="2" a="1"/>
  <c r="F421" i="2" a="1"/>
  <c r="N167" i="1" s="1" a="1"/>
  <c r="F422" i="2" a="1"/>
  <c r="N168" i="1" s="1" a="1"/>
  <c r="F423" i="2" a="1"/>
  <c r="F424" i="2" a="1"/>
  <c r="F425" i="2" a="1"/>
  <c r="F426" i="2" a="1"/>
  <c r="N170" i="1" s="1" a="1"/>
  <c r="F427" i="2" a="1"/>
  <c r="F428" i="2" a="1"/>
  <c r="F429" i="2" a="1"/>
  <c r="F430" i="2" a="1"/>
  <c r="N171" i="1" s="1" a="1"/>
  <c r="F431" i="2" a="1"/>
  <c r="F432" i="2" a="1"/>
  <c r="F433" i="2" a="1"/>
  <c r="F434" i="2" a="1"/>
  <c r="N172" i="1" s="1" a="1"/>
  <c r="F435" i="2" a="1"/>
  <c r="F436" i="2" a="1"/>
  <c r="F437" i="2" a="1"/>
  <c r="N173" i="1" s="1" a="1"/>
  <c r="F438" i="2" a="1"/>
  <c r="N174" i="1" s="1" a="1"/>
  <c r="F439" i="2" a="1"/>
  <c r="F440" i="2" a="1"/>
  <c r="F441" i="2" a="1"/>
  <c r="F442" i="2" a="1"/>
  <c r="F443" i="2" a="1"/>
  <c r="N176" i="1" s="1" a="1"/>
  <c r="F444" i="2" a="1"/>
  <c r="F445" i="2" a="1"/>
  <c r="F446" i="2" a="1"/>
  <c r="F447" i="2" a="1"/>
  <c r="F448" i="2" a="1"/>
  <c r="N178" i="1" s="1" a="1"/>
  <c r="F449" i="2" a="1"/>
  <c r="F450" i="2" a="1"/>
  <c r="F451" i="2" a="1"/>
  <c r="F452" i="2" a="1"/>
  <c r="F453" i="2" a="1"/>
  <c r="F454" i="2" a="1"/>
  <c r="F455" i="2" a="1"/>
  <c r="N180" i="1" s="1" a="1"/>
  <c r="F456" i="2" a="1"/>
  <c r="F457" i="2" a="1"/>
  <c r="F458" i="2" a="1"/>
  <c r="N181" i="1" s="1" a="1"/>
  <c r="F459" i="2" a="1"/>
  <c r="N182" i="1" s="1" a="1"/>
  <c r="F460" i="2" a="1"/>
  <c r="F461" i="2" a="1"/>
  <c r="F462" i="2" a="1"/>
  <c r="F463" i="2" a="1"/>
  <c r="N183" i="1" s="1" a="1"/>
  <c r="F464" i="2" a="1"/>
  <c r="N184" i="1" s="1" a="1"/>
  <c r="F465" i="2" a="1"/>
  <c r="F466" i="2" a="1"/>
  <c r="N185" i="1" s="1" a="1"/>
  <c r="F467" i="2" a="1"/>
  <c r="F468" i="2" a="1"/>
  <c r="F469" i="2" a="1"/>
  <c r="N186" i="1" s="1" a="1"/>
  <c r="F470" i="2" a="1"/>
  <c r="F471" i="2" a="1"/>
  <c r="F472" i="2" a="1"/>
  <c r="N187" i="1" s="1" a="1"/>
  <c r="F473" i="2" a="1"/>
  <c r="F474" i="2" a="1"/>
  <c r="F475" i="2" a="1"/>
  <c r="F476" i="2" a="1"/>
  <c r="F477" i="2" a="1"/>
  <c r="N189" i="1" s="1" a="1"/>
  <c r="F478" i="2" a="1"/>
  <c r="F479" i="2" a="1"/>
  <c r="F480" i="2" a="1"/>
  <c r="F481" i="2" a="1"/>
  <c r="N190" i="1" s="1" a="1"/>
  <c r="F482" i="2" a="1"/>
  <c r="F483" i="2" a="1"/>
  <c r="F484" i="2" a="1"/>
  <c r="N191" i="1" s="1" a="1"/>
  <c r="F485" i="2" a="1"/>
  <c r="N192" i="1" s="1" a="1"/>
  <c r="F486" i="2" a="1"/>
  <c r="F487" i="2" a="1"/>
  <c r="N193" i="1" s="1" a="1"/>
  <c r="F488" i="2" a="1"/>
  <c r="N194" i="1" s="1" a="1"/>
  <c r="F489" i="2" a="1"/>
  <c r="F490" i="2" a="1"/>
  <c r="F491" i="2" a="1"/>
  <c r="F492" i="2" a="1"/>
  <c r="N195" i="1" s="1" a="1"/>
  <c r="F493" i="2" a="1"/>
  <c r="F494" i="2" a="1"/>
  <c r="F495" i="2" a="1"/>
  <c r="N196" i="1" s="1" a="1"/>
  <c r="F496" i="2" a="1"/>
  <c r="F497" i="2" a="1"/>
  <c r="F498" i="2" a="1"/>
  <c r="N197" i="1" s="1" a="1"/>
  <c r="F499" i="2" a="1"/>
  <c r="F500" i="2" a="1"/>
  <c r="F501" i="2" a="1"/>
  <c r="N198" i="1" s="1" a="1"/>
  <c r="F502" i="2" a="1"/>
  <c r="F503" i="2" a="1"/>
  <c r="N199" i="1" s="1" a="1"/>
  <c r="F504" i="2" a="1"/>
  <c r="F505" i="2" a="1"/>
  <c r="N200" i="1" s="1" a="1"/>
  <c r="F506" i="2" a="1"/>
  <c r="F507" i="2" a="1"/>
  <c r="F508" i="2" a="1"/>
  <c r="F509" i="2" a="1"/>
  <c r="N201" i="1" s="1" a="1"/>
  <c r="F510" i="2" a="1"/>
  <c r="N202" i="1" s="1" a="1"/>
  <c r="F511" i="2" a="1"/>
  <c r="N203" i="1" s="1" a="1"/>
  <c r="F512" i="2" a="1"/>
  <c r="N204" i="1" s="1" a="1"/>
  <c r="F513" i="2" a="1"/>
  <c r="F514" i="2" a="1"/>
  <c r="N205" i="1" s="1" a="1"/>
  <c r="F515" i="2" a="1"/>
  <c r="F516" i="2" a="1"/>
  <c r="F517" i="2" a="1"/>
  <c r="N206" i="1" s="1" a="1"/>
  <c r="F518" i="2" a="1"/>
  <c r="F519" i="2" a="1"/>
  <c r="F520" i="2" a="1"/>
  <c r="F521" i="2" a="1"/>
  <c r="F522" i="2" a="1"/>
  <c r="F523" i="2" a="1"/>
  <c r="F524" i="2" a="1"/>
  <c r="F525" i="2" a="1"/>
  <c r="N208" i="1" s="1" a="1"/>
  <c r="F526" i="2" a="1"/>
  <c r="F527" i="2" a="1"/>
  <c r="N209" i="1" s="1" a="1"/>
  <c r="F528" i="2" a="1"/>
  <c r="F529" i="2" a="1"/>
  <c r="N210" i="1" s="1" a="1"/>
  <c r="F530" i="2" a="1"/>
  <c r="F531" i="2" a="1"/>
  <c r="F532" i="2" a="1"/>
  <c r="N211" i="1" s="1" a="1"/>
  <c r="F533" i="2" a="1"/>
  <c r="F534" i="2" a="1"/>
  <c r="F535" i="2" a="1"/>
  <c r="N212" i="1" s="1" a="1"/>
  <c r="F536" i="2" a="1"/>
  <c r="F537" i="2" a="1"/>
  <c r="N213" i="1" s="1" a="1"/>
  <c r="F538" i="2" a="1"/>
  <c r="F539" i="2" a="1"/>
  <c r="F540" i="2" a="1"/>
  <c r="F541" i="2" a="1"/>
  <c r="N214" i="1" s="1" a="1"/>
  <c r="F542" i="2" a="1"/>
  <c r="F543" i="2" a="1"/>
  <c r="F544" i="2" a="1"/>
  <c r="N215" i="1" s="1" a="1"/>
  <c r="F545" i="2" a="1"/>
  <c r="F546" i="2" a="1"/>
  <c r="F547" i="2" a="1"/>
  <c r="F548" i="2" a="1"/>
  <c r="F549" i="2" a="1"/>
  <c r="F550" i="2" a="1"/>
  <c r="F551" i="2" a="1"/>
  <c r="N217" i="1" s="1" a="1"/>
  <c r="F552" i="2" a="1"/>
  <c r="F553" i="2" a="1"/>
  <c r="F554" i="2" a="1"/>
  <c r="N218" i="1" s="1" a="1"/>
  <c r="F555" i="2" a="1"/>
  <c r="F556" i="2" a="1"/>
  <c r="F557" i="2" a="1"/>
  <c r="F558" i="2" a="1"/>
  <c r="N219" i="1" s="1" a="1"/>
  <c r="F559" i="2" a="1"/>
  <c r="N220" i="1" s="1" a="1"/>
  <c r="F560" i="2" a="1"/>
  <c r="F561" i="2" a="1"/>
  <c r="F562" i="2" a="1"/>
  <c r="N221" i="1" s="1" a="1"/>
  <c r="F563" i="2" a="1"/>
  <c r="F564" i="2" a="1"/>
  <c r="F565" i="2" a="1"/>
  <c r="N222" i="1" s="1" a="1"/>
  <c r="F566" i="2" a="1"/>
  <c r="F567" i="2" a="1"/>
  <c r="F568" i="2" a="1"/>
  <c r="F569" i="2" a="1"/>
  <c r="F570" i="2" a="1"/>
  <c r="N224" i="1" s="1" a="1"/>
  <c r="F571" i="2" a="1"/>
  <c r="F572" i="2" a="1"/>
  <c r="F573" i="2" a="1"/>
  <c r="N225" i="1" s="1" a="1"/>
  <c r="F574" i="2" a="1"/>
  <c r="F575" i="2" a="1"/>
  <c r="F576" i="2" a="1"/>
  <c r="F577" i="2" a="1"/>
  <c r="F578" i="2" a="1"/>
  <c r="N227" i="1" s="1" a="1"/>
  <c r="F579" i="2" a="1"/>
  <c r="F580" i="2" a="1"/>
  <c r="F581" i="2" a="1"/>
  <c r="N228" i="1" s="1" a="1"/>
  <c r="F582" i="2" a="1"/>
  <c r="F583" i="2" a="1"/>
  <c r="N229" i="1" s="1" a="1"/>
  <c r="F584" i="2" a="1"/>
  <c r="N230" i="1" s="1" a="1"/>
  <c r="F585" i="2" a="1"/>
  <c r="F586" i="2" a="1"/>
  <c r="F587" i="2" a="1"/>
  <c r="F588" i="2" a="1"/>
  <c r="N231" i="1" s="1" a="1"/>
  <c r="F589" i="2" a="1"/>
  <c r="F590" i="2" a="1"/>
  <c r="N232" i="1" s="1" a="1"/>
  <c r="F591" i="2" a="1"/>
  <c r="F592" i="2" a="1"/>
  <c r="F593" i="2" a="1"/>
  <c r="F594" i="2" a="1"/>
  <c r="N233" i="1" s="1" a="1"/>
  <c r="F595" i="2" a="1"/>
  <c r="F596" i="2" a="1"/>
  <c r="N234" i="1" s="1" a="1"/>
  <c r="F597" i="2" a="1"/>
  <c r="F598" i="2" a="1"/>
  <c r="N235" i="1" s="1" a="1"/>
  <c r="F599" i="2" a="1"/>
  <c r="N236" i="1" s="1" a="1"/>
  <c r="F600" i="2" a="1"/>
  <c r="N237" i="1" s="1" a="1"/>
  <c r="F601" i="2" a="1"/>
  <c r="F602" i="2" a="1"/>
  <c r="N238" i="1" s="1" a="1"/>
  <c r="F603" i="2" a="1"/>
  <c r="N239" i="1" s="1" a="1"/>
  <c r="F604" i="2" a="1"/>
  <c r="F605" i="2" a="1"/>
  <c r="F606" i="2" a="1"/>
  <c r="F607" i="2" a="1"/>
  <c r="N240" i="1" s="1" a="1"/>
  <c r="F608" i="2" a="1"/>
  <c r="F609" i="2" a="1"/>
  <c r="F610" i="2" a="1"/>
  <c r="N241" i="1" s="1" a="1"/>
  <c r="F611" i="2" a="1"/>
  <c r="F612" i="2" a="1"/>
  <c r="F613" i="2" a="1"/>
  <c r="F614" i="2" a="1"/>
  <c r="N242" i="1" s="1" a="1"/>
  <c r="F615" i="2" a="1"/>
  <c r="F616" i="2" a="1"/>
  <c r="N243" i="1" s="1" a="1"/>
  <c r="F617" i="2" a="1"/>
  <c r="F618" i="2" a="1"/>
  <c r="F619" i="2" a="1"/>
  <c r="F620" i="2" a="1"/>
  <c r="N244" i="1" s="1" a="1"/>
  <c r="F621" i="2" a="1"/>
  <c r="F622" i="2" a="1"/>
  <c r="N245" i="1" s="1" a="1"/>
  <c r="F623" i="2" a="1"/>
  <c r="F624" i="2" a="1"/>
  <c r="F625" i="2" a="1"/>
  <c r="F626" i="2" a="1"/>
  <c r="N246" i="1" s="1" a="1"/>
  <c r="F627" i="2" a="1"/>
  <c r="F628" i="2" a="1"/>
  <c r="F629" i="2" a="1"/>
  <c r="F630" i="2" a="1"/>
  <c r="N247" i="1" s="1" a="1"/>
  <c r="F631" i="2" a="1"/>
  <c r="N248" i="1" s="1" a="1"/>
  <c r="F632" i="2" a="1"/>
  <c r="F633" i="2" a="1"/>
  <c r="N249" i="1" s="1" a="1"/>
  <c r="F634" i="2" a="1"/>
  <c r="F635" i="2" a="1"/>
  <c r="N250" i="1" s="1" a="1"/>
  <c r="F636" i="2" a="1"/>
  <c r="F637" i="2" a="1"/>
  <c r="F638" i="2" a="1"/>
  <c r="N251" i="1" s="1" a="1"/>
  <c r="F639" i="2" a="1"/>
  <c r="F640" i="2" a="1"/>
  <c r="F641" i="2" a="1"/>
  <c r="F642" i="2" a="1"/>
  <c r="N252" i="1" s="1" a="1"/>
  <c r="F643" i="2" a="1"/>
  <c r="F644" i="2" a="1"/>
  <c r="F645" i="2" a="1"/>
  <c r="F646" i="2" a="1"/>
  <c r="N253" i="1" s="1" a="1"/>
  <c r="F647" i="2" a="1"/>
  <c r="F648" i="2" a="1"/>
  <c r="F649" i="2" a="1"/>
  <c r="N254" i="1" s="1" a="1"/>
  <c r="F650" i="2" a="1"/>
  <c r="F651" i="2" a="1"/>
  <c r="N255" i="1" s="1" a="1"/>
  <c r="F652" i="2" a="1"/>
  <c r="F653" i="2" a="1"/>
  <c r="F654" i="2" a="1"/>
  <c r="F655" i="2" a="1"/>
  <c r="N256" i="1" s="1" a="1"/>
  <c r="F656" i="2" a="1"/>
  <c r="F657" i="2" a="1"/>
  <c r="F658" i="2" a="1"/>
  <c r="N257" i="1" s="1" a="1"/>
  <c r="F659" i="2" a="1"/>
  <c r="F660" i="2" a="1"/>
  <c r="F661" i="2" a="1"/>
  <c r="N258" i="1" s="1" a="1"/>
  <c r="F662" i="2" a="1"/>
  <c r="F663" i="2" a="1"/>
  <c r="F664" i="2" a="1"/>
  <c r="N259" i="1" s="1" a="1"/>
  <c r="F665" i="2" a="1"/>
  <c r="F666" i="2" a="1"/>
  <c r="F667" i="2" a="1"/>
  <c r="F668" i="2" a="1"/>
  <c r="N260" i="1" s="1" a="1"/>
  <c r="F669" i="2" a="1"/>
  <c r="F670" i="2" a="1"/>
  <c r="N261" i="1" s="1" a="1"/>
  <c r="F671" i="2" a="1"/>
  <c r="F672" i="2" a="1"/>
  <c r="N262" i="1" s="1" a="1"/>
  <c r="F673" i="2" a="1"/>
  <c r="F674" i="2" a="1"/>
  <c r="F675" i="2" a="1"/>
  <c r="N263" i="1" s="1" a="1"/>
  <c r="F676" i="2" a="1"/>
  <c r="F677" i="2" a="1"/>
  <c r="F678" i="2" a="1"/>
  <c r="N264" i="1" s="1" a="1"/>
  <c r="F679" i="2" a="1"/>
  <c r="F680" i="2" a="1"/>
  <c r="N265" i="1" s="1" a="1"/>
  <c r="F681" i="2" a="1"/>
  <c r="F682" i="2" a="1"/>
  <c r="F683" i="2" a="1"/>
  <c r="N266" i="1" s="1" a="1"/>
  <c r="F684" i="2" a="1"/>
  <c r="F685" i="2" a="1"/>
  <c r="F686" i="2" a="1"/>
  <c r="N267" i="1" s="1" a="1"/>
  <c r="F687" i="2" a="1"/>
  <c r="F688" i="2" a="1"/>
  <c r="N268" i="1" s="1" a="1"/>
  <c r="F689" i="2" a="1"/>
  <c r="F690" i="2" a="1"/>
  <c r="F691" i="2" a="1"/>
  <c r="F692" i="2" a="1"/>
  <c r="N269" i="1" s="1" a="1"/>
  <c r="F693" i="2" a="1"/>
  <c r="F694" i="2" a="1"/>
  <c r="F695" i="2" a="1"/>
  <c r="N270" i="1" s="1" a="1"/>
  <c r="F696" i="2" a="1"/>
  <c r="F697" i="2" a="1"/>
  <c r="F698" i="2" a="1"/>
  <c r="F699" i="2" a="1"/>
  <c r="N271" i="1" s="1" a="1"/>
  <c r="F700" i="2" a="1"/>
  <c r="F701" i="2" a="1"/>
  <c r="F702" i="2" a="1"/>
  <c r="N272" i="1" s="1" a="1"/>
  <c r="F703" i="2" a="1"/>
  <c r="F704" i="2" a="1"/>
  <c r="F705" i="2" a="1"/>
  <c r="N273" i="1" s="1" a="1"/>
  <c r="F706" i="2" a="1"/>
  <c r="F707" i="2" a="1"/>
  <c r="F708" i="2" a="1"/>
  <c r="N274" i="1" s="1" a="1"/>
  <c r="F709" i="2" a="1"/>
  <c r="N275" i="1" s="1" a="1"/>
  <c r="F710" i="2" a="1"/>
  <c r="F711" i="2" a="1"/>
  <c r="F712" i="2" a="1"/>
  <c r="F713" i="2" a="1"/>
  <c r="N276" i="1" s="1" a="1"/>
  <c r="F714" i="2" a="1"/>
  <c r="F715" i="2" a="1"/>
  <c r="F716" i="2" a="1"/>
  <c r="F717" i="2" a="1"/>
  <c r="N277" i="1" s="1" a="1"/>
  <c r="F718" i="2" a="1"/>
  <c r="F719" i="2" a="1"/>
  <c r="F720" i="2" a="1"/>
  <c r="N278" i="1" s="1" a="1"/>
  <c r="F721" i="2" a="1"/>
  <c r="F722" i="2" a="1"/>
  <c r="N279" i="1" s="1" a="1"/>
  <c r="F723" i="2" a="1"/>
  <c r="F724" i="2" a="1"/>
  <c r="F725" i="2" a="1"/>
  <c r="N280" i="1" s="1" a="1"/>
  <c r="F726" i="2" a="1"/>
  <c r="N281" i="1" s="1" a="1"/>
  <c r="F727" i="2" a="1"/>
  <c r="F728" i="2" a="1"/>
  <c r="F729" i="2" a="1"/>
  <c r="N282" i="1" s="1" a="1"/>
  <c r="F730" i="2" a="1"/>
  <c r="N283" i="1" s="1" a="1"/>
  <c r="F731" i="2" a="1"/>
  <c r="F732" i="2" a="1"/>
  <c r="F733" i="2" a="1"/>
  <c r="N284" i="1" s="1" a="1"/>
  <c r="F734" i="2" a="1"/>
  <c r="F735" i="2" a="1"/>
  <c r="F736" i="2" a="1"/>
  <c r="F737" i="2" a="1"/>
  <c r="N285" i="1" s="1" a="1"/>
  <c r="F738" i="2" a="1"/>
  <c r="F739" i="2" a="1"/>
  <c r="F740" i="2" a="1"/>
  <c r="N286" i="1" s="1" a="1"/>
  <c r="F741" i="2" a="1"/>
  <c r="F742" i="2" a="1"/>
  <c r="F743" i="2" a="1"/>
  <c r="F744" i="2" a="1"/>
  <c r="N287" i="1" s="1" a="1"/>
  <c r="F745" i="2" a="1"/>
  <c r="F746" i="2" a="1"/>
  <c r="N288" i="1" s="1" a="1"/>
  <c r="F747" i="2" a="1"/>
  <c r="F748" i="2" a="1"/>
  <c r="N289" i="1" s="1" a="1"/>
  <c r="F749" i="2" a="1"/>
  <c r="F750" i="2" a="1"/>
  <c r="F751" i="2" a="1"/>
  <c r="N290" i="1" s="1" a="1"/>
  <c r="F752" i="2" a="1"/>
  <c r="F753" i="2" a="1"/>
  <c r="F754" i="2" a="1"/>
  <c r="N291" i="1" s="1" a="1"/>
  <c r="F755" i="2" a="1"/>
  <c r="F756" i="2" a="1"/>
  <c r="N292" i="1" s="1" a="1"/>
  <c r="F757" i="2" a="1"/>
  <c r="N293" i="1" s="1" a="1"/>
  <c r="F758" i="2" a="1"/>
  <c r="F759" i="2" a="1"/>
  <c r="N294" i="1" s="1" a="1"/>
  <c r="F760" i="2" a="1"/>
  <c r="F761" i="2" a="1"/>
  <c r="N295" i="1" s="1" a="1"/>
  <c r="F762" i="2" a="1"/>
  <c r="N296" i="1" s="1" a="1"/>
  <c r="F763" i="2" a="1"/>
  <c r="F764" i="2" a="1"/>
  <c r="N297" i="1" s="1" a="1"/>
  <c r="F765" i="2" a="1"/>
  <c r="F766" i="2" a="1"/>
  <c r="N298" i="1" s="1" a="1"/>
  <c r="F767" i="2" a="1"/>
  <c r="N299" i="1" s="1" a="1"/>
  <c r="F768" i="2" a="1"/>
  <c r="N300" i="1" s="1" a="1"/>
  <c r="F769" i="2" a="1"/>
  <c r="F770" i="2" a="1"/>
  <c r="F771" i="2" a="1"/>
  <c r="F772" i="2" a="1"/>
  <c r="N301" i="1" s="1" a="1"/>
  <c r="F773" i="2" a="1"/>
  <c r="F774" i="2" a="1"/>
  <c r="F775" i="2" a="1"/>
  <c r="N302" i="1" s="1" a="1"/>
  <c r="F776" i="2" a="1"/>
  <c r="F777" i="2" a="1"/>
  <c r="F778" i="2" a="1"/>
  <c r="F779" i="2" a="1"/>
  <c r="N303" i="1" s="1" a="1"/>
  <c r="F780" i="2" a="1"/>
  <c r="N304" i="1" s="1" a="1"/>
  <c r="F781" i="2" a="1"/>
  <c r="F782" i="2" a="1"/>
  <c r="N305" i="1" s="1" a="1"/>
  <c r="F783" i="2" a="1"/>
  <c r="N306" i="1" s="1" a="1"/>
  <c r="F784" i="2" a="1"/>
  <c r="F785" i="2" a="1"/>
  <c r="N307" i="1" s="1" a="1"/>
  <c r="F786" i="2" a="1"/>
  <c r="F787" i="2" a="1"/>
  <c r="F788" i="2" a="1"/>
  <c r="F789" i="2" a="1"/>
  <c r="N308" i="1" s="1" a="1"/>
  <c r="F790" i="2" a="1"/>
  <c r="F791" i="2" a="1"/>
  <c r="F792" i="2" a="1"/>
  <c r="F793" i="2" a="1"/>
  <c r="N309" i="1" s="1" a="1"/>
  <c r="F794" i="2" a="1"/>
  <c r="F795" i="2" a="1"/>
  <c r="F796" i="2" a="1"/>
  <c r="F797" i="2" a="1"/>
  <c r="N310" i="1" s="1" a="1"/>
  <c r="F798" i="2" a="1"/>
  <c r="F799" i="2" a="1"/>
  <c r="N311" i="1" s="1" a="1"/>
  <c r="F800" i="2" a="1"/>
  <c r="F801" i="2" a="1"/>
  <c r="F802" i="2" a="1"/>
  <c r="F803" i="2" a="1"/>
  <c r="F804" i="2" a="1"/>
  <c r="F805" i="2" a="1"/>
  <c r="N313" i="1" s="1" a="1"/>
  <c r="F806" i="2" a="1"/>
  <c r="F807" i="2" a="1"/>
  <c r="F808" i="2" a="1"/>
  <c r="N314" i="1" s="1" a="1"/>
  <c r="F809" i="2" a="1"/>
  <c r="N315" i="1" s="1" a="1"/>
  <c r="F810" i="2" a="1"/>
  <c r="N316" i="1" s="1" a="1"/>
  <c r="F811" i="2" a="1"/>
  <c r="F812" i="2" a="1"/>
  <c r="N317" i="1" s="1" a="1"/>
  <c r="F813" i="2" a="1"/>
  <c r="N318" i="1" s="1" a="1"/>
  <c r="F814" i="2" a="1"/>
  <c r="F815" i="2" a="1"/>
  <c r="F816" i="2" a="1"/>
  <c r="F817" i="2" a="1"/>
  <c r="F818" i="2" a="1"/>
  <c r="F819" i="2" a="1"/>
  <c r="N320" i="1" s="1" a="1"/>
  <c r="F820" i="2" a="1"/>
  <c r="F821" i="2" a="1"/>
  <c r="N321" i="1" s="1" a="1"/>
  <c r="F822" i="2" a="1"/>
  <c r="N322" i="1" s="1" a="1"/>
  <c r="F823" i="2" a="1"/>
  <c r="F824" i="2" a="1"/>
  <c r="F825" i="2" a="1"/>
  <c r="F826" i="2" a="1"/>
  <c r="N323" i="1" s="1" a="1"/>
  <c r="F827" i="2" a="1"/>
  <c r="F828" i="2" a="1"/>
  <c r="F829" i="2" a="1"/>
  <c r="F830" i="2" a="1"/>
  <c r="N324" i="1" s="1" a="1"/>
  <c r="F831" i="2" a="1"/>
  <c r="F832" i="2" a="1"/>
  <c r="N325" i="1" s="1" a="1"/>
  <c r="F833" i="2" a="1"/>
  <c r="F834" i="2" a="1"/>
  <c r="F835" i="2" a="1"/>
  <c r="N326" i="1" s="1" a="1"/>
  <c r="F836" i="2" a="1"/>
  <c r="N327" i="1" s="1" a="1"/>
  <c r="F837" i="2" a="1"/>
  <c r="N328" i="1" s="1" a="1"/>
  <c r="F838" i="2" a="1"/>
  <c r="F839" i="2" a="1"/>
  <c r="F840" i="2" a="1"/>
  <c r="N329" i="1" s="1" a="1"/>
  <c r="F841" i="2" a="1"/>
  <c r="N330" i="1" s="1" a="1"/>
  <c r="F842" i="2" a="1"/>
  <c r="F843" i="2" a="1"/>
  <c r="F844" i="2" a="1"/>
  <c r="N331" i="1" s="1" a="1"/>
  <c r="F845" i="2" a="1"/>
  <c r="F846" i="2" a="1"/>
  <c r="F847" i="2" a="1"/>
  <c r="N332" i="1" s="1" a="1"/>
  <c r="F848" i="2" a="1"/>
  <c r="F849" i="2" a="1"/>
  <c r="F850" i="2" a="1"/>
  <c r="F851" i="2" a="1"/>
  <c r="N333" i="1" s="1" a="1"/>
  <c r="F852" i="2" a="1"/>
  <c r="F853" i="2" a="1"/>
  <c r="F854" i="2" a="1"/>
  <c r="F855" i="2" a="1"/>
  <c r="N334" i="1" s="1" a="1"/>
  <c r="F856" i="2" a="1"/>
  <c r="F857" i="2" a="1"/>
  <c r="N335" i="1" s="1" a="1"/>
  <c r="F858" i="2" a="1"/>
  <c r="F859" i="2" a="1"/>
  <c r="F860" i="2" a="1"/>
  <c r="F861" i="2" a="1"/>
  <c r="N336" i="1" s="1" a="1"/>
  <c r="F862" i="2" a="1"/>
  <c r="F863" i="2" a="1"/>
  <c r="F864" i="2" a="1"/>
  <c r="N337" i="1" s="1" a="1"/>
  <c r="F865" i="2" a="1"/>
  <c r="F866" i="2" a="1"/>
  <c r="N338" i="1" s="1" a="1"/>
  <c r="F867" i="2" a="1"/>
  <c r="N339" i="1" s="1" a="1"/>
  <c r="F868" i="2" a="1"/>
  <c r="F869" i="2" a="1"/>
  <c r="F870" i="2" a="1"/>
  <c r="N340" i="1" s="1" a="1"/>
  <c r="F871" i="2" a="1"/>
  <c r="F872" i="2" a="1"/>
  <c r="N341" i="1" s="1" a="1"/>
  <c r="F873" i="2" a="1"/>
  <c r="F874" i="2" a="1"/>
  <c r="F875" i="2" a="1"/>
  <c r="F876" i="2" a="1"/>
  <c r="N342" i="1" s="1" a="1"/>
  <c r="F877" i="2" a="1"/>
  <c r="F878" i="2" a="1"/>
  <c r="F879" i="2" a="1"/>
  <c r="N343" i="1" s="1" a="1"/>
  <c r="F880" i="2" a="1"/>
  <c r="F881" i="2" a="1"/>
  <c r="N344" i="1" s="1" a="1"/>
  <c r="F882" i="2" a="1"/>
  <c r="N345" i="1" s="1" a="1"/>
  <c r="F883" i="2" a="1"/>
  <c r="F884" i="2" a="1"/>
  <c r="F885" i="2" a="1"/>
  <c r="N346" i="1" s="1" a="1"/>
  <c r="F886" i="2" a="1"/>
  <c r="F887" i="2" a="1"/>
  <c r="F888" i="2" a="1"/>
  <c r="N347" i="1" s="1" a="1"/>
  <c r="F889" i="2" a="1"/>
  <c r="F890" i="2" a="1"/>
  <c r="N348" i="1" s="1" a="1"/>
  <c r="F891" i="2" a="1"/>
  <c r="F892" i="2" a="1"/>
  <c r="N349" i="1" s="1" a="1"/>
  <c r="F893" i="2" a="1"/>
  <c r="F894" i="2" a="1"/>
  <c r="F895" i="2" a="1"/>
  <c r="F896" i="2" a="1"/>
  <c r="N350" i="1" s="1" a="1"/>
  <c r="F897" i="2" a="1"/>
  <c r="F898" i="2" a="1"/>
  <c r="F899" i="2" a="1"/>
  <c r="F900" i="2" a="1"/>
  <c r="N351" i="1" s="1" a="1"/>
  <c r="F901" i="2" a="1"/>
  <c r="F902" i="2" a="1"/>
  <c r="F903" i="2" a="1"/>
  <c r="N352" i="1" s="1" a="1"/>
  <c r="F904" i="2" a="1"/>
  <c r="N353" i="1" s="1" a="1"/>
  <c r="F905" i="2" a="1"/>
  <c r="F906" i="2" a="1"/>
  <c r="F907" i="2" a="1"/>
  <c r="F908" i="2" a="1"/>
  <c r="N354" i="1" s="1" a="1"/>
  <c r="F909" i="2" a="1"/>
  <c r="N355" i="1" s="1" a="1"/>
  <c r="F910" i="2" a="1"/>
  <c r="F911" i="2" a="1"/>
  <c r="N356" i="1" s="1" a="1"/>
  <c r="F912" i="2" a="1"/>
  <c r="F913" i="2" a="1"/>
  <c r="N357" i="1" s="1" a="1"/>
  <c r="F914" i="2" a="1"/>
  <c r="F915" i="2" a="1"/>
  <c r="F916" i="2" a="1"/>
  <c r="F917" i="2" a="1"/>
  <c r="N358" i="1" s="1" a="1"/>
  <c r="F918" i="2" a="1"/>
  <c r="F919" i="2" a="1"/>
  <c r="F920" i="2" a="1"/>
  <c r="N359" i="1" s="1" a="1"/>
  <c r="F921" i="2" a="1"/>
  <c r="F922" i="2" a="1"/>
  <c r="N360" i="1" s="1" a="1"/>
  <c r="F923" i="2" a="1"/>
  <c r="N361" i="1" s="1" a="1"/>
  <c r="F924" i="2" a="1"/>
  <c r="F925" i="2" a="1"/>
  <c r="N116" i="1" l="1" a="1"/>
  <c r="N122" i="1" a="1"/>
  <c r="N124" i="1" a="1"/>
  <c r="N126" i="1" a="1"/>
  <c r="N131" i="1" a="1"/>
  <c r="N133" i="1" a="1"/>
  <c r="N169" i="1" a="1"/>
  <c r="N175" i="1" a="1"/>
  <c r="N114" i="1" a="1"/>
  <c r="N118" i="1" a="1"/>
  <c r="N129" i="1" a="1"/>
  <c r="N165" i="1" a="1"/>
  <c r="N177" i="1" a="1"/>
  <c r="N179" i="1" a="1"/>
  <c r="N95" i="1" a="1"/>
  <c r="N216" i="1" a="1"/>
  <c r="N319" i="1" a="1"/>
  <c r="N312" i="1" a="1"/>
  <c r="N66" i="1" a="1"/>
  <c r="N67" i="1" a="1"/>
  <c r="N68" i="1" a="1"/>
  <c r="N69" i="1" a="1"/>
  <c r="N72" i="1" a="1"/>
  <c r="N73" i="1" a="1"/>
  <c r="N75" i="1" a="1"/>
  <c r="N76" i="1" a="1"/>
  <c r="N77" i="1" a="1"/>
  <c r="N78" i="1" a="1"/>
  <c r="N80" i="1" a="1"/>
  <c r="N81" i="1" a="1"/>
  <c r="N84" i="1" a="1"/>
  <c r="N85" i="1" a="1"/>
  <c r="N86" i="1" a="1"/>
  <c r="N87" i="1" a="1"/>
  <c r="N88" i="1" a="1"/>
  <c r="N89" i="1" a="1"/>
  <c r="N91" i="1" a="1"/>
  <c r="N93" i="1" a="1"/>
  <c r="N157" i="1" a="1"/>
  <c r="N159" i="1" a="1"/>
  <c r="N155" i="1" a="1"/>
  <c r="N3" i="1" a="1"/>
  <c r="N4" i="1" a="1"/>
  <c r="N6" i="1" a="1"/>
  <c r="N8" i="1" a="1"/>
  <c r="N9" i="1" a="1"/>
  <c r="N10" i="1" a="1"/>
  <c r="N11" i="1" a="1"/>
  <c r="N13" i="1" a="1"/>
  <c r="N14" i="1" a="1"/>
  <c r="N15" i="1" a="1"/>
  <c r="N16" i="1" a="1"/>
  <c r="N17" i="1" a="1"/>
  <c r="N19" i="1" a="1"/>
  <c r="N20" i="1" a="1"/>
  <c r="N21" i="1" a="1"/>
  <c r="N22" i="1" a="1"/>
  <c r="N23" i="1" a="1"/>
  <c r="N24" i="1" a="1"/>
  <c r="N27" i="1" a="1"/>
  <c r="N28" i="1" a="1"/>
  <c r="N29" i="1" a="1"/>
  <c r="N31" i="1" a="1"/>
  <c r="N32" i="1" a="1"/>
  <c r="N33" i="1" a="1"/>
  <c r="N34" i="1" a="1"/>
  <c r="N35" i="1" a="1"/>
  <c r="N36" i="1" a="1"/>
  <c r="N37" i="1" a="1"/>
  <c r="N39" i="1" a="1"/>
  <c r="N41" i="1" a="1"/>
  <c r="N42" i="1" a="1"/>
  <c r="N43" i="1" a="1"/>
  <c r="N45" i="1" a="1"/>
  <c r="N46" i="1" a="1"/>
  <c r="N48" i="1" a="1"/>
  <c r="N49" i="1" a="1"/>
  <c r="N50" i="1" a="1"/>
  <c r="N51" i="1" a="1"/>
  <c r="N52" i="1" a="1"/>
  <c r="N53" i="1" a="1"/>
  <c r="N55" i="1" a="1"/>
  <c r="N56" i="1" a="1"/>
  <c r="N57" i="1" a="1"/>
  <c r="N58" i="1" a="1"/>
  <c r="N60" i="1" a="1"/>
  <c r="N61" i="1" a="1"/>
  <c r="N62" i="1" a="1"/>
  <c r="N63" i="1" a="1"/>
  <c r="N70" i="1" a="1"/>
  <c r="N79" i="1" a="1"/>
  <c r="N90" i="1" a="1"/>
  <c r="N99" i="1" a="1"/>
  <c r="N101" i="1" a="1"/>
  <c r="N112" i="1" a="1"/>
  <c r="N128" i="1" a="1"/>
  <c r="N141" i="1" a="1"/>
  <c r="N188" i="1" a="1"/>
  <c r="N207" i="1" a="1"/>
  <c r="N223" i="1" a="1"/>
  <c r="N226" i="1" a="1"/>
  <c r="I316" i="1"/>
  <c r="J316" i="1" s="1"/>
  <c r="I322" i="1"/>
  <c r="J322" i="1" s="1"/>
  <c r="I335" i="1"/>
  <c r="J335" i="1" s="1"/>
  <c r="I309" i="1"/>
  <c r="J309" i="1" s="1"/>
  <c r="I2" i="1"/>
  <c r="J2" i="1" s="1"/>
  <c r="I5" i="1"/>
  <c r="J5" i="1" s="1"/>
  <c r="I7" i="1"/>
  <c r="J7" i="1" s="1"/>
  <c r="I12" i="1"/>
  <c r="J12" i="1" s="1"/>
  <c r="I18" i="1"/>
  <c r="J18" i="1" s="1"/>
  <c r="I25" i="1"/>
  <c r="J25" i="1" s="1"/>
  <c r="I26" i="1"/>
  <c r="J26" i="1" s="1"/>
  <c r="I30" i="1"/>
  <c r="J30" i="1" s="1"/>
  <c r="I38" i="1"/>
  <c r="J38" i="1" s="1"/>
  <c r="I40" i="1"/>
  <c r="J40" i="1" s="1"/>
  <c r="I44" i="1"/>
  <c r="J44" i="1" s="1"/>
  <c r="I47" i="1"/>
  <c r="J47" i="1" s="1"/>
  <c r="I54" i="1"/>
  <c r="J54" i="1" s="1"/>
  <c r="I59" i="1"/>
  <c r="J59" i="1" s="1"/>
  <c r="I64" i="1"/>
  <c r="J64" i="1" s="1"/>
  <c r="I65" i="1"/>
  <c r="J65" i="1" s="1"/>
  <c r="I71" i="1"/>
  <c r="J71" i="1" s="1"/>
  <c r="I74" i="1"/>
  <c r="J74" i="1" s="1"/>
  <c r="I82" i="1"/>
  <c r="J82" i="1" s="1"/>
  <c r="I83" i="1"/>
  <c r="J83" i="1" s="1"/>
  <c r="I92" i="1"/>
  <c r="J92" i="1" s="1"/>
  <c r="I98" i="1"/>
  <c r="J98" i="1" s="1"/>
  <c r="I103" i="1"/>
  <c r="J103" i="1" s="1"/>
  <c r="I104" i="1"/>
  <c r="J104" i="1" s="1"/>
  <c r="I105" i="1"/>
  <c r="J105" i="1" s="1"/>
  <c r="I106" i="1"/>
  <c r="J106" i="1" s="1"/>
  <c r="I110" i="1"/>
  <c r="J110" i="1" s="1"/>
  <c r="I119" i="1"/>
  <c r="J119" i="1" s="1"/>
  <c r="I120" i="1"/>
  <c r="J120" i="1" s="1"/>
  <c r="I135" i="1"/>
  <c r="J135" i="1" s="1"/>
  <c r="I139" i="1"/>
  <c r="J139" i="1" s="1"/>
  <c r="I144" i="1"/>
  <c r="J144" i="1" s="1"/>
  <c r="I145" i="1"/>
  <c r="J145" i="1" s="1"/>
  <c r="I160" i="1"/>
  <c r="J160" i="1" s="1"/>
  <c r="I161" i="1"/>
  <c r="J161" i="1" s="1"/>
  <c r="I167" i="1"/>
  <c r="J167" i="1" s="1"/>
  <c r="I168" i="1"/>
  <c r="J168" i="1" s="1"/>
  <c r="I173" i="1"/>
  <c r="J173" i="1" s="1"/>
  <c r="I174" i="1"/>
  <c r="J174" i="1" s="1"/>
  <c r="I181" i="1"/>
  <c r="J181" i="1" s="1"/>
  <c r="I183" i="1"/>
  <c r="J183" i="1" s="1"/>
  <c r="I187" i="1"/>
  <c r="J187" i="1" s="1"/>
  <c r="I191" i="1"/>
  <c r="J191" i="1" s="1"/>
  <c r="I193" i="1"/>
  <c r="J193" i="1" s="1"/>
  <c r="I201" i="1"/>
  <c r="J201" i="1" s="1"/>
  <c r="I202" i="1"/>
  <c r="J202" i="1" s="1"/>
  <c r="I203" i="1"/>
  <c r="J203" i="1" s="1"/>
  <c r="I213" i="1"/>
  <c r="J213" i="1" s="1"/>
  <c r="I214" i="1"/>
  <c r="J214" i="1" s="1"/>
  <c r="I216" i="1"/>
  <c r="J216" i="1" s="1"/>
  <c r="I217" i="1"/>
  <c r="J217" i="1" s="1"/>
  <c r="I219" i="1"/>
  <c r="J219" i="1" s="1"/>
  <c r="I221" i="1"/>
  <c r="J221" i="1" s="1"/>
  <c r="I222" i="1"/>
  <c r="J222" i="1" s="1"/>
  <c r="I224" i="1"/>
  <c r="J224" i="1" s="1"/>
  <c r="I225" i="1"/>
  <c r="J225" i="1" s="1"/>
  <c r="I227" i="1"/>
  <c r="J227" i="1" s="1"/>
  <c r="I228" i="1"/>
  <c r="J228" i="1" s="1"/>
  <c r="I229" i="1"/>
  <c r="J229" i="1" s="1"/>
  <c r="I231" i="1"/>
  <c r="J231" i="1" s="1"/>
  <c r="I232" i="1"/>
  <c r="J232" i="1" s="1"/>
  <c r="I233" i="1"/>
  <c r="J233" i="1" s="1"/>
  <c r="I234" i="1"/>
  <c r="J234" i="1" s="1"/>
  <c r="I235" i="1"/>
  <c r="J235" i="1" s="1"/>
  <c r="I236" i="1"/>
  <c r="J236" i="1" s="1"/>
  <c r="I237" i="1"/>
  <c r="J237" i="1" s="1"/>
  <c r="I238" i="1"/>
  <c r="J238"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3" i="1"/>
  <c r="J263" i="1" s="1"/>
  <c r="I264" i="1"/>
  <c r="J264" i="1" s="1"/>
  <c r="I266" i="1"/>
  <c r="J266" i="1" s="1"/>
  <c r="I267" i="1"/>
  <c r="J267" i="1" s="1"/>
  <c r="I269" i="1"/>
  <c r="J269" i="1" s="1"/>
  <c r="I270" i="1"/>
  <c r="J270" i="1" s="1"/>
  <c r="I271" i="1"/>
  <c r="J271" i="1" s="1"/>
  <c r="I272" i="1"/>
  <c r="J272" i="1" s="1"/>
  <c r="I273" i="1"/>
  <c r="J273" i="1" s="1"/>
  <c r="I274" i="1"/>
  <c r="J274"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90" i="1"/>
  <c r="J290" i="1" s="1"/>
  <c r="I291" i="1"/>
  <c r="J291" i="1" s="1"/>
  <c r="I292" i="1"/>
  <c r="J292" i="1" s="1"/>
  <c r="I293" i="1"/>
  <c r="J293" i="1" s="1"/>
  <c r="I294" i="1"/>
  <c r="J294" i="1" s="1"/>
  <c r="I295" i="1"/>
  <c r="J295" i="1" s="1"/>
  <c r="I296" i="1"/>
  <c r="J296" i="1" s="1"/>
  <c r="I297" i="1"/>
  <c r="J297" i="1" s="1"/>
  <c r="I298" i="1"/>
  <c r="J298" i="1" s="1"/>
  <c r="I299" i="1"/>
  <c r="J299" i="1" s="1"/>
  <c r="I301" i="1"/>
  <c r="J301" i="1" s="1"/>
  <c r="I302" i="1"/>
  <c r="J302" i="1" s="1"/>
  <c r="I303" i="1"/>
  <c r="J303" i="1" s="1"/>
  <c r="I304" i="1"/>
  <c r="J304" i="1" s="1"/>
  <c r="I305" i="1"/>
  <c r="J305" i="1" s="1"/>
  <c r="I306" i="1"/>
  <c r="J306" i="1" s="1"/>
  <c r="I308" i="1"/>
  <c r="J308" i="1" s="1"/>
  <c r="I310" i="1"/>
  <c r="J310" i="1" s="1"/>
  <c r="I311" i="1"/>
  <c r="J311" i="1" s="1"/>
  <c r="I312" i="1"/>
  <c r="J312" i="1" s="1"/>
  <c r="I313" i="1"/>
  <c r="J313" i="1" s="1"/>
  <c r="I314" i="1"/>
  <c r="J314" i="1" s="1"/>
  <c r="I315" i="1"/>
  <c r="J315" i="1" s="1"/>
  <c r="I317" i="1"/>
  <c r="J317" i="1" s="1"/>
  <c r="I318" i="1"/>
  <c r="J318" i="1" s="1"/>
  <c r="I319" i="1"/>
  <c r="J319" i="1" s="1"/>
  <c r="I320" i="1"/>
  <c r="J320" i="1" s="1"/>
  <c r="I321" i="1"/>
  <c r="J321"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6" i="1"/>
  <c r="J336" i="1" s="1"/>
  <c r="I337" i="1"/>
  <c r="J337" i="1" s="1"/>
  <c r="I338" i="1"/>
  <c r="J338" i="1" s="1"/>
  <c r="I340" i="1"/>
  <c r="J340" i="1" s="1"/>
  <c r="I341" i="1"/>
  <c r="J341" i="1" s="1"/>
  <c r="I342" i="1"/>
  <c r="J342" i="1" s="1"/>
  <c r="I343" i="1"/>
  <c r="J343" i="1" s="1"/>
  <c r="I344" i="1"/>
  <c r="J344" i="1" s="1"/>
  <c r="I346" i="1"/>
  <c r="J346" i="1" s="1"/>
  <c r="I347" i="1"/>
  <c r="J347" i="1" s="1"/>
  <c r="I348" i="1"/>
  <c r="J348" i="1" s="1"/>
  <c r="I349" i="1"/>
  <c r="J349" i="1" s="1"/>
  <c r="I350" i="1"/>
  <c r="J350" i="1" s="1"/>
  <c r="I351" i="1"/>
  <c r="J351" i="1" s="1"/>
  <c r="I352" i="1"/>
  <c r="J352" i="1" s="1"/>
  <c r="I354" i="1"/>
  <c r="J354" i="1" s="1"/>
  <c r="I355" i="1"/>
  <c r="J355" i="1" s="1"/>
  <c r="I357" i="1"/>
  <c r="J357" i="1" s="1"/>
  <c r="I358" i="1"/>
  <c r="J358" i="1" s="1"/>
  <c r="I359" i="1"/>
  <c r="J359" i="1" s="1"/>
  <c r="I360" i="1"/>
  <c r="J360" i="1" s="1"/>
  <c r="I361" i="1"/>
  <c r="J361" i="1" s="1"/>
  <c r="I307" i="1"/>
  <c r="J307" i="1" s="1"/>
  <c r="I275" i="1"/>
  <c r="J275" i="1" s="1"/>
  <c r="I276" i="1"/>
  <c r="J276" i="1" s="1"/>
  <c r="I300" i="1"/>
  <c r="J300" i="1" s="1"/>
  <c r="I220" i="1"/>
  <c r="J220" i="1" s="1"/>
  <c r="I356" i="1"/>
  <c r="J356" i="1" s="1"/>
  <c r="I72" i="1"/>
  <c r="J72" i="1" s="1"/>
  <c r="I73" i="1"/>
  <c r="J73" i="1" s="1"/>
  <c r="I76" i="1"/>
  <c r="J76" i="1" s="1"/>
  <c r="I77" i="1"/>
  <c r="J77" i="1" s="1"/>
  <c r="I78" i="1"/>
  <c r="J78" i="1" s="1"/>
  <c r="I79" i="1"/>
  <c r="J79" i="1" s="1"/>
  <c r="I80" i="1"/>
  <c r="J80" i="1" s="1"/>
  <c r="I81" i="1"/>
  <c r="J81" i="1" s="1"/>
  <c r="I84" i="1"/>
  <c r="J84" i="1" s="1"/>
  <c r="I85" i="1"/>
  <c r="J85" i="1" s="1"/>
  <c r="I86" i="1"/>
  <c r="J86" i="1" s="1"/>
  <c r="I87" i="1"/>
  <c r="J87" i="1" s="1"/>
  <c r="I88" i="1"/>
  <c r="J88" i="1" s="1"/>
  <c r="I89" i="1"/>
  <c r="J89" i="1" s="1"/>
  <c r="I91" i="1"/>
  <c r="J91" i="1" s="1"/>
  <c r="I94" i="1"/>
  <c r="J94" i="1" s="1"/>
  <c r="I95" i="1"/>
  <c r="J95" i="1" s="1"/>
  <c r="I96" i="1"/>
  <c r="J96" i="1" s="1"/>
  <c r="I97" i="1"/>
  <c r="J97" i="1" s="1"/>
  <c r="I99" i="1"/>
  <c r="J99" i="1" s="1"/>
  <c r="I100" i="1"/>
  <c r="J100" i="1" s="1"/>
  <c r="I101" i="1"/>
  <c r="J101" i="1" s="1"/>
  <c r="I102" i="1"/>
  <c r="J102" i="1" s="1"/>
  <c r="I107" i="1"/>
  <c r="J107" i="1" s="1"/>
  <c r="I108" i="1"/>
  <c r="J108" i="1" s="1"/>
  <c r="I111" i="1"/>
  <c r="J111" i="1" s="1"/>
  <c r="I112" i="1"/>
  <c r="J112" i="1" s="1"/>
  <c r="I113" i="1"/>
  <c r="J113" i="1" s="1"/>
  <c r="I114" i="1"/>
  <c r="J114" i="1" s="1"/>
  <c r="I115" i="1"/>
  <c r="J115" i="1" s="1"/>
  <c r="I117" i="1"/>
  <c r="J117" i="1" s="1"/>
  <c r="I118" i="1"/>
  <c r="J118"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6" i="1"/>
  <c r="J136" i="1" s="1"/>
  <c r="I137" i="1"/>
  <c r="J137" i="1" s="1"/>
  <c r="I140" i="1"/>
  <c r="J140" i="1" s="1"/>
  <c r="I142" i="1"/>
  <c r="J142" i="1" s="1"/>
  <c r="I143" i="1"/>
  <c r="J143"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2" i="1"/>
  <c r="J162" i="1" s="1"/>
  <c r="I163" i="1"/>
  <c r="J163" i="1" s="1"/>
  <c r="I164" i="1"/>
  <c r="J164" i="1" s="1"/>
  <c r="I165" i="1"/>
  <c r="J165" i="1" s="1"/>
  <c r="I170" i="1"/>
  <c r="J170" i="1" s="1"/>
  <c r="I171" i="1"/>
  <c r="J171" i="1" s="1"/>
  <c r="I172" i="1"/>
  <c r="J172" i="1" s="1"/>
  <c r="I176" i="1"/>
  <c r="J176" i="1" s="1"/>
  <c r="I177" i="1"/>
  <c r="J177" i="1" s="1"/>
  <c r="I178" i="1"/>
  <c r="J178" i="1" s="1"/>
  <c r="I179" i="1"/>
  <c r="J179" i="1" s="1"/>
  <c r="I180" i="1"/>
  <c r="J180" i="1" s="1"/>
  <c r="I182" i="1"/>
  <c r="J182" i="1" s="1"/>
  <c r="I184" i="1"/>
  <c r="J184" i="1" s="1"/>
  <c r="I185" i="1"/>
  <c r="J185" i="1" s="1"/>
  <c r="I186" i="1"/>
  <c r="J186" i="1" s="1"/>
  <c r="I189" i="1"/>
  <c r="J189" i="1" s="1"/>
  <c r="I190" i="1"/>
  <c r="J190" i="1" s="1"/>
  <c r="I192" i="1"/>
  <c r="J192" i="1" s="1"/>
  <c r="I195" i="1"/>
  <c r="J195" i="1" s="1"/>
  <c r="I196" i="1"/>
  <c r="J196" i="1" s="1"/>
  <c r="I197" i="1"/>
  <c r="J197" i="1" s="1"/>
  <c r="I198" i="1"/>
  <c r="J198" i="1" s="1"/>
  <c r="I199" i="1"/>
  <c r="J199" i="1" s="1"/>
  <c r="I200" i="1"/>
  <c r="J200" i="1" s="1"/>
  <c r="I204" i="1"/>
  <c r="J204" i="1" s="1"/>
  <c r="I205" i="1"/>
  <c r="J205" i="1" s="1"/>
  <c r="I206" i="1"/>
  <c r="J206" i="1" s="1"/>
  <c r="I207" i="1"/>
  <c r="J207" i="1" s="1"/>
  <c r="I208" i="1"/>
  <c r="J208" i="1" s="1"/>
  <c r="I209" i="1"/>
  <c r="J209" i="1" s="1"/>
  <c r="I210" i="1"/>
  <c r="J210" i="1" s="1"/>
  <c r="I211" i="1"/>
  <c r="J211" i="1" s="1"/>
  <c r="I212" i="1"/>
  <c r="J212" i="1" s="1"/>
  <c r="I215" i="1"/>
  <c r="J215" i="1" s="1"/>
  <c r="I218" i="1"/>
  <c r="J218" i="1" s="1"/>
  <c r="I90" i="1"/>
  <c r="J90" i="1" s="1"/>
  <c r="I93" i="1"/>
  <c r="J93" i="1" s="1"/>
  <c r="I109" i="1"/>
  <c r="J109" i="1" s="1"/>
  <c r="I116" i="1"/>
  <c r="J116" i="1" s="1"/>
  <c r="I121" i="1"/>
  <c r="J121" i="1" s="1"/>
  <c r="I138" i="1"/>
  <c r="J138" i="1" s="1"/>
  <c r="I141" i="1"/>
  <c r="J141" i="1" s="1"/>
  <c r="I166" i="1"/>
  <c r="J166" i="1" s="1"/>
  <c r="I175" i="1"/>
  <c r="J175" i="1" s="1"/>
  <c r="I188" i="1"/>
  <c r="J188" i="1" s="1"/>
  <c r="I194" i="1"/>
  <c r="J194" i="1" s="1"/>
  <c r="I223" i="1"/>
  <c r="J223" i="1" s="1"/>
  <c r="I226" i="1"/>
  <c r="J226" i="1" s="1"/>
  <c r="I230" i="1"/>
  <c r="J230" i="1" s="1"/>
  <c r="I262" i="1"/>
  <c r="J262" i="1" s="1"/>
  <c r="I268" i="1"/>
  <c r="J268" i="1" s="1"/>
  <c r="I289" i="1"/>
  <c r="J289" i="1" s="1"/>
  <c r="I339" i="1"/>
  <c r="J339" i="1" s="1"/>
  <c r="I345" i="1"/>
  <c r="J345" i="1" s="1"/>
  <c r="I75" i="1"/>
  <c r="J75" i="1" s="1"/>
  <c r="I239" i="1"/>
  <c r="J239" i="1" s="1"/>
  <c r="I353" i="1"/>
  <c r="J353" i="1" s="1"/>
  <c r="I3" i="1"/>
  <c r="J3" i="1" s="1"/>
  <c r="I4" i="1"/>
  <c r="J4" i="1" s="1"/>
  <c r="I6" i="1"/>
  <c r="J6" i="1" s="1"/>
  <c r="I8" i="1"/>
  <c r="J8" i="1" s="1"/>
  <c r="I9" i="1"/>
  <c r="J9" i="1" s="1"/>
  <c r="I10" i="1"/>
  <c r="J10" i="1" s="1"/>
  <c r="I11" i="1"/>
  <c r="J11" i="1" s="1"/>
  <c r="I13" i="1"/>
  <c r="J13" i="1" s="1"/>
  <c r="I14" i="1"/>
  <c r="J14" i="1" s="1"/>
  <c r="I15" i="1"/>
  <c r="J15" i="1" s="1"/>
  <c r="I16" i="1"/>
  <c r="J16" i="1" s="1"/>
  <c r="I17" i="1"/>
  <c r="J17" i="1" s="1"/>
  <c r="I19" i="1"/>
  <c r="J19" i="1" s="1"/>
  <c r="I20" i="1"/>
  <c r="J20" i="1" s="1"/>
  <c r="I21" i="1"/>
  <c r="J21" i="1" s="1"/>
  <c r="I22" i="1"/>
  <c r="J22" i="1" s="1"/>
  <c r="I23" i="1"/>
  <c r="J23" i="1" s="1"/>
  <c r="I24" i="1"/>
  <c r="J24" i="1" s="1"/>
  <c r="I27" i="1"/>
  <c r="J27" i="1" s="1"/>
  <c r="I28" i="1"/>
  <c r="J28" i="1" s="1"/>
  <c r="I29" i="1"/>
  <c r="J29" i="1" s="1"/>
  <c r="I31" i="1"/>
  <c r="J31" i="1" s="1"/>
  <c r="I32" i="1"/>
  <c r="J32" i="1" s="1"/>
  <c r="I33" i="1"/>
  <c r="J33" i="1" s="1"/>
  <c r="I34" i="1"/>
  <c r="J34" i="1" s="1"/>
  <c r="I35" i="1"/>
  <c r="J35" i="1" s="1"/>
  <c r="I36" i="1"/>
  <c r="J36" i="1" s="1"/>
  <c r="I37" i="1"/>
  <c r="J37" i="1" s="1"/>
  <c r="I39" i="1"/>
  <c r="J39" i="1" s="1"/>
  <c r="I41" i="1"/>
  <c r="J41" i="1" s="1"/>
  <c r="I42" i="1"/>
  <c r="J42" i="1" s="1"/>
  <c r="I43" i="1"/>
  <c r="J43" i="1" s="1"/>
  <c r="I45" i="1"/>
  <c r="J45" i="1" s="1"/>
  <c r="I46" i="1"/>
  <c r="J46" i="1" s="1"/>
  <c r="I48" i="1"/>
  <c r="J48" i="1" s="1"/>
  <c r="I49" i="1"/>
  <c r="J49" i="1" s="1"/>
  <c r="I50" i="1"/>
  <c r="J50" i="1" s="1"/>
  <c r="I51" i="1"/>
  <c r="J51" i="1" s="1"/>
  <c r="I52" i="1"/>
  <c r="J52" i="1" s="1"/>
  <c r="I53" i="1"/>
  <c r="J53" i="1" s="1"/>
  <c r="I55" i="1"/>
  <c r="J55" i="1" s="1"/>
  <c r="I56" i="1"/>
  <c r="J56" i="1" s="1"/>
  <c r="I57" i="1"/>
  <c r="J57" i="1" s="1"/>
  <c r="I58" i="1"/>
  <c r="J58" i="1" s="1"/>
  <c r="I60" i="1"/>
  <c r="J60" i="1" s="1"/>
  <c r="I61" i="1"/>
  <c r="J61" i="1" s="1"/>
  <c r="I62" i="1"/>
  <c r="J62" i="1" s="1"/>
  <c r="I63" i="1"/>
  <c r="J63" i="1" s="1"/>
  <c r="I66" i="1"/>
  <c r="J66" i="1" s="1"/>
  <c r="I67" i="1"/>
  <c r="J67" i="1" s="1"/>
  <c r="I68" i="1"/>
  <c r="J68" i="1" s="1"/>
  <c r="I69" i="1"/>
  <c r="J69" i="1" s="1"/>
  <c r="I70" i="1"/>
  <c r="J70" i="1" s="1"/>
  <c r="I169" i="1"/>
  <c r="J169" i="1" s="1"/>
  <c r="I265" i="1"/>
  <c r="J265" i="1" s="1"/>
  <c r="G2" i="2" a="1"/>
  <c r="G9" i="2" a="1"/>
  <c r="G12" i="2" a="1"/>
  <c r="G25" i="2" a="1"/>
  <c r="G42" i="2" a="1"/>
  <c r="G60" i="2" a="1"/>
  <c r="G61" i="2" a="1"/>
  <c r="G72" i="2" a="1"/>
  <c r="G94" i="2" a="1"/>
  <c r="G97" i="2" a="1"/>
  <c r="G108" i="2" a="1"/>
  <c r="G115" i="2" a="1"/>
  <c r="G131" i="2" a="1"/>
  <c r="G142" i="2" a="1"/>
  <c r="G155" i="2" a="1"/>
  <c r="G156" i="2" a="1"/>
  <c r="G176" i="2" a="1"/>
  <c r="G182" i="2" a="1"/>
  <c r="G204" i="2" a="1"/>
  <c r="G205" i="2" a="1"/>
  <c r="G226" i="2" a="1"/>
  <c r="G240" i="2" a="1"/>
  <c r="G250" i="2" a="1"/>
  <c r="G251" i="2" a="1"/>
  <c r="G252" i="2" a="1"/>
  <c r="G253" i="2" a="1"/>
  <c r="G263" i="2" a="1"/>
  <c r="G291" i="2" a="1"/>
  <c r="G292" i="2" a="1"/>
  <c r="G336" i="2" a="1"/>
  <c r="G346" i="2" a="1"/>
  <c r="G358" i="2" a="1"/>
  <c r="G359" i="2" a="1"/>
  <c r="G404" i="2" a="1"/>
  <c r="G405" i="2" a="1"/>
  <c r="G421" i="2" a="1"/>
  <c r="G422" i="2" a="1"/>
  <c r="G437" i="2" a="1"/>
  <c r="G438" i="2" a="1"/>
  <c r="G458" i="2" a="1"/>
  <c r="G463" i="2" a="1"/>
  <c r="G472" i="2" a="1"/>
  <c r="G484" i="2" a="1"/>
  <c r="G487" i="2" a="1"/>
  <c r="G509" i="2" a="1"/>
  <c r="G510" i="2" a="1"/>
  <c r="G511" i="2" a="1"/>
  <c r="G558" i="2" a="1"/>
  <c r="G565" i="2" a="1"/>
  <c r="G573" i="2" a="1"/>
  <c r="G583" i="2" a="1"/>
  <c r="G598" i="2" a="1"/>
  <c r="G599" i="2" a="1"/>
  <c r="G602" i="2" a="1"/>
  <c r="G630" i="2" a="1"/>
  <c r="G708" i="2" a="1"/>
  <c r="G725" i="2" a="1"/>
  <c r="G729" i="2" a="1"/>
  <c r="G756" i="2" a="1"/>
  <c r="G761" i="2" a="1"/>
  <c r="G766" i="2" a="1"/>
  <c r="G767" i="2" a="1"/>
  <c r="G779" i="2" a="1"/>
  <c r="G782" i="2" a="1"/>
  <c r="G808" i="2" a="1"/>
  <c r="G809" i="2" a="1"/>
  <c r="G812" i="2" a="1"/>
  <c r="G821" i="2" a="1"/>
  <c r="G835" i="2" a="1"/>
  <c r="G836" i="2" a="1"/>
  <c r="G840" i="2" a="1"/>
  <c r="G866" i="2" a="1"/>
  <c r="G881" i="2" a="1"/>
  <c r="G903" i="2" a="1"/>
  <c r="G908" i="2" a="1"/>
  <c r="G922" i="2" a="1"/>
  <c r="Z37" i="14"/>
  <c r="R42" i="14" s="1"/>
  <c r="O25" i="13"/>
  <c r="N25" i="13"/>
  <c r="E78" i="13"/>
  <c r="Q25" i="13"/>
  <c r="N33" i="13" s="1"/>
  <c r="P25" i="13"/>
  <c r="G569" i="2" a="1"/>
  <c r="G566" i="2" a="1"/>
  <c r="G567" i="2" a="1"/>
  <c r="G568" i="2" a="1"/>
  <c r="G571" i="2" a="1"/>
  <c r="G572" i="2" a="1"/>
  <c r="G570" i="2" a="1"/>
  <c r="G575" i="2" a="1"/>
  <c r="G574" i="2" a="1"/>
  <c r="G576" i="2" a="1"/>
  <c r="G577" i="2" a="1"/>
  <c r="G580" i="2" a="1"/>
  <c r="G579" i="2" a="1"/>
  <c r="G578" i="2" a="1"/>
  <c r="G582" i="2" a="1"/>
  <c r="G581" i="2" a="1"/>
  <c r="G584" i="2" a="1"/>
  <c r="G585" i="2" a="1"/>
  <c r="G587" i="2" a="1"/>
  <c r="G586" i="2" a="1"/>
  <c r="G589" i="2" a="1"/>
  <c r="G588" i="2" a="1"/>
  <c r="G592" i="2" a="1"/>
  <c r="G590" i="2" a="1"/>
  <c r="G591" i="2" a="1"/>
  <c r="G593" i="2" a="1"/>
  <c r="G595" i="2" a="1"/>
  <c r="G594" i="2" a="1"/>
  <c r="G597" i="2" a="1"/>
  <c r="G596" i="2" a="1"/>
  <c r="G600" i="2" a="1"/>
  <c r="G601" i="2" a="1"/>
  <c r="G604" i="2" a="1"/>
  <c r="G606" i="2" a="1"/>
  <c r="G605" i="2" a="1"/>
  <c r="G603" i="2" a="1"/>
  <c r="G608" i="2" a="1"/>
  <c r="G607" i="2" a="1"/>
  <c r="G609" i="2" a="1"/>
  <c r="G610" i="2" a="1"/>
  <c r="G612" i="2" a="1"/>
  <c r="G611" i="2" a="1"/>
  <c r="G613" i="2" a="1"/>
  <c r="G614" i="2" a="1"/>
  <c r="G615" i="2" a="1"/>
  <c r="G619" i="2" a="1"/>
  <c r="G617" i="2" a="1"/>
  <c r="G618" i="2" a="1"/>
  <c r="G616" i="2" a="1"/>
  <c r="G620" i="2" a="1"/>
  <c r="G621" i="2" a="1"/>
  <c r="G624" i="2" a="1"/>
  <c r="G622" i="2" a="1"/>
  <c r="G625" i="2" a="1"/>
  <c r="G623" i="2" a="1"/>
  <c r="G628" i="2" a="1"/>
  <c r="G627" i="2" a="1"/>
  <c r="G629" i="2" a="1"/>
  <c r="G626" i="2" a="1"/>
  <c r="G632" i="2" a="1"/>
  <c r="G631" i="2" a="1"/>
  <c r="G634" i="2" a="1"/>
  <c r="G633" i="2" a="1"/>
  <c r="G635" i="2" a="1"/>
  <c r="G637" i="2" a="1"/>
  <c r="G636" i="2" a="1"/>
  <c r="G639" i="2" a="1"/>
  <c r="G638" i="2" a="1"/>
  <c r="G641" i="2" a="1"/>
  <c r="G640" i="2" a="1"/>
  <c r="G644" i="2" a="1"/>
  <c r="G642" i="2" a="1"/>
  <c r="G645" i="2" a="1"/>
  <c r="G643" i="2" a="1"/>
  <c r="G648" i="2" a="1"/>
  <c r="G646" i="2" a="1"/>
  <c r="G647" i="2" a="1"/>
  <c r="G650" i="2" a="1"/>
  <c r="G649" i="2" a="1"/>
  <c r="G652" i="2" a="1"/>
  <c r="G651" i="2" a="1"/>
  <c r="G654" i="2" a="1"/>
  <c r="G653" i="2" a="1"/>
  <c r="G656" i="2" a="1"/>
  <c r="G657" i="2" a="1"/>
  <c r="G655" i="2" a="1"/>
  <c r="G658" i="2" a="1"/>
  <c r="G659" i="2" a="1"/>
  <c r="G660" i="2" a="1"/>
  <c r="G662" i="2" a="1"/>
  <c r="G661" i="2" a="1"/>
  <c r="G663" i="2" a="1"/>
  <c r="G665" i="2" a="1"/>
  <c r="G667" i="2" a="1"/>
  <c r="G666" i="2" a="1"/>
  <c r="G664" i="2" a="1"/>
  <c r="G669" i="2" a="1"/>
  <c r="G668" i="2" a="1"/>
  <c r="G670" i="2" a="1"/>
  <c r="G671" i="2" a="1"/>
  <c r="G672" i="2" a="1"/>
  <c r="G673" i="2" a="1"/>
  <c r="G674" i="2" a="1"/>
  <c r="G676" i="2" a="1"/>
  <c r="G675" i="2" a="1"/>
  <c r="G677" i="2" a="1"/>
  <c r="G679" i="2" a="1"/>
  <c r="G678" i="2" a="1"/>
  <c r="G680" i="2" a="1"/>
  <c r="G682" i="2" a="1"/>
  <c r="G681" i="2" a="1"/>
  <c r="G683" i="2" a="1"/>
  <c r="G684" i="2" a="1"/>
  <c r="G685" i="2" a="1"/>
  <c r="G686" i="2" a="1"/>
  <c r="G687" i="2" a="1"/>
  <c r="G688" i="2" a="1"/>
  <c r="G690" i="2" a="1"/>
  <c r="G691" i="2" a="1"/>
  <c r="G689" i="2" a="1"/>
  <c r="G692" i="2" a="1"/>
  <c r="G693" i="2" a="1"/>
  <c r="G694" i="2" a="1"/>
  <c r="G698" i="2" a="1"/>
  <c r="G695" i="2" a="1"/>
  <c r="G696" i="2" a="1"/>
  <c r="G697" i="2" a="1"/>
  <c r="G700" i="2" a="1"/>
  <c r="G701" i="2" a="1"/>
  <c r="G699" i="2" a="1"/>
  <c r="G703" i="2" a="1"/>
  <c r="G704" i="2" a="1"/>
  <c r="G702" i="2" a="1"/>
  <c r="G706" i="2" a="1"/>
  <c r="G707" i="2" a="1"/>
  <c r="G705" i="2" a="1"/>
  <c r="G710" i="2" a="1"/>
  <c r="G712" i="2" a="1"/>
  <c r="G709" i="2" a="1"/>
  <c r="G711" i="2" a="1"/>
  <c r="G713" i="2" a="1"/>
  <c r="G715" i="2" a="1"/>
  <c r="G714" i="2" a="1"/>
  <c r="G716" i="2" a="1"/>
  <c r="G719" i="2" a="1"/>
  <c r="G717" i="2" a="1"/>
  <c r="G718" i="2" a="1"/>
  <c r="G720" i="2" a="1"/>
  <c r="G721" i="2" a="1"/>
  <c r="G723" i="2" a="1"/>
  <c r="G724" i="2" a="1"/>
  <c r="G722" i="2" a="1"/>
  <c r="G728" i="2" a="1"/>
  <c r="G727" i="2" a="1"/>
  <c r="G726" i="2" a="1"/>
  <c r="G730" i="2" a="1"/>
  <c r="G731" i="2" a="1"/>
  <c r="G732" i="2" a="1"/>
  <c r="G734" i="2" a="1"/>
  <c r="G735" i="2" a="1"/>
  <c r="G733" i="2" a="1"/>
  <c r="G736" i="2" a="1"/>
  <c r="G738" i="2" a="1"/>
  <c r="G739" i="2" a="1"/>
  <c r="G737" i="2" a="1"/>
  <c r="G740" i="2" a="1"/>
  <c r="G741" i="2" a="1"/>
  <c r="G743" i="2" a="1"/>
  <c r="G742" i="2" a="1"/>
  <c r="G744" i="2" a="1"/>
  <c r="G745" i="2" a="1"/>
  <c r="G746" i="2" a="1"/>
  <c r="G747" i="2" a="1"/>
  <c r="G750" i="2" a="1"/>
  <c r="G748" i="2" a="1"/>
  <c r="G749" i="2" a="1"/>
  <c r="G752" i="2" a="1"/>
  <c r="G751" i="2" a="1"/>
  <c r="G753" i="2" a="1"/>
  <c r="G755" i="2" a="1"/>
  <c r="G754" i="2" a="1"/>
  <c r="G758" i="2" a="1"/>
  <c r="G757" i="2" a="1"/>
  <c r="G759" i="2" a="1"/>
  <c r="G760" i="2" a="1"/>
  <c r="G762" i="2" a="1"/>
  <c r="G763" i="2" a="1"/>
  <c r="G765" i="2" a="1"/>
  <c r="G764" i="2" a="1"/>
  <c r="G771" i="2" a="1"/>
  <c r="G768" i="2" a="1"/>
  <c r="G770" i="2" a="1"/>
  <c r="G769" i="2" a="1"/>
  <c r="G774" i="2" a="1"/>
  <c r="G773" i="2" a="1"/>
  <c r="G772" i="2" a="1"/>
  <c r="G778" i="2" a="1"/>
  <c r="G775" i="2" a="1"/>
  <c r="G776" i="2" a="1"/>
  <c r="G777" i="2" a="1"/>
  <c r="G781" i="2" a="1"/>
  <c r="G780" i="2" a="1"/>
  <c r="G784" i="2" a="1"/>
  <c r="G783" i="2" a="1"/>
  <c r="G787" i="2" a="1"/>
  <c r="G785" i="2" a="1"/>
  <c r="G788" i="2" a="1"/>
  <c r="G786" i="2" a="1"/>
  <c r="G790" i="2" a="1"/>
  <c r="G791" i="2" a="1"/>
  <c r="G789" i="2" a="1"/>
  <c r="G792" i="2" a="1"/>
  <c r="G794" i="2" a="1"/>
  <c r="G796" i="2" a="1"/>
  <c r="G793" i="2" a="1"/>
  <c r="G795" i="2" a="1"/>
  <c r="G797" i="2" a="1"/>
  <c r="G798" i="2" a="1"/>
  <c r="G801" i="2" a="1"/>
  <c r="G799" i="2" a="1"/>
  <c r="G800" i="2" a="1"/>
  <c r="G803" i="2" a="1"/>
  <c r="G802" i="2" a="1"/>
  <c r="G804" i="2" a="1"/>
  <c r="G806" i="2" a="1"/>
  <c r="G805" i="2" a="1"/>
  <c r="G807" i="2" a="1"/>
  <c r="G811" i="2" a="1"/>
  <c r="G810" i="2" a="1"/>
  <c r="G813" i="2" a="1"/>
  <c r="G814" i="2" a="1"/>
  <c r="G816" i="2" a="1"/>
  <c r="G818" i="2" a="1"/>
  <c r="G817" i="2" a="1"/>
  <c r="G815" i="2" a="1"/>
  <c r="G819" i="2" a="1"/>
  <c r="G820" i="2" a="1"/>
  <c r="G823" i="2" a="1"/>
  <c r="G825" i="2" a="1"/>
  <c r="G822" i="2" a="1"/>
  <c r="G824" i="2" a="1"/>
  <c r="G829" i="2" a="1"/>
  <c r="G826" i="2" a="1"/>
  <c r="G827" i="2" a="1"/>
  <c r="G828" i="2" a="1"/>
  <c r="G830" i="2" a="1"/>
  <c r="G831" i="2" a="1"/>
  <c r="G834" i="2" a="1"/>
  <c r="G832" i="2" a="1"/>
  <c r="G833" i="2" a="1"/>
  <c r="G838" i="2" a="1"/>
  <c r="G837" i="2" a="1"/>
  <c r="G839" i="2" a="1"/>
  <c r="G841" i="2" a="1"/>
  <c r="G843" i="2" a="1"/>
  <c r="G842" i="2" a="1"/>
  <c r="G845" i="2" a="1"/>
  <c r="G846" i="2" a="1"/>
  <c r="G844" i="2" a="1"/>
  <c r="G847" i="2" a="1"/>
  <c r="G850" i="2" a="1"/>
  <c r="G849" i="2" a="1"/>
  <c r="G848" i="2" a="1"/>
  <c r="G851" i="2" a="1"/>
  <c r="G854" i="2" a="1"/>
  <c r="G853" i="2" a="1"/>
  <c r="G852" i="2" a="1"/>
  <c r="G856" i="2" a="1"/>
  <c r="G855" i="2" a="1"/>
  <c r="G860" i="2" a="1"/>
  <c r="G857" i="2" a="1"/>
  <c r="G859" i="2" a="1"/>
  <c r="G858" i="2" a="1"/>
  <c r="G862" i="2" a="1"/>
  <c r="G863" i="2" a="1"/>
  <c r="G861" i="2" a="1"/>
  <c r="G864" i="2" a="1"/>
  <c r="G865" i="2" a="1"/>
  <c r="G867" i="2" a="1"/>
  <c r="G869" i="2" a="1"/>
  <c r="G868" i="2" a="1"/>
  <c r="G870" i="2" a="1"/>
  <c r="G871" i="2" a="1"/>
  <c r="G874" i="2" a="1"/>
  <c r="G873" i="2" a="1"/>
  <c r="G875" i="2" a="1"/>
  <c r="G872" i="2" a="1"/>
  <c r="G877" i="2" a="1"/>
  <c r="G878" i="2" a="1"/>
  <c r="G876" i="2" a="1"/>
  <c r="G880" i="2" a="1"/>
  <c r="G879" i="2" a="1"/>
  <c r="G883" i="2" a="1"/>
  <c r="G884" i="2" a="1"/>
  <c r="G882" i="2" a="1"/>
  <c r="G887" i="2" a="1"/>
  <c r="G886" i="2" a="1"/>
  <c r="G885" i="2" a="1"/>
  <c r="G888" i="2" a="1"/>
  <c r="G889" i="2" a="1"/>
  <c r="G891" i="2" a="1"/>
  <c r="G890" i="2" a="1"/>
  <c r="G893" i="2" a="1"/>
  <c r="G895" i="2" a="1"/>
  <c r="G892" i="2" a="1"/>
  <c r="G894" i="2" a="1"/>
  <c r="G899" i="2" a="1"/>
  <c r="G896" i="2" a="1"/>
  <c r="G897" i="2" a="1"/>
  <c r="G898" i="2" a="1"/>
  <c r="G902" i="2" a="1"/>
  <c r="G901" i="2" a="1"/>
  <c r="G900" i="2" a="1"/>
  <c r="G904" i="2" a="1"/>
  <c r="G905" i="2" a="1"/>
  <c r="G906" i="2" a="1"/>
  <c r="G907" i="2" a="1"/>
  <c r="G910" i="2" a="1"/>
  <c r="G909" i="2" a="1"/>
  <c r="G912" i="2" a="1"/>
  <c r="G911" i="2" a="1"/>
  <c r="G913" i="2" a="1"/>
  <c r="G916" i="2" a="1"/>
  <c r="G915" i="2" a="1"/>
  <c r="G914" i="2" a="1"/>
  <c r="G919" i="2" a="1"/>
  <c r="G917" i="2" a="1"/>
  <c r="G918" i="2" a="1"/>
  <c r="G920" i="2" a="1"/>
  <c r="G921" i="2" a="1"/>
  <c r="G925" i="2" a="1"/>
  <c r="G923" i="2" a="1"/>
  <c r="G924" i="2" a="1"/>
  <c r="G3" i="2" a="1"/>
  <c r="G4" i="2" a="1"/>
  <c r="G297" i="2" a="1"/>
  <c r="G298" i="2" a="1"/>
  <c r="G299" i="2" a="1"/>
  <c r="G300" i="2" a="1"/>
  <c r="G301" i="2" a="1"/>
  <c r="G302" i="2" a="1"/>
  <c r="G303" i="2" a="1"/>
  <c r="G304" i="2" a="1"/>
  <c r="G305" i="2" a="1"/>
  <c r="G306" i="2" a="1"/>
  <c r="G307" i="2" a="1"/>
  <c r="G308" i="2" a="1"/>
  <c r="G309" i="2" a="1"/>
  <c r="G310" i="2" a="1"/>
  <c r="G311" i="2" a="1"/>
  <c r="G312" i="2" a="1"/>
  <c r="G313" i="2" a="1"/>
  <c r="G314" i="2" a="1"/>
  <c r="G315" i="2" a="1"/>
  <c r="G316" i="2" a="1"/>
  <c r="G317" i="2" a="1"/>
  <c r="G318" i="2" a="1"/>
  <c r="G319" i="2" a="1"/>
  <c r="G320" i="2" a="1"/>
  <c r="G321" i="2" a="1"/>
  <c r="G322" i="2" a="1"/>
  <c r="G323" i="2" a="1"/>
  <c r="G324" i="2" a="1"/>
  <c r="G325" i="2" a="1"/>
  <c r="G326" i="2" a="1"/>
  <c r="G327" i="2" a="1"/>
  <c r="G328" i="2" a="1"/>
  <c r="G329" i="2" a="1"/>
  <c r="G330" i="2" a="1"/>
  <c r="G331" i="2" a="1"/>
  <c r="G332" i="2" a="1"/>
  <c r="G333" i="2" a="1"/>
  <c r="G334" i="2" a="1"/>
  <c r="G335" i="2" a="1"/>
  <c r="G337" i="2" a="1"/>
  <c r="G338" i="2" a="1"/>
  <c r="G339" i="2" a="1"/>
  <c r="G340" i="2" a="1"/>
  <c r="G341" i="2" a="1"/>
  <c r="G342" i="2" a="1"/>
  <c r="G343" i="2" a="1"/>
  <c r="G344" i="2" a="1"/>
  <c r="G345" i="2" a="1"/>
  <c r="G347" i="2" a="1"/>
  <c r="G348" i="2" a="1"/>
  <c r="G349" i="2" a="1"/>
  <c r="G350" i="2" a="1"/>
  <c r="G351" i="2" a="1"/>
  <c r="G352" i="2" a="1"/>
  <c r="G353" i="2" a="1"/>
  <c r="G354" i="2" a="1"/>
  <c r="G355" i="2" a="1"/>
  <c r="G356" i="2" a="1"/>
  <c r="G357" i="2" a="1"/>
  <c r="G360" i="2" a="1"/>
  <c r="G361" i="2" a="1"/>
  <c r="G362" i="2" a="1"/>
  <c r="G363" i="2" a="1"/>
  <c r="G364" i="2" a="1"/>
  <c r="G365" i="2" a="1"/>
  <c r="G366" i="2" a="1"/>
  <c r="G367" i="2" a="1"/>
  <c r="G368" i="2" a="1"/>
  <c r="G369" i="2" a="1"/>
  <c r="G370" i="2" a="1"/>
  <c r="G371" i="2" a="1"/>
  <c r="G372" i="2" a="1"/>
  <c r="G373" i="2" a="1"/>
  <c r="G374" i="2" a="1"/>
  <c r="G375" i="2" a="1"/>
  <c r="G376" i="2" a="1"/>
  <c r="G377" i="2" a="1"/>
  <c r="G378" i="2" a="1"/>
  <c r="G379" i="2" a="1"/>
  <c r="G380" i="2" a="1"/>
  <c r="G381" i="2" a="1"/>
  <c r="G382" i="2" a="1"/>
  <c r="G383" i="2" a="1"/>
  <c r="G384" i="2" a="1"/>
  <c r="G385" i="2" a="1"/>
  <c r="G386" i="2" a="1"/>
  <c r="G387" i="2" a="1"/>
  <c r="G388" i="2" a="1"/>
  <c r="G389" i="2" a="1"/>
  <c r="G390" i="2" a="1"/>
  <c r="G391" i="2" a="1"/>
  <c r="G392" i="2" a="1"/>
  <c r="G393" i="2" a="1"/>
  <c r="G394" i="2" a="1"/>
  <c r="G395" i="2" a="1"/>
  <c r="G396" i="2" a="1"/>
  <c r="G397" i="2" a="1"/>
  <c r="G398" i="2" a="1"/>
  <c r="G399" i="2" a="1"/>
  <c r="G400" i="2" a="1"/>
  <c r="G401" i="2" a="1"/>
  <c r="G402" i="2" a="1"/>
  <c r="G403" i="2" a="1"/>
  <c r="G406" i="2" a="1"/>
  <c r="G407" i="2" a="1"/>
  <c r="G408" i="2" a="1"/>
  <c r="G409" i="2" a="1"/>
  <c r="G410" i="2" a="1"/>
  <c r="G411" i="2" a="1"/>
  <c r="G412" i="2" a="1"/>
  <c r="G413" i="2" a="1"/>
  <c r="G414" i="2" a="1"/>
  <c r="G415" i="2" a="1"/>
  <c r="G416" i="2" a="1"/>
  <c r="G417" i="2" a="1"/>
  <c r="G418" i="2" a="1"/>
  <c r="G419" i="2" a="1"/>
  <c r="G420" i="2" a="1"/>
  <c r="G423" i="2" a="1"/>
  <c r="G424" i="2" a="1"/>
  <c r="G425" i="2" a="1"/>
  <c r="G426" i="2" a="1"/>
  <c r="G427" i="2" a="1"/>
  <c r="G428" i="2" a="1"/>
  <c r="G429" i="2" a="1"/>
  <c r="G430" i="2" a="1"/>
  <c r="G431" i="2" a="1"/>
  <c r="G432" i="2" a="1"/>
  <c r="G433" i="2" a="1"/>
  <c r="G434" i="2" a="1"/>
  <c r="G435" i="2" a="1"/>
  <c r="G436" i="2" a="1"/>
  <c r="G439" i="2" a="1"/>
  <c r="G440" i="2" a="1"/>
  <c r="G441" i="2" a="1"/>
  <c r="G442" i="2" a="1"/>
  <c r="G443" i="2" a="1"/>
  <c r="G444" i="2" a="1"/>
  <c r="G445" i="2" a="1"/>
  <c r="G446" i="2" a="1"/>
  <c r="G447" i="2" a="1"/>
  <c r="G448" i="2" a="1"/>
  <c r="G449" i="2" a="1"/>
  <c r="G450" i="2" a="1"/>
  <c r="G451" i="2" a="1"/>
  <c r="G452" i="2" a="1"/>
  <c r="G453" i="2" a="1"/>
  <c r="G454" i="2" a="1"/>
  <c r="G455" i="2" a="1"/>
  <c r="G456" i="2" a="1"/>
  <c r="G457" i="2" a="1"/>
  <c r="G459" i="2" a="1"/>
  <c r="G460" i="2" a="1"/>
  <c r="G461" i="2" a="1"/>
  <c r="G462" i="2" a="1"/>
  <c r="G464" i="2" a="1"/>
  <c r="G465" i="2" a="1"/>
  <c r="G466" i="2" a="1"/>
  <c r="G467" i="2" a="1"/>
  <c r="G468" i="2" a="1"/>
  <c r="G469" i="2" a="1"/>
  <c r="G470" i="2" a="1"/>
  <c r="G471" i="2" a="1"/>
  <c r="G473" i="2" a="1"/>
  <c r="G474" i="2" a="1"/>
  <c r="G475" i="2" a="1"/>
  <c r="G476" i="2" a="1"/>
  <c r="G477" i="2" a="1"/>
  <c r="G478" i="2" a="1"/>
  <c r="G479" i="2" a="1"/>
  <c r="G480" i="2" a="1"/>
  <c r="G481" i="2" a="1"/>
  <c r="G482" i="2" a="1"/>
  <c r="G483" i="2" a="1"/>
  <c r="G485" i="2" a="1"/>
  <c r="G486" i="2" a="1"/>
  <c r="G488" i="2" a="1"/>
  <c r="G489" i="2" a="1"/>
  <c r="G490" i="2" a="1"/>
  <c r="G491" i="2" a="1"/>
  <c r="G492" i="2" a="1"/>
  <c r="G493" i="2" a="1"/>
  <c r="G494" i="2" a="1"/>
  <c r="G495" i="2" a="1"/>
  <c r="G496" i="2" a="1"/>
  <c r="G497" i="2" a="1"/>
  <c r="G498" i="2" a="1"/>
  <c r="G499" i="2" a="1"/>
  <c r="G500" i="2" a="1"/>
  <c r="G501" i="2" a="1"/>
  <c r="G502" i="2" a="1"/>
  <c r="G503" i="2" a="1"/>
  <c r="G504" i="2" a="1"/>
  <c r="G505" i="2" a="1"/>
  <c r="G506" i="2" a="1"/>
  <c r="G507" i="2" a="1"/>
  <c r="G508" i="2" a="1"/>
  <c r="G512" i="2" a="1"/>
  <c r="G513" i="2" a="1"/>
  <c r="G514" i="2" a="1"/>
  <c r="G515" i="2" a="1"/>
  <c r="G516" i="2" a="1"/>
  <c r="G517" i="2" a="1"/>
  <c r="G518" i="2" a="1"/>
  <c r="G519" i="2" a="1"/>
  <c r="G520" i="2" a="1"/>
  <c r="G521" i="2" a="1"/>
  <c r="G522" i="2" a="1"/>
  <c r="G523" i="2" a="1"/>
  <c r="G524" i="2" a="1"/>
  <c r="G525" i="2" a="1"/>
  <c r="G526" i="2" a="1"/>
  <c r="G527" i="2" a="1"/>
  <c r="G528" i="2" a="1"/>
  <c r="G529" i="2" a="1"/>
  <c r="G530" i="2" a="1"/>
  <c r="G531" i="2" a="1"/>
  <c r="G532" i="2" a="1"/>
  <c r="G533" i="2" a="1"/>
  <c r="G534" i="2" a="1"/>
  <c r="G535" i="2" a="1"/>
  <c r="G536" i="2" a="1"/>
  <c r="G537" i="2" a="1"/>
  <c r="G538" i="2" a="1"/>
  <c r="G539" i="2" a="1"/>
  <c r="G540" i="2" a="1"/>
  <c r="G541" i="2" a="1"/>
  <c r="G542" i="2" a="1"/>
  <c r="G543" i="2" a="1"/>
  <c r="G544" i="2" a="1"/>
  <c r="G545" i="2" a="1"/>
  <c r="G546" i="2" a="1"/>
  <c r="G547" i="2" a="1"/>
  <c r="G548" i="2" a="1"/>
  <c r="G549" i="2" a="1"/>
  <c r="G550" i="2" a="1"/>
  <c r="G551" i="2" a="1"/>
  <c r="G552" i="2" a="1"/>
  <c r="G553" i="2" a="1"/>
  <c r="G554" i="2" a="1"/>
  <c r="G555" i="2" a="1"/>
  <c r="G556" i="2" a="1"/>
  <c r="G557" i="2" a="1"/>
  <c r="G559" i="2" a="1"/>
  <c r="G560" i="2" a="1"/>
  <c r="G561" i="2" a="1"/>
  <c r="G562" i="2" a="1"/>
  <c r="G563" i="2" a="1"/>
  <c r="G564" i="2" a="1"/>
  <c r="G6" i="2" a="1"/>
  <c r="G7" i="2" a="1"/>
  <c r="G8" i="2" a="1"/>
  <c r="G10" i="2" a="1"/>
  <c r="G11" i="2" a="1"/>
  <c r="G13" i="2" a="1"/>
  <c r="G14" i="2" a="1"/>
  <c r="G15" i="2" a="1"/>
  <c r="G16" i="2" a="1"/>
  <c r="G17" i="2" a="1"/>
  <c r="G18" i="2" a="1"/>
  <c r="G19" i="2" a="1"/>
  <c r="G20" i="2" a="1"/>
  <c r="G21" i="2" a="1"/>
  <c r="G22" i="2" a="1"/>
  <c r="G23" i="2" a="1"/>
  <c r="G24" i="2" a="1"/>
  <c r="G26" i="2" a="1"/>
  <c r="G27" i="2" a="1"/>
  <c r="G28" i="2" a="1"/>
  <c r="G29" i="2" a="1"/>
  <c r="G30" i="2" a="1"/>
  <c r="G31" i="2" a="1"/>
  <c r="G32" i="2" a="1"/>
  <c r="G33" i="2" a="1"/>
  <c r="G34" i="2" a="1"/>
  <c r="G35" i="2" a="1"/>
  <c r="G36" i="2" a="1"/>
  <c r="G37" i="2" a="1"/>
  <c r="G38" i="2" a="1"/>
  <c r="G39" i="2" a="1"/>
  <c r="G40" i="2" a="1"/>
  <c r="G41" i="2" a="1"/>
  <c r="G43" i="2" a="1"/>
  <c r="G44" i="2" a="1"/>
  <c r="G45" i="2" a="1"/>
  <c r="G46" i="2" a="1"/>
  <c r="G47" i="2" a="1"/>
  <c r="G48" i="2" a="1"/>
  <c r="G49" i="2" a="1"/>
  <c r="G50" i="2" a="1"/>
  <c r="G51" i="2" a="1"/>
  <c r="G52" i="2" a="1"/>
  <c r="G53" i="2" a="1"/>
  <c r="G54" i="2" a="1"/>
  <c r="G55" i="2" a="1"/>
  <c r="G56" i="2" a="1"/>
  <c r="G57" i="2" a="1"/>
  <c r="G58" i="2" a="1"/>
  <c r="G59" i="2" a="1"/>
  <c r="G62" i="2" a="1"/>
  <c r="G63" i="2" a="1"/>
  <c r="G64" i="2" a="1"/>
  <c r="G65" i="2" a="1"/>
  <c r="G66" i="2" a="1"/>
  <c r="G67" i="2" a="1"/>
  <c r="G68" i="2" a="1"/>
  <c r="G69" i="2" a="1"/>
  <c r="G70" i="2" a="1"/>
  <c r="G71" i="2" a="1"/>
  <c r="G73" i="2" a="1"/>
  <c r="G74" i="2" a="1"/>
  <c r="G75" i="2" a="1"/>
  <c r="G76" i="2" a="1"/>
  <c r="G77" i="2" a="1"/>
  <c r="G78" i="2" a="1"/>
  <c r="G79" i="2" a="1"/>
  <c r="G80" i="2" a="1"/>
  <c r="G81" i="2" a="1"/>
  <c r="G82" i="2" a="1"/>
  <c r="G83" i="2" a="1"/>
  <c r="G84" i="2" a="1"/>
  <c r="G85" i="2" a="1"/>
  <c r="G86" i="2" a="1"/>
  <c r="G87" i="2" a="1"/>
  <c r="G88" i="2" a="1"/>
  <c r="G89" i="2" a="1"/>
  <c r="G90" i="2" a="1"/>
  <c r="G91" i="2" a="1"/>
  <c r="G92" i="2" a="1"/>
  <c r="G93" i="2" a="1"/>
  <c r="G95" i="2" a="1"/>
  <c r="G96" i="2" a="1"/>
  <c r="G98" i="2" a="1"/>
  <c r="G99" i="2" a="1"/>
  <c r="G100" i="2" a="1"/>
  <c r="G101" i="2" a="1"/>
  <c r="G102" i="2" a="1"/>
  <c r="G103" i="2" a="1"/>
  <c r="G104" i="2" a="1"/>
  <c r="G105" i="2" a="1"/>
  <c r="G106" i="2" a="1"/>
  <c r="G107" i="2" a="1"/>
  <c r="G109" i="2" a="1"/>
  <c r="G110" i="2" a="1"/>
  <c r="G111" i="2" a="1"/>
  <c r="G112" i="2" a="1"/>
  <c r="G113" i="2" a="1"/>
  <c r="G114" i="2" a="1"/>
  <c r="G116" i="2" a="1"/>
  <c r="G117" i="2" a="1"/>
  <c r="G118" i="2" a="1"/>
  <c r="G119" i="2" a="1"/>
  <c r="G120" i="2" a="1"/>
  <c r="G121" i="2" a="1"/>
  <c r="G122" i="2" a="1"/>
  <c r="G123" i="2" a="1"/>
  <c r="G124" i="2" a="1"/>
  <c r="G125" i="2" a="1"/>
  <c r="G126" i="2" a="1"/>
  <c r="G127" i="2" a="1"/>
  <c r="G128" i="2" a="1"/>
  <c r="G129" i="2" a="1"/>
  <c r="G130" i="2" a="1"/>
  <c r="G132" i="2" a="1"/>
  <c r="G133" i="2" a="1"/>
  <c r="G134" i="2" a="1"/>
  <c r="G135" i="2" a="1"/>
  <c r="G136" i="2" a="1"/>
  <c r="G137" i="2" a="1"/>
  <c r="G138" i="2" a="1"/>
  <c r="G139" i="2" a="1"/>
  <c r="G140" i="2" a="1"/>
  <c r="G141" i="2" a="1"/>
  <c r="G143" i="2" a="1"/>
  <c r="G144" i="2" a="1"/>
  <c r="G145" i="2" a="1"/>
  <c r="G146" i="2" a="1"/>
  <c r="G147" i="2" a="1"/>
  <c r="G148" i="2" a="1"/>
  <c r="G149" i="2" a="1"/>
  <c r="G150" i="2" a="1"/>
  <c r="G151" i="2" a="1"/>
  <c r="G152" i="2" a="1"/>
  <c r="G153" i="2" a="1"/>
  <c r="G154" i="2" a="1"/>
  <c r="G157" i="2" a="1"/>
  <c r="G158" i="2" a="1"/>
  <c r="G159" i="2" a="1"/>
  <c r="G160" i="2" a="1"/>
  <c r="G161" i="2" a="1"/>
  <c r="G162" i="2" a="1"/>
  <c r="G163" i="2" a="1"/>
  <c r="G164" i="2" a="1"/>
  <c r="G165" i="2" a="1"/>
  <c r="G166" i="2" a="1"/>
  <c r="G167" i="2" a="1"/>
  <c r="G168" i="2" a="1"/>
  <c r="G169" i="2" a="1"/>
  <c r="G170" i="2" a="1"/>
  <c r="G171" i="2" a="1"/>
  <c r="G172" i="2" a="1"/>
  <c r="G173" i="2" a="1"/>
  <c r="G174" i="2" a="1"/>
  <c r="G175" i="2" a="1"/>
  <c r="G177" i="2" a="1"/>
  <c r="G178" i="2" a="1"/>
  <c r="G179" i="2" a="1"/>
  <c r="G180" i="2" a="1"/>
  <c r="G181" i="2" a="1"/>
  <c r="G183" i="2" a="1"/>
  <c r="G184" i="2" a="1"/>
  <c r="G185" i="2" a="1"/>
  <c r="G186" i="2" a="1"/>
  <c r="G187" i="2" a="1"/>
  <c r="G188" i="2" a="1"/>
  <c r="G189" i="2" a="1"/>
  <c r="G190" i="2" a="1"/>
  <c r="G191" i="2" a="1"/>
  <c r="G192" i="2" a="1"/>
  <c r="G193" i="2" a="1"/>
  <c r="G194" i="2" a="1"/>
  <c r="G195" i="2" a="1"/>
  <c r="G196" i="2" a="1"/>
  <c r="G197" i="2" a="1"/>
  <c r="G198" i="2" a="1"/>
  <c r="G199" i="2" a="1"/>
  <c r="G200" i="2" a="1"/>
  <c r="G201" i="2" a="1"/>
  <c r="G202" i="2" a="1"/>
  <c r="G203" i="2" a="1"/>
  <c r="G206" i="2" a="1"/>
  <c r="G207" i="2" a="1"/>
  <c r="G208" i="2" a="1"/>
  <c r="G209" i="2" a="1"/>
  <c r="G210" i="2" a="1"/>
  <c r="G211" i="2" a="1"/>
  <c r="G212" i="2" a="1"/>
  <c r="G213" i="2" a="1"/>
  <c r="G214" i="2" a="1"/>
  <c r="G215" i="2" a="1"/>
  <c r="G216" i="2" a="1"/>
  <c r="G217" i="2" a="1"/>
  <c r="G218" i="2" a="1"/>
  <c r="G219" i="2" a="1"/>
  <c r="G220" i="2" a="1"/>
  <c r="G221" i="2" a="1"/>
  <c r="G222" i="2" a="1"/>
  <c r="G223" i="2" a="1"/>
  <c r="G224" i="2" a="1"/>
  <c r="G225" i="2" a="1"/>
  <c r="G227" i="2" a="1"/>
  <c r="G228" i="2" a="1"/>
  <c r="G229" i="2" a="1"/>
  <c r="G230" i="2" a="1"/>
  <c r="G231" i="2" a="1"/>
  <c r="G232" i="2" a="1"/>
  <c r="G233" i="2" a="1"/>
  <c r="G234" i="2" a="1"/>
  <c r="G235" i="2" a="1"/>
  <c r="G236" i="2" a="1"/>
  <c r="G237" i="2" a="1"/>
  <c r="G238" i="2" a="1"/>
  <c r="G239" i="2" a="1"/>
  <c r="G241" i="2" a="1"/>
  <c r="G242" i="2" a="1"/>
  <c r="G243" i="2" a="1"/>
  <c r="G244" i="2" a="1"/>
  <c r="G245" i="2" a="1"/>
  <c r="G246" i="2" a="1"/>
  <c r="G247" i="2" a="1"/>
  <c r="G248" i="2" a="1"/>
  <c r="G249" i="2" a="1"/>
  <c r="G254" i="2" a="1"/>
  <c r="G255" i="2" a="1"/>
  <c r="G256" i="2" a="1"/>
  <c r="G257" i="2" a="1"/>
  <c r="G258" i="2" a="1"/>
  <c r="G259" i="2" a="1"/>
  <c r="G260" i="2" a="1"/>
  <c r="G261" i="2" a="1"/>
  <c r="G262" i="2" a="1"/>
  <c r="G264" i="2" a="1"/>
  <c r="G265" i="2" a="1"/>
  <c r="G266" i="2" a="1"/>
  <c r="G267" i="2" a="1"/>
  <c r="G268" i="2" a="1"/>
  <c r="G269" i="2" a="1"/>
  <c r="G270" i="2" a="1"/>
  <c r="G271" i="2" a="1"/>
  <c r="G272" i="2" a="1"/>
  <c r="G273" i="2" a="1"/>
  <c r="G274" i="2" a="1"/>
  <c r="G275" i="2" a="1"/>
  <c r="G276" i="2" a="1"/>
  <c r="G277" i="2" a="1"/>
  <c r="G278" i="2" a="1"/>
  <c r="G279" i="2" a="1"/>
  <c r="G280" i="2" a="1"/>
  <c r="G281" i="2" a="1"/>
  <c r="G282" i="2" a="1"/>
  <c r="G283" i="2" a="1"/>
  <c r="G284" i="2" a="1"/>
  <c r="G285" i="2" a="1"/>
  <c r="G286" i="2" a="1"/>
  <c r="G287" i="2" a="1"/>
  <c r="G288" i="2" a="1"/>
  <c r="G289" i="2" a="1"/>
  <c r="G290" i="2" a="1"/>
  <c r="G293" i="2" a="1"/>
  <c r="G294" i="2" a="1"/>
  <c r="G295" i="2" a="1"/>
  <c r="G296" i="2" a="1"/>
  <c r="G5" i="2" a="1"/>
  <c r="C62" i="12"/>
  <c r="C63" i="12"/>
  <c r="M3" i="2"/>
  <c r="M4" i="2"/>
  <c r="M5" i="2"/>
  <c r="M6" i="2"/>
  <c r="M7" i="2"/>
  <c r="M8" i="2"/>
  <c r="M9" i="2"/>
  <c r="H5" i="1" s="1"/>
  <c r="M10" i="2"/>
  <c r="M11" i="2"/>
  <c r="M12" i="2"/>
  <c r="H7" i="1" s="1"/>
  <c r="M13" i="2"/>
  <c r="M14" i="2"/>
  <c r="M15" i="2"/>
  <c r="M16" i="2"/>
  <c r="M17" i="2"/>
  <c r="M18" i="2"/>
  <c r="M19" i="2"/>
  <c r="M20" i="2"/>
  <c r="M21" i="2"/>
  <c r="M22" i="2"/>
  <c r="M23" i="2"/>
  <c r="M24" i="2"/>
  <c r="M25" i="2"/>
  <c r="H12" i="1" s="1"/>
  <c r="M26" i="2"/>
  <c r="M27" i="2"/>
  <c r="M28" i="2"/>
  <c r="M29" i="2"/>
  <c r="M30" i="2"/>
  <c r="M31" i="2"/>
  <c r="M32" i="2"/>
  <c r="M33" i="2"/>
  <c r="M34" i="2"/>
  <c r="M35" i="2"/>
  <c r="M36" i="2"/>
  <c r="M37" i="2"/>
  <c r="M38" i="2"/>
  <c r="M39" i="2"/>
  <c r="M40" i="2"/>
  <c r="M41" i="2"/>
  <c r="M42" i="2"/>
  <c r="H18" i="1" s="1"/>
  <c r="M43" i="2"/>
  <c r="M44" i="2"/>
  <c r="M45" i="2"/>
  <c r="M46" i="2"/>
  <c r="M47" i="2"/>
  <c r="M48" i="2"/>
  <c r="M49" i="2"/>
  <c r="M50" i="2"/>
  <c r="M51" i="2"/>
  <c r="M52" i="2"/>
  <c r="M53" i="2"/>
  <c r="M54" i="2"/>
  <c r="M55" i="2"/>
  <c r="M56" i="2"/>
  <c r="M57" i="2"/>
  <c r="M58" i="2"/>
  <c r="M59" i="2"/>
  <c r="M60" i="2"/>
  <c r="H25" i="1" s="1"/>
  <c r="M61" i="2"/>
  <c r="H26" i="1" s="1"/>
  <c r="M62" i="2"/>
  <c r="M63" i="2"/>
  <c r="M64" i="2"/>
  <c r="M65" i="2"/>
  <c r="M66" i="2"/>
  <c r="M67" i="2"/>
  <c r="M68" i="2"/>
  <c r="M69" i="2"/>
  <c r="M70" i="2"/>
  <c r="M71" i="2"/>
  <c r="M72" i="2"/>
  <c r="H30" i="1" s="1"/>
  <c r="M73" i="2"/>
  <c r="M74" i="2"/>
  <c r="M75" i="2"/>
  <c r="M76" i="2"/>
  <c r="M77" i="2"/>
  <c r="M78" i="2"/>
  <c r="M79" i="2"/>
  <c r="M80" i="2"/>
  <c r="M81" i="2"/>
  <c r="M82" i="2"/>
  <c r="M83" i="2"/>
  <c r="M84" i="2"/>
  <c r="M85" i="2"/>
  <c r="M86" i="2"/>
  <c r="M87" i="2"/>
  <c r="M88" i="2"/>
  <c r="M89" i="2"/>
  <c r="M90" i="2"/>
  <c r="M91" i="2"/>
  <c r="M92" i="2"/>
  <c r="M93" i="2"/>
  <c r="M94" i="2"/>
  <c r="H38" i="1" s="1"/>
  <c r="M95" i="2"/>
  <c r="M96" i="2"/>
  <c r="M97" i="2"/>
  <c r="H40" i="1" s="1"/>
  <c r="M98" i="2"/>
  <c r="M99" i="2"/>
  <c r="M100" i="2"/>
  <c r="M101" i="2"/>
  <c r="M102" i="2"/>
  <c r="M103" i="2"/>
  <c r="M104" i="2"/>
  <c r="M105" i="2"/>
  <c r="M106" i="2"/>
  <c r="M107" i="2"/>
  <c r="M108" i="2"/>
  <c r="H44" i="1" s="1"/>
  <c r="M109" i="2"/>
  <c r="M110" i="2"/>
  <c r="M111" i="2"/>
  <c r="M112" i="2"/>
  <c r="M113" i="2"/>
  <c r="M114" i="2"/>
  <c r="M115" i="2"/>
  <c r="H47" i="1" s="1"/>
  <c r="M116" i="2"/>
  <c r="M117" i="2"/>
  <c r="M118" i="2"/>
  <c r="M119" i="2"/>
  <c r="M120" i="2"/>
  <c r="M121" i="2"/>
  <c r="M122" i="2"/>
  <c r="M123" i="2"/>
  <c r="M124" i="2"/>
  <c r="M125" i="2"/>
  <c r="M126" i="2"/>
  <c r="M127" i="2"/>
  <c r="M128" i="2"/>
  <c r="M129" i="2"/>
  <c r="M130" i="2"/>
  <c r="M131" i="2"/>
  <c r="H54" i="1" s="1"/>
  <c r="M132" i="2"/>
  <c r="M133" i="2"/>
  <c r="M134" i="2"/>
  <c r="M135" i="2"/>
  <c r="M136" i="2"/>
  <c r="M137" i="2"/>
  <c r="M138" i="2"/>
  <c r="M139" i="2"/>
  <c r="M140" i="2"/>
  <c r="M141" i="2"/>
  <c r="M142" i="2"/>
  <c r="H59" i="1" s="1"/>
  <c r="M143" i="2"/>
  <c r="M144" i="2"/>
  <c r="M145" i="2"/>
  <c r="M146" i="2"/>
  <c r="M147" i="2"/>
  <c r="M148" i="2"/>
  <c r="M149" i="2"/>
  <c r="M150" i="2"/>
  <c r="M151" i="2"/>
  <c r="M152" i="2"/>
  <c r="M153" i="2"/>
  <c r="M154" i="2"/>
  <c r="M155" i="2"/>
  <c r="H64" i="1" s="1"/>
  <c r="M156" i="2"/>
  <c r="H65" i="1" s="1"/>
  <c r="M157" i="2"/>
  <c r="M158" i="2"/>
  <c r="M159" i="2"/>
  <c r="M160" i="2"/>
  <c r="M161" i="2"/>
  <c r="M162" i="2"/>
  <c r="M163" i="2"/>
  <c r="M164" i="2"/>
  <c r="M165" i="2"/>
  <c r="M166" i="2"/>
  <c r="M167" i="2"/>
  <c r="M168" i="2"/>
  <c r="M169" i="2"/>
  <c r="M170" i="2"/>
  <c r="M171" i="2"/>
  <c r="M172" i="2"/>
  <c r="M173" i="2"/>
  <c r="M174" i="2"/>
  <c r="M175" i="2"/>
  <c r="M176" i="2"/>
  <c r="H71" i="1" s="1"/>
  <c r="M177" i="2"/>
  <c r="M178" i="2"/>
  <c r="M179" i="2"/>
  <c r="M180" i="2"/>
  <c r="M181" i="2"/>
  <c r="M182" i="2"/>
  <c r="H74" i="1" s="1"/>
  <c r="M183" i="2"/>
  <c r="M184" i="2"/>
  <c r="M185" i="2"/>
  <c r="M186" i="2"/>
  <c r="M187" i="2"/>
  <c r="M188" i="2"/>
  <c r="M189" i="2"/>
  <c r="M190" i="2"/>
  <c r="M191" i="2"/>
  <c r="M192" i="2"/>
  <c r="M193" i="2"/>
  <c r="M194" i="2"/>
  <c r="M195" i="2"/>
  <c r="M196" i="2"/>
  <c r="M197" i="2"/>
  <c r="M198" i="2"/>
  <c r="M199" i="2"/>
  <c r="M200" i="2"/>
  <c r="M201" i="2"/>
  <c r="M202" i="2"/>
  <c r="M203" i="2"/>
  <c r="M204" i="2"/>
  <c r="H82" i="1" s="1"/>
  <c r="M205" i="2"/>
  <c r="H83" i="1" s="1"/>
  <c r="M206" i="2"/>
  <c r="M207" i="2"/>
  <c r="M208" i="2"/>
  <c r="M209" i="2"/>
  <c r="M210" i="2"/>
  <c r="M211" i="2"/>
  <c r="M212" i="2"/>
  <c r="M213" i="2"/>
  <c r="M214" i="2"/>
  <c r="M215" i="2"/>
  <c r="M216" i="2"/>
  <c r="M217" i="2"/>
  <c r="M218" i="2"/>
  <c r="M219" i="2"/>
  <c r="M220" i="2"/>
  <c r="M221" i="2"/>
  <c r="M222" i="2"/>
  <c r="M223" i="2"/>
  <c r="M224" i="2"/>
  <c r="M225" i="2"/>
  <c r="M226" i="2"/>
  <c r="H92" i="1" s="1"/>
  <c r="M227" i="2"/>
  <c r="M228" i="2"/>
  <c r="M229" i="2"/>
  <c r="M230" i="2"/>
  <c r="M231" i="2"/>
  <c r="M232" i="2"/>
  <c r="M233" i="2"/>
  <c r="M234" i="2"/>
  <c r="M235" i="2"/>
  <c r="M236" i="2"/>
  <c r="M237" i="2"/>
  <c r="M238" i="2"/>
  <c r="M239" i="2"/>
  <c r="M240" i="2"/>
  <c r="H98" i="1" s="1"/>
  <c r="M241" i="2"/>
  <c r="M242" i="2"/>
  <c r="M243" i="2"/>
  <c r="M244" i="2"/>
  <c r="M245" i="2"/>
  <c r="M246" i="2"/>
  <c r="M247" i="2"/>
  <c r="M248" i="2"/>
  <c r="M249" i="2"/>
  <c r="M250" i="2"/>
  <c r="H103" i="1" s="1"/>
  <c r="M251" i="2"/>
  <c r="H104" i="1" s="1"/>
  <c r="M252" i="2"/>
  <c r="H105" i="1" s="1"/>
  <c r="M253" i="2"/>
  <c r="H106" i="1" s="1"/>
  <c r="M254" i="2"/>
  <c r="M255" i="2"/>
  <c r="M256" i="2"/>
  <c r="M257" i="2"/>
  <c r="M258" i="2"/>
  <c r="M259" i="2"/>
  <c r="M260" i="2"/>
  <c r="M261" i="2"/>
  <c r="M262" i="2"/>
  <c r="M263" i="2"/>
  <c r="H110" i="1" s="1"/>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H119" i="1" s="1"/>
  <c r="M292" i="2"/>
  <c r="H120" i="1" s="1"/>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H135" i="1" s="1"/>
  <c r="M337" i="2"/>
  <c r="M338" i="2"/>
  <c r="M339" i="2"/>
  <c r="M340" i="2"/>
  <c r="M341" i="2"/>
  <c r="M342" i="2"/>
  <c r="M343" i="2"/>
  <c r="M344" i="2"/>
  <c r="M345" i="2"/>
  <c r="M346" i="2"/>
  <c r="H139" i="1" s="1"/>
  <c r="M347" i="2"/>
  <c r="M348" i="2"/>
  <c r="M349" i="2"/>
  <c r="M350" i="2"/>
  <c r="M351" i="2"/>
  <c r="M352" i="2"/>
  <c r="M353" i="2"/>
  <c r="M354" i="2"/>
  <c r="M355" i="2"/>
  <c r="M356" i="2"/>
  <c r="M357" i="2"/>
  <c r="M358" i="2"/>
  <c r="H144" i="1" s="1"/>
  <c r="M359" i="2"/>
  <c r="H145" i="1" s="1"/>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H160" i="1" s="1"/>
  <c r="M405" i="2"/>
  <c r="H161" i="1" s="1"/>
  <c r="M406" i="2"/>
  <c r="M407" i="2"/>
  <c r="M408" i="2"/>
  <c r="M409" i="2"/>
  <c r="M410" i="2"/>
  <c r="M411" i="2"/>
  <c r="M412" i="2"/>
  <c r="M413" i="2"/>
  <c r="M414" i="2"/>
  <c r="M415" i="2"/>
  <c r="M416" i="2"/>
  <c r="M417" i="2"/>
  <c r="M418" i="2"/>
  <c r="M419" i="2"/>
  <c r="M420" i="2"/>
  <c r="M421" i="2"/>
  <c r="H167" i="1" s="1"/>
  <c r="M422" i="2"/>
  <c r="H168" i="1" s="1"/>
  <c r="M423" i="2"/>
  <c r="M424" i="2"/>
  <c r="M425" i="2"/>
  <c r="M426" i="2"/>
  <c r="M427" i="2"/>
  <c r="M428" i="2"/>
  <c r="M429" i="2"/>
  <c r="M430" i="2"/>
  <c r="M431" i="2"/>
  <c r="M432" i="2"/>
  <c r="M433" i="2"/>
  <c r="M434" i="2"/>
  <c r="M435" i="2"/>
  <c r="M436" i="2"/>
  <c r="M437" i="2"/>
  <c r="H173" i="1" s="1"/>
  <c r="M438" i="2"/>
  <c r="H174" i="1" s="1"/>
  <c r="M439" i="2"/>
  <c r="M440" i="2"/>
  <c r="M441" i="2"/>
  <c r="M442" i="2"/>
  <c r="M443" i="2"/>
  <c r="M444" i="2"/>
  <c r="M445" i="2"/>
  <c r="M446" i="2"/>
  <c r="M447" i="2"/>
  <c r="M448" i="2"/>
  <c r="M449" i="2"/>
  <c r="M450" i="2"/>
  <c r="M451" i="2"/>
  <c r="M452" i="2"/>
  <c r="M453" i="2"/>
  <c r="M454" i="2"/>
  <c r="M455" i="2"/>
  <c r="M456" i="2"/>
  <c r="M457" i="2"/>
  <c r="M458" i="2"/>
  <c r="H181" i="1" s="1"/>
  <c r="M459" i="2"/>
  <c r="M460" i="2"/>
  <c r="M461" i="2"/>
  <c r="M462" i="2"/>
  <c r="M463" i="2"/>
  <c r="H183" i="1" s="1"/>
  <c r="M464" i="2"/>
  <c r="M465" i="2"/>
  <c r="M466" i="2"/>
  <c r="M467" i="2"/>
  <c r="M468" i="2"/>
  <c r="M469" i="2"/>
  <c r="M470" i="2"/>
  <c r="M471" i="2"/>
  <c r="M472" i="2"/>
  <c r="H187" i="1" s="1"/>
  <c r="M473" i="2"/>
  <c r="M474" i="2"/>
  <c r="M475" i="2"/>
  <c r="M476" i="2"/>
  <c r="M477" i="2"/>
  <c r="M478" i="2"/>
  <c r="M479" i="2"/>
  <c r="M480" i="2"/>
  <c r="M481" i="2"/>
  <c r="M482" i="2"/>
  <c r="M483" i="2"/>
  <c r="M484" i="2"/>
  <c r="H191" i="1" s="1"/>
  <c r="M485" i="2"/>
  <c r="M486" i="2"/>
  <c r="M487" i="2"/>
  <c r="H193" i="1" s="1"/>
  <c r="M488" i="2"/>
  <c r="M489" i="2"/>
  <c r="M490" i="2"/>
  <c r="M491" i="2"/>
  <c r="M492" i="2"/>
  <c r="M493" i="2"/>
  <c r="M494" i="2"/>
  <c r="M495" i="2"/>
  <c r="M496" i="2"/>
  <c r="M497" i="2"/>
  <c r="M498" i="2"/>
  <c r="M499" i="2"/>
  <c r="M500" i="2"/>
  <c r="M501" i="2"/>
  <c r="M502" i="2"/>
  <c r="M503" i="2"/>
  <c r="M504" i="2"/>
  <c r="M505" i="2"/>
  <c r="M506" i="2"/>
  <c r="M507" i="2"/>
  <c r="M508" i="2"/>
  <c r="M509" i="2"/>
  <c r="H201" i="1" s="1"/>
  <c r="M510" i="2"/>
  <c r="H202" i="1" s="1"/>
  <c r="M511" i="2"/>
  <c r="H203" i="1" s="1"/>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H219" i="1" s="1"/>
  <c r="M559" i="2"/>
  <c r="M560" i="2"/>
  <c r="M561" i="2"/>
  <c r="M562" i="2"/>
  <c r="M563" i="2"/>
  <c r="M564" i="2"/>
  <c r="M565" i="2"/>
  <c r="H222" i="1" s="1"/>
  <c r="M566" i="2"/>
  <c r="M567" i="2"/>
  <c r="M568" i="2"/>
  <c r="M569" i="2"/>
  <c r="M570" i="2"/>
  <c r="M571" i="2"/>
  <c r="M572" i="2"/>
  <c r="M573" i="2"/>
  <c r="H225" i="1" s="1"/>
  <c r="M574" i="2"/>
  <c r="M575" i="2"/>
  <c r="M576" i="2"/>
  <c r="M577" i="2"/>
  <c r="M578" i="2"/>
  <c r="M579" i="2"/>
  <c r="M580" i="2"/>
  <c r="M581" i="2"/>
  <c r="M582" i="2"/>
  <c r="M583" i="2"/>
  <c r="H229" i="1" s="1"/>
  <c r="M584" i="2"/>
  <c r="M585" i="2"/>
  <c r="M586" i="2"/>
  <c r="M587" i="2"/>
  <c r="M588" i="2"/>
  <c r="M589" i="2"/>
  <c r="M590" i="2"/>
  <c r="M591" i="2"/>
  <c r="M592" i="2"/>
  <c r="M593" i="2"/>
  <c r="M594" i="2"/>
  <c r="M595" i="2"/>
  <c r="M596" i="2"/>
  <c r="M597" i="2"/>
  <c r="M598" i="2"/>
  <c r="H235" i="1" s="1"/>
  <c r="M599" i="2"/>
  <c r="H236" i="1" s="1"/>
  <c r="M600" i="2"/>
  <c r="M601" i="2"/>
  <c r="M602" i="2"/>
  <c r="H238" i="1" s="1"/>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H247" i="1" s="1"/>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H274" i="1" s="1"/>
  <c r="M709" i="2"/>
  <c r="M710" i="2"/>
  <c r="M711" i="2"/>
  <c r="M712" i="2"/>
  <c r="M713" i="2"/>
  <c r="M714" i="2"/>
  <c r="M715" i="2"/>
  <c r="M716" i="2"/>
  <c r="M717" i="2"/>
  <c r="M718" i="2"/>
  <c r="M719" i="2"/>
  <c r="M720" i="2"/>
  <c r="M721" i="2"/>
  <c r="M722" i="2"/>
  <c r="M723" i="2"/>
  <c r="M724" i="2"/>
  <c r="M725" i="2"/>
  <c r="H280" i="1" s="1"/>
  <c r="M726" i="2"/>
  <c r="M727" i="2"/>
  <c r="M728" i="2"/>
  <c r="M729" i="2"/>
  <c r="H282" i="1" s="1"/>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H292" i="1" s="1"/>
  <c r="M757" i="2"/>
  <c r="M758" i="2"/>
  <c r="M759" i="2"/>
  <c r="M760" i="2"/>
  <c r="M761" i="2"/>
  <c r="H295" i="1" s="1"/>
  <c r="M762" i="2"/>
  <c r="M763" i="2"/>
  <c r="M764" i="2"/>
  <c r="M765" i="2"/>
  <c r="M766" i="2"/>
  <c r="H298" i="1" s="1"/>
  <c r="M767" i="2"/>
  <c r="H299" i="1" s="1"/>
  <c r="M768" i="2"/>
  <c r="M769" i="2"/>
  <c r="M770" i="2"/>
  <c r="M771" i="2"/>
  <c r="M772" i="2"/>
  <c r="M773" i="2"/>
  <c r="M774" i="2"/>
  <c r="M775" i="2"/>
  <c r="M776" i="2"/>
  <c r="M777" i="2"/>
  <c r="M778" i="2"/>
  <c r="M779" i="2"/>
  <c r="H303" i="1" s="1"/>
  <c r="M780" i="2"/>
  <c r="M781" i="2"/>
  <c r="M782" i="2"/>
  <c r="H305" i="1" s="1"/>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H314" i="1" s="1"/>
  <c r="M809" i="2"/>
  <c r="H315" i="1" s="1"/>
  <c r="M810" i="2"/>
  <c r="M811" i="2"/>
  <c r="M812" i="2"/>
  <c r="H317" i="1" s="1"/>
  <c r="M813" i="2"/>
  <c r="M814" i="2"/>
  <c r="M815" i="2"/>
  <c r="M816" i="2"/>
  <c r="M817" i="2"/>
  <c r="M818" i="2"/>
  <c r="M819" i="2"/>
  <c r="M820" i="2"/>
  <c r="M821" i="2"/>
  <c r="H321" i="1" s="1"/>
  <c r="M822" i="2"/>
  <c r="M823" i="2"/>
  <c r="M824" i="2"/>
  <c r="M825" i="2"/>
  <c r="M826" i="2"/>
  <c r="M827" i="2"/>
  <c r="M828" i="2"/>
  <c r="M829" i="2"/>
  <c r="M830" i="2"/>
  <c r="M831" i="2"/>
  <c r="M832" i="2"/>
  <c r="M833" i="2"/>
  <c r="M834" i="2"/>
  <c r="M835" i="2"/>
  <c r="H326" i="1" s="1"/>
  <c r="M836" i="2"/>
  <c r="H327" i="1" s="1"/>
  <c r="M837" i="2"/>
  <c r="M838" i="2"/>
  <c r="M839" i="2"/>
  <c r="M840" i="2"/>
  <c r="H329" i="1" s="1"/>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H338" i="1" s="1"/>
  <c r="M867" i="2"/>
  <c r="M868" i="2"/>
  <c r="M869" i="2"/>
  <c r="M870" i="2"/>
  <c r="M871" i="2"/>
  <c r="M872" i="2"/>
  <c r="M873" i="2"/>
  <c r="M874" i="2"/>
  <c r="M875" i="2"/>
  <c r="M876" i="2"/>
  <c r="M877" i="2"/>
  <c r="M878" i="2"/>
  <c r="M879" i="2"/>
  <c r="M880" i="2"/>
  <c r="M881" i="2"/>
  <c r="H344" i="1" s="1"/>
  <c r="M882" i="2"/>
  <c r="M883" i="2"/>
  <c r="M884" i="2"/>
  <c r="M885" i="2"/>
  <c r="M886" i="2"/>
  <c r="M887" i="2"/>
  <c r="M888" i="2"/>
  <c r="M889" i="2"/>
  <c r="M890" i="2"/>
  <c r="M891" i="2"/>
  <c r="M892" i="2"/>
  <c r="M893" i="2"/>
  <c r="M894" i="2"/>
  <c r="M895" i="2"/>
  <c r="M896" i="2"/>
  <c r="M897" i="2"/>
  <c r="M898" i="2"/>
  <c r="M899" i="2"/>
  <c r="M900" i="2"/>
  <c r="M901" i="2"/>
  <c r="M902" i="2"/>
  <c r="M903" i="2"/>
  <c r="H352" i="1" s="1"/>
  <c r="M904" i="2"/>
  <c r="M905" i="2"/>
  <c r="M906" i="2"/>
  <c r="M907" i="2"/>
  <c r="M908" i="2"/>
  <c r="H354" i="1" s="1"/>
  <c r="M909" i="2"/>
  <c r="M910" i="2"/>
  <c r="M911" i="2"/>
  <c r="M912" i="2"/>
  <c r="M913" i="2"/>
  <c r="M914" i="2"/>
  <c r="M915" i="2"/>
  <c r="M916" i="2"/>
  <c r="M917" i="2"/>
  <c r="M918" i="2"/>
  <c r="M919" i="2"/>
  <c r="M920" i="2"/>
  <c r="M921" i="2"/>
  <c r="M922" i="2"/>
  <c r="H360" i="1" s="1"/>
  <c r="M923" i="2"/>
  <c r="M924" i="2"/>
  <c r="M925" i="2"/>
  <c r="P2" i="2"/>
  <c r="L2" i="1" s="1"/>
  <c r="P3" i="2"/>
  <c r="P4" i="2"/>
  <c r="P5" i="2"/>
  <c r="P6" i="2"/>
  <c r="P7" i="2"/>
  <c r="P8" i="2"/>
  <c r="P9" i="2"/>
  <c r="L5" i="1" s="1"/>
  <c r="P10" i="2"/>
  <c r="P11" i="2"/>
  <c r="P12" i="2"/>
  <c r="L7" i="1" s="1"/>
  <c r="P13" i="2"/>
  <c r="P14" i="2"/>
  <c r="P15" i="2"/>
  <c r="L9" i="1" s="1"/>
  <c r="P16" i="2"/>
  <c r="P17" i="2"/>
  <c r="P18" i="2"/>
  <c r="P19" i="2"/>
  <c r="P20" i="2"/>
  <c r="P21" i="2"/>
  <c r="P22" i="2"/>
  <c r="P23" i="2"/>
  <c r="P24" i="2"/>
  <c r="P25" i="2"/>
  <c r="L12" i="1" s="1"/>
  <c r="P26" i="2"/>
  <c r="P27" i="2"/>
  <c r="P28" i="2"/>
  <c r="P29" i="2"/>
  <c r="P30" i="2"/>
  <c r="P31" i="2"/>
  <c r="P32" i="2"/>
  <c r="P33" i="2"/>
  <c r="P34" i="2"/>
  <c r="P35" i="2"/>
  <c r="P36" i="2"/>
  <c r="P37" i="2"/>
  <c r="P38" i="2"/>
  <c r="L17" i="1" s="1"/>
  <c r="P39" i="2"/>
  <c r="P40" i="2"/>
  <c r="P41" i="2"/>
  <c r="P42" i="2"/>
  <c r="L18" i="1" s="1"/>
  <c r="P43" i="2"/>
  <c r="P44" i="2"/>
  <c r="P45" i="2"/>
  <c r="P46" i="2"/>
  <c r="P47" i="2"/>
  <c r="P48" i="2"/>
  <c r="P49" i="2"/>
  <c r="P50" i="2"/>
  <c r="P51" i="2"/>
  <c r="P52" i="2"/>
  <c r="P53" i="2"/>
  <c r="P54" i="2"/>
  <c r="P55" i="2"/>
  <c r="P56" i="2"/>
  <c r="P57" i="2"/>
  <c r="P58" i="2"/>
  <c r="P59" i="2"/>
  <c r="P60" i="2"/>
  <c r="L25" i="1" s="1"/>
  <c r="P61" i="2"/>
  <c r="L26" i="1" s="1"/>
  <c r="P62" i="2"/>
  <c r="P63" i="2"/>
  <c r="P64" i="2"/>
  <c r="P65" i="2"/>
  <c r="P66" i="2"/>
  <c r="P67" i="2"/>
  <c r="P68" i="2"/>
  <c r="P69" i="2"/>
  <c r="P70" i="2"/>
  <c r="P71" i="2"/>
  <c r="P72" i="2"/>
  <c r="L30" i="1" s="1"/>
  <c r="P73" i="2"/>
  <c r="P74" i="2"/>
  <c r="P75" i="2"/>
  <c r="P76" i="2"/>
  <c r="P77" i="2"/>
  <c r="P78" i="2"/>
  <c r="P79" i="2"/>
  <c r="P80" i="2"/>
  <c r="P81" i="2"/>
  <c r="P82" i="2"/>
  <c r="P83" i="2"/>
  <c r="P84" i="2"/>
  <c r="P85" i="2"/>
  <c r="P86" i="2"/>
  <c r="P87" i="2"/>
  <c r="P88" i="2"/>
  <c r="P89" i="2"/>
  <c r="P90" i="2"/>
  <c r="P91" i="2"/>
  <c r="P92" i="2"/>
  <c r="P93" i="2"/>
  <c r="P94" i="2"/>
  <c r="L38" i="1" s="1"/>
  <c r="P95" i="2"/>
  <c r="P96" i="2"/>
  <c r="P97" i="2"/>
  <c r="L40" i="1" s="1"/>
  <c r="P98" i="2"/>
  <c r="P99" i="2"/>
  <c r="P100" i="2"/>
  <c r="P101" i="2"/>
  <c r="P102" i="2"/>
  <c r="L42" i="1" s="1"/>
  <c r="P103" i="2"/>
  <c r="P104" i="2"/>
  <c r="P105" i="2"/>
  <c r="P106" i="2"/>
  <c r="P107" i="2"/>
  <c r="P108" i="2"/>
  <c r="L44" i="1" s="1"/>
  <c r="P109" i="2"/>
  <c r="P110" i="2"/>
  <c r="P111" i="2"/>
  <c r="P112" i="2"/>
  <c r="P113" i="2"/>
  <c r="P114" i="2"/>
  <c r="P115" i="2"/>
  <c r="L47" i="1" s="1"/>
  <c r="P116" i="2"/>
  <c r="P117" i="2"/>
  <c r="P118" i="2"/>
  <c r="P119" i="2"/>
  <c r="P120" i="2"/>
  <c r="P121" i="2"/>
  <c r="P122" i="2"/>
  <c r="P123" i="2"/>
  <c r="P124" i="2"/>
  <c r="L51" i="1" s="1"/>
  <c r="P125" i="2"/>
  <c r="P126" i="2"/>
  <c r="P127" i="2"/>
  <c r="P128" i="2"/>
  <c r="P129" i="2"/>
  <c r="P130" i="2"/>
  <c r="P131" i="2"/>
  <c r="L54" i="1" s="1"/>
  <c r="P132" i="2"/>
  <c r="P133" i="2"/>
  <c r="P134" i="2"/>
  <c r="P135" i="2"/>
  <c r="P136" i="2"/>
  <c r="P137" i="2"/>
  <c r="P138" i="2"/>
  <c r="P139" i="2"/>
  <c r="P140" i="2"/>
  <c r="P141" i="2"/>
  <c r="P142" i="2"/>
  <c r="L59" i="1" s="1"/>
  <c r="P143" i="2"/>
  <c r="P144" i="2"/>
  <c r="P145" i="2"/>
  <c r="P146" i="2"/>
  <c r="P147" i="2"/>
  <c r="P148" i="2"/>
  <c r="P149" i="2"/>
  <c r="P150" i="2"/>
  <c r="P151" i="2"/>
  <c r="P152" i="2"/>
  <c r="P153" i="2"/>
  <c r="P154" i="2"/>
  <c r="P155" i="2"/>
  <c r="L64" i="1" s="1"/>
  <c r="P156" i="2"/>
  <c r="L65" i="1" s="1"/>
  <c r="P157" i="2"/>
  <c r="P158" i="2"/>
  <c r="P159" i="2"/>
  <c r="P160" i="2"/>
  <c r="P161" i="2"/>
  <c r="P162" i="2"/>
  <c r="P163" i="2"/>
  <c r="P164" i="2"/>
  <c r="L68" i="1" s="1"/>
  <c r="P165" i="2"/>
  <c r="P166" i="2"/>
  <c r="P167" i="2"/>
  <c r="P168" i="2"/>
  <c r="P169" i="2"/>
  <c r="P170" i="2"/>
  <c r="P171" i="2"/>
  <c r="P172" i="2"/>
  <c r="L70" i="1" s="1"/>
  <c r="P173" i="2"/>
  <c r="P174" i="2"/>
  <c r="P175" i="2"/>
  <c r="P176" i="2"/>
  <c r="L71" i="1" s="1"/>
  <c r="P177" i="2"/>
  <c r="P178" i="2"/>
  <c r="P179" i="2"/>
  <c r="L73" i="1" s="1"/>
  <c r="P180" i="2"/>
  <c r="P181" i="2"/>
  <c r="P182" i="2"/>
  <c r="L74" i="1" s="1"/>
  <c r="P183" i="2"/>
  <c r="P184" i="2"/>
  <c r="P185" i="2"/>
  <c r="P186" i="2"/>
  <c r="P187" i="2"/>
  <c r="P188" i="2"/>
  <c r="P189" i="2"/>
  <c r="P190" i="2"/>
  <c r="P191" i="2"/>
  <c r="P192" i="2"/>
  <c r="P193" i="2"/>
  <c r="P194" i="2"/>
  <c r="P195" i="2"/>
  <c r="P196" i="2"/>
  <c r="P197" i="2"/>
  <c r="P198" i="2"/>
  <c r="L80" i="1" s="1"/>
  <c r="P199" i="2"/>
  <c r="P200" i="2"/>
  <c r="P201" i="2"/>
  <c r="P202" i="2"/>
  <c r="P203" i="2"/>
  <c r="P204" i="2"/>
  <c r="L82" i="1" s="1"/>
  <c r="P205" i="2"/>
  <c r="L83" i="1" s="1"/>
  <c r="P206" i="2"/>
  <c r="P207" i="2"/>
  <c r="P208" i="2"/>
  <c r="L85" i="1" s="1"/>
  <c r="P209" i="2"/>
  <c r="P210" i="2"/>
  <c r="P211" i="2"/>
  <c r="L86" i="1" s="1"/>
  <c r="P212" i="2"/>
  <c r="P213" i="2"/>
  <c r="P214" i="2"/>
  <c r="P215" i="2"/>
  <c r="P216" i="2"/>
  <c r="P217" i="2"/>
  <c r="P218" i="2"/>
  <c r="P219" i="2"/>
  <c r="P220" i="2"/>
  <c r="P221" i="2"/>
  <c r="P222" i="2"/>
  <c r="P223" i="2"/>
  <c r="P224" i="2"/>
  <c r="P225" i="2"/>
  <c r="P226" i="2"/>
  <c r="L92" i="1" s="1"/>
  <c r="P227" i="2"/>
  <c r="P228" i="2"/>
  <c r="P229" i="2"/>
  <c r="P230" i="2"/>
  <c r="P231" i="2"/>
  <c r="P232" i="2"/>
  <c r="P233" i="2"/>
  <c r="P234" i="2"/>
  <c r="P235" i="2"/>
  <c r="P236" i="2"/>
  <c r="P237" i="2"/>
  <c r="L97" i="1" s="1"/>
  <c r="P238" i="2"/>
  <c r="P239" i="2"/>
  <c r="P240" i="2"/>
  <c r="L98" i="1" s="1"/>
  <c r="P241" i="2"/>
  <c r="P242" i="2"/>
  <c r="P243" i="2"/>
  <c r="L100" i="1" s="1"/>
  <c r="P244" i="2"/>
  <c r="P245" i="2"/>
  <c r="P246" i="2"/>
  <c r="P247" i="2"/>
  <c r="P248" i="2"/>
  <c r="P249" i="2"/>
  <c r="P250" i="2"/>
  <c r="L103" i="1" s="1"/>
  <c r="P251" i="2"/>
  <c r="L104" i="1" s="1"/>
  <c r="P252" i="2"/>
  <c r="L105" i="1" s="1"/>
  <c r="P253" i="2"/>
  <c r="L106" i="1" s="1"/>
  <c r="P254" i="2"/>
  <c r="P255" i="2"/>
  <c r="P256" i="2"/>
  <c r="P257" i="2"/>
  <c r="P258" i="2"/>
  <c r="P259" i="2"/>
  <c r="P260" i="2"/>
  <c r="P261" i="2"/>
  <c r="P262" i="2"/>
  <c r="P263" i="2"/>
  <c r="L110" i="1" s="1"/>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L119" i="1" s="1"/>
  <c r="P292" i="2"/>
  <c r="L120" i="1" s="1"/>
  <c r="P293" i="2"/>
  <c r="P294" i="2"/>
  <c r="P295" i="2"/>
  <c r="P296" i="2"/>
  <c r="P297" i="2"/>
  <c r="P298" i="2"/>
  <c r="P299" i="2"/>
  <c r="P300" i="2"/>
  <c r="P301" i="2"/>
  <c r="P302" i="2"/>
  <c r="P303" i="2"/>
  <c r="P304" i="2"/>
  <c r="P305" i="2"/>
  <c r="P306" i="2"/>
  <c r="P307" i="2"/>
  <c r="P308" i="2"/>
  <c r="P309" i="2"/>
  <c r="P310" i="2"/>
  <c r="P311" i="2"/>
  <c r="P312" i="2"/>
  <c r="P313" i="2"/>
  <c r="L127" i="1" s="1"/>
  <c r="P314" i="2"/>
  <c r="P315" i="2"/>
  <c r="P316" i="2"/>
  <c r="P317" i="2"/>
  <c r="P318" i="2"/>
  <c r="P319" i="2"/>
  <c r="P320" i="2"/>
  <c r="P321" i="2"/>
  <c r="P322" i="2"/>
  <c r="P323" i="2"/>
  <c r="P324" i="2"/>
  <c r="P325" i="2"/>
  <c r="P326" i="2"/>
  <c r="P327" i="2"/>
  <c r="L132" i="1" s="1"/>
  <c r="P328" i="2"/>
  <c r="P329" i="2"/>
  <c r="P330" i="2"/>
  <c r="P331" i="2"/>
  <c r="P332" i="2"/>
  <c r="P333" i="2"/>
  <c r="P334" i="2"/>
  <c r="P335" i="2"/>
  <c r="P336" i="2"/>
  <c r="L135" i="1" s="1"/>
  <c r="P337" i="2"/>
  <c r="P338" i="2"/>
  <c r="P339" i="2"/>
  <c r="P340" i="2"/>
  <c r="P341" i="2"/>
  <c r="P342" i="2"/>
  <c r="P343" i="2"/>
  <c r="P344" i="2"/>
  <c r="P345" i="2"/>
  <c r="P346" i="2"/>
  <c r="L139" i="1" s="1"/>
  <c r="P347" i="2"/>
  <c r="P348" i="2"/>
  <c r="P349" i="2"/>
  <c r="P350" i="2"/>
  <c r="P351" i="2"/>
  <c r="P352" i="2"/>
  <c r="P353" i="2"/>
  <c r="P354" i="2"/>
  <c r="P355" i="2"/>
  <c r="P356" i="2"/>
  <c r="P357" i="2"/>
  <c r="P358" i="2"/>
  <c r="L144" i="1" s="1"/>
  <c r="P359" i="2"/>
  <c r="L145" i="1" s="1"/>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L156" i="1" s="1"/>
  <c r="P390" i="2"/>
  <c r="P391" i="2"/>
  <c r="P392" i="2"/>
  <c r="P393" i="2"/>
  <c r="P394" i="2"/>
  <c r="P395" i="2"/>
  <c r="P396" i="2"/>
  <c r="P397" i="2"/>
  <c r="P398" i="2"/>
  <c r="P399" i="2"/>
  <c r="P400" i="2"/>
  <c r="P401" i="2"/>
  <c r="P402" i="2"/>
  <c r="P403" i="2"/>
  <c r="P404" i="2"/>
  <c r="L160" i="1" s="1"/>
  <c r="P405" i="2"/>
  <c r="L161" i="1" s="1"/>
  <c r="P406" i="2"/>
  <c r="P407" i="2"/>
  <c r="P408" i="2"/>
  <c r="P409" i="2"/>
  <c r="P410" i="2"/>
  <c r="P411" i="2"/>
  <c r="P412" i="2"/>
  <c r="P413" i="2"/>
  <c r="P414" i="2"/>
  <c r="P415" i="2"/>
  <c r="P416" i="2"/>
  <c r="P417" i="2"/>
  <c r="P418" i="2"/>
  <c r="P419" i="2"/>
  <c r="P420" i="2"/>
  <c r="P421" i="2"/>
  <c r="L167" i="1" s="1"/>
  <c r="P422" i="2"/>
  <c r="L168" i="1" s="1"/>
  <c r="P423" i="2"/>
  <c r="P424" i="2"/>
  <c r="P425" i="2"/>
  <c r="P426" i="2"/>
  <c r="P427" i="2"/>
  <c r="P428" i="2"/>
  <c r="P429" i="2"/>
  <c r="P430" i="2"/>
  <c r="P431" i="2"/>
  <c r="P432" i="2"/>
  <c r="P433" i="2"/>
  <c r="P434" i="2"/>
  <c r="P435" i="2"/>
  <c r="P436" i="2"/>
  <c r="P437" i="2"/>
  <c r="L173" i="1" s="1"/>
  <c r="P438" i="2"/>
  <c r="L174" i="1" s="1"/>
  <c r="P439" i="2"/>
  <c r="P440" i="2"/>
  <c r="P441" i="2"/>
  <c r="P442" i="2"/>
  <c r="P443" i="2"/>
  <c r="P444" i="2"/>
  <c r="P445" i="2"/>
  <c r="P446" i="2"/>
  <c r="P447" i="2"/>
  <c r="P448" i="2"/>
  <c r="P449" i="2"/>
  <c r="P450" i="2"/>
  <c r="P451" i="2"/>
  <c r="P452" i="2"/>
  <c r="P453" i="2"/>
  <c r="P454" i="2"/>
  <c r="P455" i="2"/>
  <c r="P456" i="2"/>
  <c r="P457" i="2"/>
  <c r="P458" i="2"/>
  <c r="L181" i="1" s="1"/>
  <c r="P459" i="2"/>
  <c r="P460" i="2"/>
  <c r="P461" i="2"/>
  <c r="P462" i="2"/>
  <c r="P463" i="2"/>
  <c r="L183" i="1" s="1"/>
  <c r="P464" i="2"/>
  <c r="P465" i="2"/>
  <c r="P466" i="2"/>
  <c r="P467" i="2"/>
  <c r="P468" i="2"/>
  <c r="P469" i="2"/>
  <c r="P470" i="2"/>
  <c r="P471" i="2"/>
  <c r="P472" i="2"/>
  <c r="L187" i="1" s="1"/>
  <c r="P473" i="2"/>
  <c r="P474" i="2"/>
  <c r="P475" i="2"/>
  <c r="P476" i="2"/>
  <c r="P477" i="2"/>
  <c r="P478" i="2"/>
  <c r="P479" i="2"/>
  <c r="P480" i="2"/>
  <c r="P481" i="2"/>
  <c r="P482" i="2"/>
  <c r="P483" i="2"/>
  <c r="P484" i="2"/>
  <c r="L191" i="1" s="1"/>
  <c r="P485" i="2"/>
  <c r="P486" i="2"/>
  <c r="P487" i="2"/>
  <c r="L193" i="1" s="1"/>
  <c r="P488" i="2"/>
  <c r="P489" i="2"/>
  <c r="P490" i="2"/>
  <c r="P491" i="2"/>
  <c r="P492" i="2"/>
  <c r="P493" i="2"/>
  <c r="P494" i="2"/>
  <c r="P495" i="2"/>
  <c r="P496" i="2"/>
  <c r="P497" i="2"/>
  <c r="P498" i="2"/>
  <c r="P499" i="2"/>
  <c r="P500" i="2"/>
  <c r="P501" i="2"/>
  <c r="P502" i="2"/>
  <c r="P503" i="2"/>
  <c r="P504" i="2"/>
  <c r="P505" i="2"/>
  <c r="P506" i="2"/>
  <c r="P507" i="2"/>
  <c r="P508" i="2"/>
  <c r="P509" i="2"/>
  <c r="L201" i="1" s="1"/>
  <c r="P510" i="2"/>
  <c r="L202" i="1" s="1"/>
  <c r="P511" i="2"/>
  <c r="L203" i="1" s="1"/>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L219" i="1" s="1"/>
  <c r="P559" i="2"/>
  <c r="P560" i="2"/>
  <c r="P561" i="2"/>
  <c r="P562" i="2"/>
  <c r="P563" i="2"/>
  <c r="P564" i="2"/>
  <c r="P565" i="2"/>
  <c r="L222" i="1" s="1"/>
  <c r="P566" i="2"/>
  <c r="P567" i="2"/>
  <c r="P568" i="2"/>
  <c r="P569" i="2"/>
  <c r="P570" i="2"/>
  <c r="P571" i="2"/>
  <c r="P572" i="2"/>
  <c r="P573" i="2"/>
  <c r="L225" i="1" s="1"/>
  <c r="P574" i="2"/>
  <c r="P575" i="2"/>
  <c r="P576" i="2"/>
  <c r="P577" i="2"/>
  <c r="P578" i="2"/>
  <c r="P579" i="2"/>
  <c r="P580" i="2"/>
  <c r="P581" i="2"/>
  <c r="P582" i="2"/>
  <c r="P583" i="2"/>
  <c r="L229" i="1" s="1"/>
  <c r="P584" i="2"/>
  <c r="P585" i="2"/>
  <c r="P586" i="2"/>
  <c r="P587" i="2"/>
  <c r="P588" i="2"/>
  <c r="P589" i="2"/>
  <c r="P590" i="2"/>
  <c r="P591" i="2"/>
  <c r="P592" i="2"/>
  <c r="P593" i="2"/>
  <c r="P594" i="2"/>
  <c r="P595" i="2"/>
  <c r="P596" i="2"/>
  <c r="P597" i="2"/>
  <c r="P598" i="2"/>
  <c r="L235" i="1" s="1"/>
  <c r="P599" i="2"/>
  <c r="L236" i="1" s="1"/>
  <c r="P600" i="2"/>
  <c r="P601" i="2"/>
  <c r="P602" i="2"/>
  <c r="L238" i="1" s="1"/>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L247" i="1" s="1"/>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L274" i="1" s="1"/>
  <c r="P709" i="2"/>
  <c r="P710" i="2"/>
  <c r="P711" i="2"/>
  <c r="P712" i="2"/>
  <c r="P713" i="2"/>
  <c r="P714" i="2"/>
  <c r="P715" i="2"/>
  <c r="P716" i="2"/>
  <c r="P717" i="2"/>
  <c r="P718" i="2"/>
  <c r="P719" i="2"/>
  <c r="P720" i="2"/>
  <c r="P721" i="2"/>
  <c r="P722" i="2"/>
  <c r="P723" i="2"/>
  <c r="P724" i="2"/>
  <c r="P725" i="2"/>
  <c r="L280" i="1" s="1"/>
  <c r="P726" i="2"/>
  <c r="P727" i="2"/>
  <c r="P728" i="2"/>
  <c r="P729" i="2"/>
  <c r="L282" i="1" s="1"/>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L292" i="1" s="1"/>
  <c r="P757" i="2"/>
  <c r="P758" i="2"/>
  <c r="P759" i="2"/>
  <c r="P760" i="2"/>
  <c r="P761" i="2"/>
  <c r="L295" i="1" s="1"/>
  <c r="P762" i="2"/>
  <c r="P763" i="2"/>
  <c r="P764" i="2"/>
  <c r="P765" i="2"/>
  <c r="P766" i="2"/>
  <c r="L298" i="1" s="1"/>
  <c r="P767" i="2"/>
  <c r="L299" i="1" s="1"/>
  <c r="P768" i="2"/>
  <c r="P769" i="2"/>
  <c r="P770" i="2"/>
  <c r="P771" i="2"/>
  <c r="P772" i="2"/>
  <c r="P773" i="2"/>
  <c r="P774" i="2"/>
  <c r="P775" i="2"/>
  <c r="P776" i="2"/>
  <c r="P777" i="2"/>
  <c r="P778" i="2"/>
  <c r="P779" i="2"/>
  <c r="L303" i="1" s="1"/>
  <c r="P780" i="2"/>
  <c r="P781" i="2"/>
  <c r="P782" i="2"/>
  <c r="L305" i="1" s="1"/>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L314" i="1" s="1"/>
  <c r="P809" i="2"/>
  <c r="L315" i="1" s="1"/>
  <c r="P810" i="2"/>
  <c r="P811" i="2"/>
  <c r="P812" i="2"/>
  <c r="L317" i="1" s="1"/>
  <c r="P813" i="2"/>
  <c r="P814" i="2"/>
  <c r="P815" i="2"/>
  <c r="P816" i="2"/>
  <c r="P817" i="2"/>
  <c r="P818" i="2"/>
  <c r="P819" i="2"/>
  <c r="P820" i="2"/>
  <c r="P821" i="2"/>
  <c r="L321" i="1" s="1"/>
  <c r="P822" i="2"/>
  <c r="P823" i="2"/>
  <c r="P824" i="2"/>
  <c r="P825" i="2"/>
  <c r="P826" i="2"/>
  <c r="P827" i="2"/>
  <c r="P828" i="2"/>
  <c r="P829" i="2"/>
  <c r="P830" i="2"/>
  <c r="P831" i="2"/>
  <c r="P832" i="2"/>
  <c r="P833" i="2"/>
  <c r="P834" i="2"/>
  <c r="P835" i="2"/>
  <c r="L326" i="1" s="1"/>
  <c r="P836" i="2"/>
  <c r="L327" i="1" s="1"/>
  <c r="P837" i="2"/>
  <c r="P838" i="2"/>
  <c r="P839" i="2"/>
  <c r="P840" i="2"/>
  <c r="L329" i="1" s="1"/>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L338" i="1" s="1"/>
  <c r="P867" i="2"/>
  <c r="P868" i="2"/>
  <c r="P869" i="2"/>
  <c r="P870" i="2"/>
  <c r="P871" i="2"/>
  <c r="P872" i="2"/>
  <c r="P873" i="2"/>
  <c r="P874" i="2"/>
  <c r="P875" i="2"/>
  <c r="P876" i="2"/>
  <c r="P877" i="2"/>
  <c r="P878" i="2"/>
  <c r="P879" i="2"/>
  <c r="P880" i="2"/>
  <c r="P881" i="2"/>
  <c r="L344" i="1" s="1"/>
  <c r="P882" i="2"/>
  <c r="P883" i="2"/>
  <c r="P884" i="2"/>
  <c r="P885" i="2"/>
  <c r="P886" i="2"/>
  <c r="P887" i="2"/>
  <c r="P888" i="2"/>
  <c r="P889" i="2"/>
  <c r="P890" i="2"/>
  <c r="P891" i="2"/>
  <c r="P892" i="2"/>
  <c r="P893" i="2"/>
  <c r="P894" i="2"/>
  <c r="P895" i="2"/>
  <c r="P896" i="2"/>
  <c r="P897" i="2"/>
  <c r="P898" i="2"/>
  <c r="P899" i="2"/>
  <c r="P900" i="2"/>
  <c r="P901" i="2"/>
  <c r="P902" i="2"/>
  <c r="P903" i="2"/>
  <c r="L352" i="1" s="1"/>
  <c r="P904" i="2"/>
  <c r="P905" i="2"/>
  <c r="P906" i="2"/>
  <c r="P907" i="2"/>
  <c r="P908" i="2"/>
  <c r="L354" i="1" s="1"/>
  <c r="P909" i="2"/>
  <c r="P910" i="2"/>
  <c r="P911" i="2"/>
  <c r="P912" i="2"/>
  <c r="P913" i="2"/>
  <c r="P914" i="2"/>
  <c r="P915" i="2"/>
  <c r="P916" i="2"/>
  <c r="P917" i="2"/>
  <c r="P918" i="2"/>
  <c r="P919" i="2"/>
  <c r="P920" i="2"/>
  <c r="P921" i="2"/>
  <c r="P922" i="2"/>
  <c r="L360" i="1" s="1"/>
  <c r="P923" i="2"/>
  <c r="P924" i="2"/>
  <c r="P925" i="2"/>
  <c r="O495" i="2" a="1"/>
  <c r="O496" i="2" a="1"/>
  <c r="O497" i="2" a="1"/>
  <c r="O498" i="2" a="1"/>
  <c r="O499" i="2" a="1"/>
  <c r="O500" i="2" a="1"/>
  <c r="O501" i="2" a="1"/>
  <c r="O502" i="2" a="1"/>
  <c r="O503" i="2" a="1"/>
  <c r="O504" i="2" a="1"/>
  <c r="O505" i="2" a="1"/>
  <c r="O506" i="2" a="1"/>
  <c r="O507" i="2" a="1"/>
  <c r="O508" i="2" a="1"/>
  <c r="O509" i="2" a="1"/>
  <c r="O510" i="2" a="1"/>
  <c r="O511" i="2" a="1"/>
  <c r="O512" i="2" a="1"/>
  <c r="O513" i="2" a="1"/>
  <c r="O514" i="2" a="1"/>
  <c r="O515" i="2" a="1"/>
  <c r="O516" i="2" a="1"/>
  <c r="O517" i="2" a="1"/>
  <c r="O518" i="2" a="1"/>
  <c r="O519" i="2" a="1"/>
  <c r="O520" i="2" a="1"/>
  <c r="O521" i="2" a="1"/>
  <c r="O522" i="2" a="1"/>
  <c r="O523" i="2" a="1"/>
  <c r="O524" i="2" a="1"/>
  <c r="O525" i="2" a="1"/>
  <c r="O526" i="2" a="1"/>
  <c r="O527" i="2" a="1"/>
  <c r="O528" i="2" a="1"/>
  <c r="O529" i="2" a="1"/>
  <c r="O530" i="2" a="1"/>
  <c r="O531" i="2" a="1"/>
  <c r="O532" i="2" a="1"/>
  <c r="O533" i="2" a="1"/>
  <c r="O534" i="2" a="1"/>
  <c r="O535" i="2" a="1"/>
  <c r="O536" i="2" a="1"/>
  <c r="O537" i="2" a="1"/>
  <c r="O538" i="2" a="1"/>
  <c r="O539" i="2" a="1"/>
  <c r="O540" i="2" a="1"/>
  <c r="O541" i="2" a="1"/>
  <c r="O542" i="2" a="1"/>
  <c r="O543" i="2" a="1"/>
  <c r="O544" i="2" a="1"/>
  <c r="O545" i="2" a="1"/>
  <c r="O546" i="2" a="1"/>
  <c r="O547" i="2" a="1"/>
  <c r="O548" i="2" a="1"/>
  <c r="O549" i="2" a="1"/>
  <c r="O550" i="2" a="1"/>
  <c r="O551" i="2" a="1"/>
  <c r="O552" i="2" a="1"/>
  <c r="O553" i="2" a="1"/>
  <c r="O554" i="2" a="1"/>
  <c r="O555" i="2" a="1"/>
  <c r="O556" i="2" a="1"/>
  <c r="O557" i="2" a="1"/>
  <c r="O558" i="2" a="1"/>
  <c r="O559" i="2" a="1"/>
  <c r="O560" i="2" a="1"/>
  <c r="O561" i="2" a="1"/>
  <c r="O562" i="2" a="1"/>
  <c r="O563" i="2" a="1"/>
  <c r="O564" i="2" a="1"/>
  <c r="O565" i="2" a="1"/>
  <c r="O566" i="2" a="1"/>
  <c r="O567" i="2" a="1"/>
  <c r="O568" i="2" a="1"/>
  <c r="O569" i="2" a="1"/>
  <c r="O570" i="2" a="1"/>
  <c r="O571" i="2" a="1"/>
  <c r="O572" i="2" a="1"/>
  <c r="O573" i="2" a="1"/>
  <c r="O574" i="2" a="1"/>
  <c r="O575" i="2" a="1"/>
  <c r="O576" i="2" a="1"/>
  <c r="O577" i="2" a="1"/>
  <c r="O578" i="2" a="1"/>
  <c r="O579" i="2" a="1"/>
  <c r="O580" i="2" a="1"/>
  <c r="O581" i="2" a="1"/>
  <c r="O582" i="2" a="1"/>
  <c r="O583" i="2" a="1"/>
  <c r="O584" i="2" a="1"/>
  <c r="O585" i="2" a="1"/>
  <c r="O586" i="2" a="1"/>
  <c r="O587" i="2" a="1"/>
  <c r="O588" i="2" a="1"/>
  <c r="O589" i="2" a="1"/>
  <c r="O590" i="2" a="1"/>
  <c r="O591" i="2" a="1"/>
  <c r="O592" i="2" a="1"/>
  <c r="O593" i="2" a="1"/>
  <c r="O594" i="2" a="1"/>
  <c r="O595" i="2" a="1"/>
  <c r="O596" i="2" a="1"/>
  <c r="O597" i="2" a="1"/>
  <c r="O598" i="2" a="1"/>
  <c r="O599" i="2" a="1"/>
  <c r="O600" i="2" a="1"/>
  <c r="O601" i="2" a="1"/>
  <c r="O602" i="2" a="1"/>
  <c r="O603" i="2" a="1"/>
  <c r="O604" i="2" a="1"/>
  <c r="O605" i="2" a="1"/>
  <c r="O606" i="2" a="1"/>
  <c r="O607" i="2" a="1"/>
  <c r="O608" i="2" a="1"/>
  <c r="O609" i="2" a="1"/>
  <c r="O610" i="2" a="1"/>
  <c r="O611" i="2" a="1"/>
  <c r="O612" i="2" a="1"/>
  <c r="O613" i="2" a="1"/>
  <c r="O614" i="2" a="1"/>
  <c r="O615" i="2" a="1"/>
  <c r="O616" i="2" a="1"/>
  <c r="O617" i="2" a="1"/>
  <c r="O618" i="2" a="1"/>
  <c r="O619" i="2" a="1"/>
  <c r="O620" i="2" a="1"/>
  <c r="O621" i="2" a="1"/>
  <c r="O622" i="2" a="1"/>
  <c r="O623" i="2" a="1"/>
  <c r="O624" i="2" a="1"/>
  <c r="O625" i="2" a="1"/>
  <c r="O626" i="2" a="1"/>
  <c r="O627" i="2" a="1"/>
  <c r="O628" i="2" a="1"/>
  <c r="O629" i="2" a="1"/>
  <c r="O630" i="2" a="1"/>
  <c r="O631" i="2" a="1"/>
  <c r="O632" i="2" a="1"/>
  <c r="O633" i="2" a="1"/>
  <c r="O634" i="2" a="1"/>
  <c r="O635" i="2" a="1"/>
  <c r="O636" i="2" a="1"/>
  <c r="O637" i="2" a="1"/>
  <c r="O638" i="2" a="1"/>
  <c r="O639" i="2" a="1"/>
  <c r="O640" i="2" a="1"/>
  <c r="O641" i="2" a="1"/>
  <c r="O642" i="2" a="1"/>
  <c r="O643" i="2" a="1"/>
  <c r="O644" i="2" a="1"/>
  <c r="O645" i="2" a="1"/>
  <c r="O646" i="2" a="1"/>
  <c r="O647" i="2" a="1"/>
  <c r="O648" i="2" a="1"/>
  <c r="O649" i="2" a="1"/>
  <c r="O650" i="2" a="1"/>
  <c r="O651" i="2" a="1"/>
  <c r="O652" i="2" a="1"/>
  <c r="O653" i="2" a="1"/>
  <c r="O654" i="2" a="1"/>
  <c r="O655" i="2" a="1"/>
  <c r="O656" i="2" a="1"/>
  <c r="O657" i="2" a="1"/>
  <c r="O658" i="2" a="1"/>
  <c r="O659" i="2" a="1"/>
  <c r="O660" i="2" a="1"/>
  <c r="O661" i="2" a="1"/>
  <c r="O662" i="2" a="1"/>
  <c r="O663" i="2" a="1"/>
  <c r="O664" i="2" a="1"/>
  <c r="O665" i="2" a="1"/>
  <c r="O666" i="2" a="1"/>
  <c r="O667" i="2" a="1"/>
  <c r="O668" i="2" a="1"/>
  <c r="O669" i="2" a="1"/>
  <c r="O670" i="2" a="1"/>
  <c r="O671" i="2" a="1"/>
  <c r="O672" i="2" a="1"/>
  <c r="O673" i="2" a="1"/>
  <c r="O674" i="2" a="1"/>
  <c r="O675" i="2" a="1"/>
  <c r="O676" i="2" a="1"/>
  <c r="O677" i="2" a="1"/>
  <c r="O678" i="2" a="1"/>
  <c r="O679" i="2" a="1"/>
  <c r="O680" i="2" a="1"/>
  <c r="O681" i="2" a="1"/>
  <c r="O682" i="2" a="1"/>
  <c r="O683" i="2" a="1"/>
  <c r="O684" i="2" a="1"/>
  <c r="O685" i="2" a="1"/>
  <c r="O686" i="2" a="1"/>
  <c r="O687" i="2" a="1"/>
  <c r="O688" i="2" a="1"/>
  <c r="O689" i="2" a="1"/>
  <c r="O690" i="2" a="1"/>
  <c r="O691" i="2" a="1"/>
  <c r="O692" i="2" a="1"/>
  <c r="O693" i="2" a="1"/>
  <c r="O694" i="2" a="1"/>
  <c r="O695" i="2" a="1"/>
  <c r="O696" i="2" a="1"/>
  <c r="O697" i="2" a="1"/>
  <c r="O698" i="2" a="1"/>
  <c r="O699" i="2" a="1"/>
  <c r="O700" i="2" a="1"/>
  <c r="O701" i="2" a="1"/>
  <c r="O702" i="2" a="1"/>
  <c r="O703" i="2" a="1"/>
  <c r="O704" i="2" a="1"/>
  <c r="O705" i="2" a="1"/>
  <c r="O706" i="2" a="1"/>
  <c r="O707" i="2" a="1"/>
  <c r="O708" i="2" a="1"/>
  <c r="O709" i="2" a="1"/>
  <c r="O710" i="2" a="1"/>
  <c r="O711" i="2" a="1"/>
  <c r="O712" i="2" a="1"/>
  <c r="O713" i="2" a="1"/>
  <c r="O714" i="2" a="1"/>
  <c r="O715" i="2" a="1"/>
  <c r="O716" i="2" a="1"/>
  <c r="O717" i="2" a="1"/>
  <c r="O718" i="2" a="1"/>
  <c r="O719" i="2" a="1"/>
  <c r="O720" i="2" a="1"/>
  <c r="O721" i="2" a="1"/>
  <c r="O722" i="2" a="1"/>
  <c r="O723" i="2" a="1"/>
  <c r="O724" i="2" a="1"/>
  <c r="O725" i="2" a="1"/>
  <c r="O726" i="2" a="1"/>
  <c r="O727" i="2" a="1"/>
  <c r="O728" i="2" a="1"/>
  <c r="O729" i="2" a="1"/>
  <c r="O730" i="2" a="1"/>
  <c r="O731" i="2" a="1"/>
  <c r="O732" i="2" a="1"/>
  <c r="O733" i="2" a="1"/>
  <c r="O734" i="2" a="1"/>
  <c r="O735" i="2" a="1"/>
  <c r="O736" i="2" a="1"/>
  <c r="O737" i="2" a="1"/>
  <c r="O738" i="2" a="1"/>
  <c r="O739" i="2" a="1"/>
  <c r="O740" i="2" a="1"/>
  <c r="O741" i="2" a="1"/>
  <c r="O742" i="2" a="1"/>
  <c r="O743" i="2" a="1"/>
  <c r="O744" i="2" a="1"/>
  <c r="O745" i="2" a="1"/>
  <c r="O746" i="2" a="1"/>
  <c r="O747" i="2" a="1"/>
  <c r="O748" i="2" a="1"/>
  <c r="O749" i="2" a="1"/>
  <c r="O750" i="2" a="1"/>
  <c r="O751" i="2" a="1"/>
  <c r="O752" i="2" a="1"/>
  <c r="O753" i="2" a="1"/>
  <c r="O754" i="2" a="1"/>
  <c r="O755" i="2" a="1"/>
  <c r="O756" i="2" a="1"/>
  <c r="O757" i="2" a="1"/>
  <c r="O758" i="2" a="1"/>
  <c r="O759" i="2" a="1"/>
  <c r="O760" i="2" a="1"/>
  <c r="O761" i="2" a="1"/>
  <c r="O762" i="2" a="1"/>
  <c r="O763" i="2" a="1"/>
  <c r="O764" i="2" a="1"/>
  <c r="O765" i="2" a="1"/>
  <c r="O766" i="2" a="1"/>
  <c r="O767" i="2" a="1"/>
  <c r="O768" i="2" a="1"/>
  <c r="O769" i="2" a="1"/>
  <c r="O770" i="2" a="1"/>
  <c r="O771" i="2" a="1"/>
  <c r="O772" i="2" a="1"/>
  <c r="O773" i="2" a="1"/>
  <c r="O774" i="2" a="1"/>
  <c r="O775" i="2" a="1"/>
  <c r="O776" i="2" a="1"/>
  <c r="O777" i="2" a="1"/>
  <c r="O778" i="2" a="1"/>
  <c r="O779" i="2" a="1"/>
  <c r="O780" i="2" a="1"/>
  <c r="O781" i="2" a="1"/>
  <c r="O782" i="2" a="1"/>
  <c r="O783" i="2" a="1"/>
  <c r="O784" i="2" a="1"/>
  <c r="O785" i="2" a="1"/>
  <c r="O786" i="2" a="1"/>
  <c r="O787" i="2" a="1"/>
  <c r="O788" i="2" a="1"/>
  <c r="O789" i="2" a="1"/>
  <c r="O790" i="2" a="1"/>
  <c r="O791" i="2" a="1"/>
  <c r="O792" i="2" a="1"/>
  <c r="O793" i="2" a="1"/>
  <c r="O794" i="2" a="1"/>
  <c r="O795" i="2" a="1"/>
  <c r="O796" i="2" a="1"/>
  <c r="O797" i="2" a="1"/>
  <c r="O798" i="2" a="1"/>
  <c r="O799" i="2" a="1"/>
  <c r="O800" i="2" a="1"/>
  <c r="O801" i="2" a="1"/>
  <c r="O802" i="2" a="1"/>
  <c r="O803" i="2" a="1"/>
  <c r="O804" i="2" a="1"/>
  <c r="O805" i="2" a="1"/>
  <c r="O806" i="2" a="1"/>
  <c r="O807" i="2" a="1"/>
  <c r="O808" i="2" a="1"/>
  <c r="O809" i="2" a="1"/>
  <c r="O810" i="2" a="1"/>
  <c r="O811" i="2" a="1"/>
  <c r="O812" i="2" a="1"/>
  <c r="O813" i="2" a="1"/>
  <c r="O814" i="2" a="1"/>
  <c r="O815" i="2" a="1"/>
  <c r="O816" i="2" a="1"/>
  <c r="O817" i="2" a="1"/>
  <c r="O818" i="2" a="1"/>
  <c r="O819" i="2" a="1"/>
  <c r="O820" i="2" a="1"/>
  <c r="O821" i="2" a="1"/>
  <c r="O822" i="2" a="1"/>
  <c r="O823" i="2" a="1"/>
  <c r="O824" i="2" a="1"/>
  <c r="O825" i="2" a="1"/>
  <c r="O826" i="2" a="1"/>
  <c r="O827" i="2" a="1"/>
  <c r="O828" i="2" a="1"/>
  <c r="O829" i="2" a="1"/>
  <c r="O830" i="2" a="1"/>
  <c r="O831" i="2" a="1"/>
  <c r="O832" i="2" a="1"/>
  <c r="O833" i="2" a="1"/>
  <c r="O834" i="2" a="1"/>
  <c r="O835" i="2" a="1"/>
  <c r="O836" i="2" a="1"/>
  <c r="O837" i="2" a="1"/>
  <c r="O838" i="2" a="1"/>
  <c r="O839" i="2" a="1"/>
  <c r="O840" i="2" a="1"/>
  <c r="O841" i="2" a="1"/>
  <c r="O842" i="2" a="1"/>
  <c r="O843" i="2" a="1"/>
  <c r="O844" i="2" a="1"/>
  <c r="O845" i="2" a="1"/>
  <c r="O846" i="2" a="1"/>
  <c r="O847" i="2" a="1"/>
  <c r="O848" i="2" a="1"/>
  <c r="O849" i="2" a="1"/>
  <c r="O850" i="2" a="1"/>
  <c r="O851" i="2" a="1"/>
  <c r="O852" i="2" a="1"/>
  <c r="O853" i="2" a="1"/>
  <c r="O854" i="2" a="1"/>
  <c r="O855" i="2" a="1"/>
  <c r="O856" i="2" a="1"/>
  <c r="O857" i="2" a="1"/>
  <c r="O858" i="2" a="1"/>
  <c r="O859" i="2" a="1"/>
  <c r="O860" i="2" a="1"/>
  <c r="O861" i="2" a="1"/>
  <c r="O862" i="2" a="1"/>
  <c r="O863" i="2" a="1"/>
  <c r="O864" i="2" a="1"/>
  <c r="O865" i="2" a="1"/>
  <c r="O866" i="2" a="1"/>
  <c r="O867" i="2" a="1"/>
  <c r="O868" i="2" a="1"/>
  <c r="O869" i="2" a="1"/>
  <c r="O870" i="2" a="1"/>
  <c r="O871" i="2" a="1"/>
  <c r="O872" i="2" a="1"/>
  <c r="O873" i="2" a="1"/>
  <c r="O874" i="2" a="1"/>
  <c r="O875" i="2" a="1"/>
  <c r="O876" i="2" a="1"/>
  <c r="O877" i="2" a="1"/>
  <c r="O878" i="2" a="1"/>
  <c r="O879" i="2" a="1"/>
  <c r="O880" i="2" a="1"/>
  <c r="O881" i="2" a="1"/>
  <c r="O882" i="2" a="1"/>
  <c r="O883" i="2" a="1"/>
  <c r="O884" i="2" a="1"/>
  <c r="O885" i="2" a="1"/>
  <c r="O886" i="2" a="1"/>
  <c r="O887" i="2" a="1"/>
  <c r="O888" i="2" a="1"/>
  <c r="O889" i="2" a="1"/>
  <c r="O890" i="2" a="1"/>
  <c r="O891" i="2" a="1"/>
  <c r="O892" i="2" a="1"/>
  <c r="O893" i="2" a="1"/>
  <c r="O894" i="2" a="1"/>
  <c r="O895" i="2" a="1"/>
  <c r="O896" i="2" a="1"/>
  <c r="O897" i="2" a="1"/>
  <c r="O898" i="2" a="1"/>
  <c r="O899" i="2" a="1"/>
  <c r="O900" i="2" a="1"/>
  <c r="O901" i="2" a="1"/>
  <c r="O902" i="2" a="1"/>
  <c r="O903" i="2" a="1"/>
  <c r="O904" i="2" a="1"/>
  <c r="O905" i="2" a="1"/>
  <c r="O906" i="2" a="1"/>
  <c r="O907" i="2" a="1"/>
  <c r="O908" i="2" a="1"/>
  <c r="O909" i="2" a="1"/>
  <c r="O910" i="2" a="1"/>
  <c r="O911" i="2" a="1"/>
  <c r="O912" i="2" a="1"/>
  <c r="O913" i="2" a="1"/>
  <c r="O914" i="2" a="1"/>
  <c r="O915" i="2" a="1"/>
  <c r="O916" i="2" a="1"/>
  <c r="O917" i="2" a="1"/>
  <c r="O918" i="2" a="1"/>
  <c r="O919" i="2" a="1"/>
  <c r="O920" i="2" a="1"/>
  <c r="O921" i="2" a="1"/>
  <c r="O922" i="2" a="1"/>
  <c r="O923" i="2" a="1"/>
  <c r="O924" i="2" a="1"/>
  <c r="O925" i="2" a="1"/>
  <c r="O2" i="2" a="1"/>
  <c r="O3" i="2" a="1"/>
  <c r="O4" i="2" a="1"/>
  <c r="O5" i="2" a="1"/>
  <c r="O6" i="2" a="1"/>
  <c r="O7" i="2" a="1"/>
  <c r="O8" i="2" a="1"/>
  <c r="O9" i="2" a="1"/>
  <c r="O10" i="2" a="1"/>
  <c r="O11" i="2" a="1"/>
  <c r="O12" i="2" a="1"/>
  <c r="O13" i="2" a="1"/>
  <c r="O14" i="2" a="1"/>
  <c r="O15" i="2" a="1"/>
  <c r="O16" i="2" a="1"/>
  <c r="O17" i="2" a="1"/>
  <c r="O18" i="2" a="1"/>
  <c r="O19" i="2" a="1"/>
  <c r="O20" i="2" a="1"/>
  <c r="O21" i="2" a="1"/>
  <c r="O22" i="2" a="1"/>
  <c r="O23" i="2" a="1"/>
  <c r="O24" i="2" a="1"/>
  <c r="O25" i="2" a="1"/>
  <c r="O26" i="2" a="1"/>
  <c r="O27" i="2" a="1"/>
  <c r="O28" i="2" a="1"/>
  <c r="O29" i="2" a="1"/>
  <c r="O30" i="2" a="1"/>
  <c r="O31" i="2" a="1"/>
  <c r="O32" i="2" a="1"/>
  <c r="O33" i="2" a="1"/>
  <c r="O34" i="2" a="1"/>
  <c r="O35" i="2" a="1"/>
  <c r="O36" i="2" a="1"/>
  <c r="O37" i="2" a="1"/>
  <c r="O38" i="2" a="1"/>
  <c r="O39" i="2" a="1"/>
  <c r="O40" i="2" a="1"/>
  <c r="O41" i="2" a="1"/>
  <c r="O42" i="2" a="1"/>
  <c r="O43" i="2" a="1"/>
  <c r="O44" i="2" a="1"/>
  <c r="O45" i="2" a="1"/>
  <c r="O46" i="2" a="1"/>
  <c r="O47" i="2" a="1"/>
  <c r="O48" i="2" a="1"/>
  <c r="O49" i="2" a="1"/>
  <c r="O50" i="2" a="1"/>
  <c r="O51" i="2" a="1"/>
  <c r="O52" i="2" a="1"/>
  <c r="O53" i="2" a="1"/>
  <c r="O54" i="2" a="1"/>
  <c r="O55" i="2" a="1"/>
  <c r="O56" i="2" a="1"/>
  <c r="O57" i="2" a="1"/>
  <c r="O58" i="2" a="1"/>
  <c r="O59" i="2" a="1"/>
  <c r="O60" i="2" a="1"/>
  <c r="O61" i="2" a="1"/>
  <c r="O62" i="2" a="1"/>
  <c r="O63" i="2" a="1"/>
  <c r="O64" i="2" a="1"/>
  <c r="O65" i="2" a="1"/>
  <c r="O66" i="2" a="1"/>
  <c r="O67" i="2" a="1"/>
  <c r="O68" i="2" a="1"/>
  <c r="O69" i="2" a="1"/>
  <c r="O70" i="2" a="1"/>
  <c r="O71" i="2" a="1"/>
  <c r="O72" i="2" a="1"/>
  <c r="O73" i="2" a="1"/>
  <c r="O74" i="2" a="1"/>
  <c r="O75" i="2" a="1"/>
  <c r="O76" i="2" a="1"/>
  <c r="O77" i="2" a="1"/>
  <c r="O78" i="2" a="1"/>
  <c r="O79" i="2" a="1"/>
  <c r="O80" i="2" a="1"/>
  <c r="O81" i="2" a="1"/>
  <c r="O82" i="2" a="1"/>
  <c r="O83" i="2" a="1"/>
  <c r="O84" i="2" a="1"/>
  <c r="O85" i="2" a="1"/>
  <c r="O86" i="2" a="1"/>
  <c r="O87" i="2" a="1"/>
  <c r="O88" i="2" a="1"/>
  <c r="O89" i="2" a="1"/>
  <c r="O90" i="2" a="1"/>
  <c r="O91" i="2" a="1"/>
  <c r="O92" i="2" a="1"/>
  <c r="O93" i="2" a="1"/>
  <c r="O94" i="2" a="1"/>
  <c r="O95" i="2" a="1"/>
  <c r="O96" i="2" a="1"/>
  <c r="O97" i="2" a="1"/>
  <c r="O98" i="2" a="1"/>
  <c r="O99" i="2" a="1"/>
  <c r="O100" i="2" a="1"/>
  <c r="O101" i="2" a="1"/>
  <c r="O102" i="2" a="1"/>
  <c r="O103" i="2" a="1"/>
  <c r="O104" i="2" a="1"/>
  <c r="O105" i="2" a="1"/>
  <c r="O106" i="2" a="1"/>
  <c r="O107" i="2" a="1"/>
  <c r="O108" i="2" a="1"/>
  <c r="O109" i="2" a="1"/>
  <c r="O110" i="2" a="1"/>
  <c r="O111" i="2" a="1"/>
  <c r="O112" i="2" a="1"/>
  <c r="O113" i="2" a="1"/>
  <c r="O114" i="2" a="1"/>
  <c r="O115" i="2" a="1"/>
  <c r="O116" i="2" a="1"/>
  <c r="O117" i="2" a="1"/>
  <c r="O118" i="2" a="1"/>
  <c r="O119" i="2" a="1"/>
  <c r="O120" i="2" a="1"/>
  <c r="O121" i="2" a="1"/>
  <c r="O122" i="2" a="1"/>
  <c r="O123" i="2" a="1"/>
  <c r="O124" i="2" a="1"/>
  <c r="O125" i="2" a="1"/>
  <c r="O126" i="2" a="1"/>
  <c r="O127" i="2" a="1"/>
  <c r="O128" i="2" a="1"/>
  <c r="O129" i="2" a="1"/>
  <c r="O130" i="2" a="1"/>
  <c r="O131" i="2" a="1"/>
  <c r="O132" i="2" a="1"/>
  <c r="O133" i="2" a="1"/>
  <c r="O134" i="2" a="1"/>
  <c r="O135" i="2" a="1"/>
  <c r="O136" i="2" a="1"/>
  <c r="O137" i="2" a="1"/>
  <c r="O138" i="2" a="1"/>
  <c r="O139" i="2" a="1"/>
  <c r="O140" i="2" a="1"/>
  <c r="O141" i="2" a="1"/>
  <c r="O142" i="2" a="1"/>
  <c r="O143" i="2" a="1"/>
  <c r="O144" i="2" a="1"/>
  <c r="O145" i="2" a="1"/>
  <c r="O146" i="2" a="1"/>
  <c r="O147" i="2" a="1"/>
  <c r="O148" i="2" a="1"/>
  <c r="O149" i="2" a="1"/>
  <c r="O150" i="2" a="1"/>
  <c r="O151" i="2" a="1"/>
  <c r="O152" i="2" a="1"/>
  <c r="O153" i="2" a="1"/>
  <c r="O154" i="2" a="1"/>
  <c r="O155" i="2" a="1"/>
  <c r="O156" i="2" a="1"/>
  <c r="O157" i="2" a="1"/>
  <c r="O158" i="2" a="1"/>
  <c r="O159" i="2" a="1"/>
  <c r="O160" i="2" a="1"/>
  <c r="O161" i="2" a="1"/>
  <c r="O162" i="2" a="1"/>
  <c r="O163" i="2" a="1"/>
  <c r="O164" i="2" a="1"/>
  <c r="O165" i="2" a="1"/>
  <c r="O166" i="2" a="1"/>
  <c r="O167" i="2" a="1"/>
  <c r="O168" i="2" a="1"/>
  <c r="O169" i="2" a="1"/>
  <c r="O170" i="2" a="1"/>
  <c r="O171" i="2" a="1"/>
  <c r="O172" i="2" a="1"/>
  <c r="O173" i="2" a="1"/>
  <c r="O174" i="2" a="1"/>
  <c r="O175" i="2" a="1"/>
  <c r="O176" i="2" a="1"/>
  <c r="O177" i="2" a="1"/>
  <c r="O178" i="2" a="1"/>
  <c r="O179" i="2" a="1"/>
  <c r="O180" i="2" a="1"/>
  <c r="O181" i="2" a="1"/>
  <c r="O182" i="2" a="1"/>
  <c r="O183" i="2" a="1"/>
  <c r="O184" i="2" a="1"/>
  <c r="O185" i="2" a="1"/>
  <c r="O186" i="2" a="1"/>
  <c r="O187" i="2" a="1"/>
  <c r="O188" i="2" a="1"/>
  <c r="O189" i="2" a="1"/>
  <c r="O190" i="2" a="1"/>
  <c r="O191" i="2" a="1"/>
  <c r="O192" i="2" a="1"/>
  <c r="O193" i="2" a="1"/>
  <c r="O194" i="2" a="1"/>
  <c r="O195" i="2" a="1"/>
  <c r="O196" i="2" a="1"/>
  <c r="O197" i="2" a="1"/>
  <c r="O198" i="2" a="1"/>
  <c r="O199" i="2" a="1"/>
  <c r="O200" i="2" a="1"/>
  <c r="O201" i="2" a="1"/>
  <c r="O202" i="2" a="1"/>
  <c r="O203" i="2" a="1"/>
  <c r="O204" i="2" a="1"/>
  <c r="O205" i="2" a="1"/>
  <c r="O206" i="2" a="1"/>
  <c r="O207" i="2" a="1"/>
  <c r="O208" i="2" a="1"/>
  <c r="O209" i="2" a="1"/>
  <c r="O210" i="2" a="1"/>
  <c r="O211" i="2" a="1"/>
  <c r="O212" i="2" a="1"/>
  <c r="O213" i="2" a="1"/>
  <c r="O214" i="2" a="1"/>
  <c r="O215" i="2" a="1"/>
  <c r="O216" i="2" a="1"/>
  <c r="O217" i="2" a="1"/>
  <c r="O218" i="2" a="1"/>
  <c r="O219" i="2" a="1"/>
  <c r="O220" i="2" a="1"/>
  <c r="O221" i="2" a="1"/>
  <c r="O222" i="2" a="1"/>
  <c r="O223" i="2" a="1"/>
  <c r="O224" i="2" a="1"/>
  <c r="O225" i="2" a="1"/>
  <c r="O226" i="2" a="1"/>
  <c r="O227" i="2" a="1"/>
  <c r="O228" i="2" a="1"/>
  <c r="O229" i="2" a="1"/>
  <c r="O230" i="2" a="1"/>
  <c r="O231" i="2" a="1"/>
  <c r="O232" i="2" a="1"/>
  <c r="O233" i="2" a="1"/>
  <c r="O234" i="2" a="1"/>
  <c r="O235" i="2" a="1"/>
  <c r="O236" i="2" a="1"/>
  <c r="O237" i="2" a="1"/>
  <c r="O238" i="2" a="1"/>
  <c r="O239" i="2" a="1"/>
  <c r="O240" i="2" a="1"/>
  <c r="O241" i="2" a="1"/>
  <c r="O242" i="2" a="1"/>
  <c r="O243" i="2" a="1"/>
  <c r="O244" i="2" a="1"/>
  <c r="O245" i="2" a="1"/>
  <c r="O246" i="2" a="1"/>
  <c r="O247" i="2" a="1"/>
  <c r="O248" i="2" a="1"/>
  <c r="O249" i="2" a="1"/>
  <c r="O250" i="2" a="1"/>
  <c r="O251" i="2" a="1"/>
  <c r="O252" i="2" a="1"/>
  <c r="O253" i="2" a="1"/>
  <c r="O254" i="2" a="1"/>
  <c r="O255" i="2" a="1"/>
  <c r="O256" i="2" a="1"/>
  <c r="O257" i="2" a="1"/>
  <c r="O258" i="2" a="1"/>
  <c r="O259" i="2" a="1"/>
  <c r="O260" i="2" a="1"/>
  <c r="O261" i="2" a="1"/>
  <c r="O262" i="2" a="1"/>
  <c r="O263" i="2" a="1"/>
  <c r="O264" i="2" a="1"/>
  <c r="O265" i="2" a="1"/>
  <c r="O266" i="2" a="1"/>
  <c r="O267" i="2" a="1"/>
  <c r="O268" i="2" a="1"/>
  <c r="O269" i="2" a="1"/>
  <c r="O270" i="2" a="1"/>
  <c r="O271" i="2" a="1"/>
  <c r="O272" i="2" a="1"/>
  <c r="O273" i="2" a="1"/>
  <c r="O274" i="2" a="1"/>
  <c r="O275" i="2" a="1"/>
  <c r="O276" i="2" a="1"/>
  <c r="O277" i="2" a="1"/>
  <c r="O278" i="2" a="1"/>
  <c r="O279" i="2" a="1"/>
  <c r="O280" i="2" a="1"/>
  <c r="O281" i="2" a="1"/>
  <c r="O282" i="2" a="1"/>
  <c r="O283" i="2" a="1"/>
  <c r="O284" i="2" a="1"/>
  <c r="O285" i="2" a="1"/>
  <c r="O286" i="2" a="1"/>
  <c r="O287" i="2" a="1"/>
  <c r="O288" i="2" a="1"/>
  <c r="O289" i="2" a="1"/>
  <c r="O290" i="2" a="1"/>
  <c r="O291" i="2" a="1"/>
  <c r="O292" i="2" a="1"/>
  <c r="O293" i="2" a="1"/>
  <c r="O294" i="2" a="1"/>
  <c r="O295" i="2" a="1"/>
  <c r="O296" i="2" a="1"/>
  <c r="O297" i="2" a="1"/>
  <c r="O298" i="2" a="1"/>
  <c r="O299" i="2" a="1"/>
  <c r="O300" i="2" a="1"/>
  <c r="O301" i="2" a="1"/>
  <c r="O302" i="2" a="1"/>
  <c r="O303" i="2" a="1"/>
  <c r="O304" i="2" a="1"/>
  <c r="O305" i="2" a="1"/>
  <c r="O306" i="2" a="1"/>
  <c r="O307" i="2" a="1"/>
  <c r="O308" i="2" a="1"/>
  <c r="O309" i="2" a="1"/>
  <c r="O310" i="2" a="1"/>
  <c r="O311" i="2" a="1"/>
  <c r="O312" i="2" a="1"/>
  <c r="O313" i="2" a="1"/>
  <c r="O314" i="2" a="1"/>
  <c r="O315" i="2" a="1"/>
  <c r="O316" i="2" a="1"/>
  <c r="O317" i="2" a="1"/>
  <c r="O318" i="2" a="1"/>
  <c r="O319" i="2" a="1"/>
  <c r="O320" i="2" a="1"/>
  <c r="O321" i="2" a="1"/>
  <c r="O322" i="2" a="1"/>
  <c r="O323" i="2" a="1"/>
  <c r="O324" i="2" a="1"/>
  <c r="O325" i="2" a="1"/>
  <c r="O326" i="2" a="1"/>
  <c r="O327" i="2" a="1"/>
  <c r="O328" i="2" a="1"/>
  <c r="O329" i="2" a="1"/>
  <c r="O330" i="2" a="1"/>
  <c r="O331" i="2" a="1"/>
  <c r="O332" i="2" a="1"/>
  <c r="O333" i="2" a="1"/>
  <c r="O334" i="2" a="1"/>
  <c r="O335" i="2" a="1"/>
  <c r="O336" i="2" a="1"/>
  <c r="O337" i="2" a="1"/>
  <c r="O338" i="2" a="1"/>
  <c r="O339" i="2" a="1"/>
  <c r="O340" i="2" a="1"/>
  <c r="O341" i="2" a="1"/>
  <c r="O342" i="2" a="1"/>
  <c r="O343" i="2" a="1"/>
  <c r="O344" i="2" a="1"/>
  <c r="O345" i="2" a="1"/>
  <c r="O346" i="2" a="1"/>
  <c r="O347" i="2" a="1"/>
  <c r="O348" i="2" a="1"/>
  <c r="O349" i="2" a="1"/>
  <c r="O350" i="2" a="1"/>
  <c r="O351" i="2" a="1"/>
  <c r="O352" i="2" a="1"/>
  <c r="O353" i="2" a="1"/>
  <c r="O354" i="2" a="1"/>
  <c r="O355" i="2" a="1"/>
  <c r="O356" i="2" a="1"/>
  <c r="O357" i="2" a="1"/>
  <c r="O358" i="2" a="1"/>
  <c r="O359" i="2" a="1"/>
  <c r="O360" i="2" a="1"/>
  <c r="O361" i="2" a="1"/>
  <c r="O362" i="2" a="1"/>
  <c r="O363" i="2" a="1"/>
  <c r="O364" i="2" a="1"/>
  <c r="O365" i="2" a="1"/>
  <c r="O366" i="2" a="1"/>
  <c r="O367" i="2" a="1"/>
  <c r="O368" i="2" a="1"/>
  <c r="O369" i="2" a="1"/>
  <c r="O370" i="2" a="1"/>
  <c r="O371" i="2" a="1"/>
  <c r="O372" i="2" a="1"/>
  <c r="O373" i="2" a="1"/>
  <c r="O374" i="2" a="1"/>
  <c r="O375" i="2" a="1"/>
  <c r="O376" i="2" a="1"/>
  <c r="O377" i="2" a="1"/>
  <c r="O378" i="2" a="1"/>
  <c r="O379" i="2" a="1"/>
  <c r="O380" i="2" a="1"/>
  <c r="O381" i="2" a="1"/>
  <c r="O382" i="2" a="1"/>
  <c r="O383" i="2" a="1"/>
  <c r="O384" i="2" a="1"/>
  <c r="O385" i="2" a="1"/>
  <c r="O386" i="2" a="1"/>
  <c r="O387" i="2" a="1"/>
  <c r="O388" i="2" a="1"/>
  <c r="O389" i="2" a="1"/>
  <c r="O390" i="2" a="1"/>
  <c r="O391" i="2" a="1"/>
  <c r="O392" i="2" a="1"/>
  <c r="O393" i="2" a="1"/>
  <c r="O394" i="2" a="1"/>
  <c r="O395" i="2" a="1"/>
  <c r="O396" i="2" a="1"/>
  <c r="O397" i="2" a="1"/>
  <c r="O398" i="2" a="1"/>
  <c r="O399" i="2" a="1"/>
  <c r="O400" i="2" a="1"/>
  <c r="O401" i="2" a="1"/>
  <c r="O402" i="2" a="1"/>
  <c r="O403" i="2" a="1"/>
  <c r="O404" i="2" a="1"/>
  <c r="O405" i="2" a="1"/>
  <c r="O406" i="2" a="1"/>
  <c r="O407" i="2" a="1"/>
  <c r="O408" i="2" a="1"/>
  <c r="O409" i="2" a="1"/>
  <c r="O410" i="2" a="1"/>
  <c r="O411" i="2" a="1"/>
  <c r="O412" i="2" a="1"/>
  <c r="O413" i="2" a="1"/>
  <c r="O414" i="2" a="1"/>
  <c r="O415" i="2" a="1"/>
  <c r="O416" i="2" a="1"/>
  <c r="O417" i="2" a="1"/>
  <c r="O418" i="2" a="1"/>
  <c r="O419" i="2" a="1"/>
  <c r="O420" i="2" a="1"/>
  <c r="O421" i="2" a="1"/>
  <c r="O422" i="2" a="1"/>
  <c r="O423" i="2" a="1"/>
  <c r="O424" i="2" a="1"/>
  <c r="O425" i="2" a="1"/>
  <c r="O426" i="2" a="1"/>
  <c r="O427" i="2" a="1"/>
  <c r="O428" i="2" a="1"/>
  <c r="O429" i="2" a="1"/>
  <c r="O430" i="2" a="1"/>
  <c r="O431" i="2" a="1"/>
  <c r="O432" i="2" a="1"/>
  <c r="O433" i="2" a="1"/>
  <c r="O434" i="2" a="1"/>
  <c r="O435" i="2" a="1"/>
  <c r="O436" i="2" a="1"/>
  <c r="O437" i="2" a="1"/>
  <c r="O438" i="2" a="1"/>
  <c r="O439" i="2" a="1"/>
  <c r="O440" i="2" a="1"/>
  <c r="O441" i="2" a="1"/>
  <c r="O442" i="2" a="1"/>
  <c r="O443" i="2" a="1"/>
  <c r="O444" i="2" a="1"/>
  <c r="O445" i="2" a="1"/>
  <c r="O446" i="2" a="1"/>
  <c r="O447" i="2" a="1"/>
  <c r="O448" i="2" a="1"/>
  <c r="O449" i="2" a="1"/>
  <c r="O450" i="2" a="1"/>
  <c r="O451" i="2" a="1"/>
  <c r="O452" i="2" a="1"/>
  <c r="O453" i="2" a="1"/>
  <c r="O454" i="2" a="1"/>
  <c r="O455" i="2" a="1"/>
  <c r="O456" i="2" a="1"/>
  <c r="O457" i="2" a="1"/>
  <c r="O458" i="2" a="1"/>
  <c r="O459" i="2" a="1"/>
  <c r="O460" i="2" a="1"/>
  <c r="O461" i="2" a="1"/>
  <c r="O462" i="2" a="1"/>
  <c r="O463" i="2" a="1"/>
  <c r="O464" i="2" a="1"/>
  <c r="O465" i="2" a="1"/>
  <c r="O466" i="2" a="1"/>
  <c r="O467" i="2" a="1"/>
  <c r="O468" i="2" a="1"/>
  <c r="O469" i="2" a="1"/>
  <c r="O470" i="2" a="1"/>
  <c r="O471" i="2" a="1"/>
  <c r="O472" i="2" a="1"/>
  <c r="O473" i="2" a="1"/>
  <c r="O474" i="2" a="1"/>
  <c r="O475" i="2" a="1"/>
  <c r="O476" i="2" a="1"/>
  <c r="O477" i="2" a="1"/>
  <c r="O478" i="2" a="1"/>
  <c r="O479" i="2" a="1"/>
  <c r="O480" i="2" a="1"/>
  <c r="O481" i="2" a="1"/>
  <c r="O482" i="2" a="1"/>
  <c r="O483" i="2" a="1"/>
  <c r="O484" i="2" a="1"/>
  <c r="O485" i="2" a="1"/>
  <c r="O486" i="2" a="1"/>
  <c r="O487" i="2" a="1"/>
  <c r="O488" i="2" a="1"/>
  <c r="O489" i="2" a="1"/>
  <c r="O490" i="2" a="1"/>
  <c r="O491" i="2" a="1"/>
  <c r="O492" i="2" a="1"/>
  <c r="O493" i="2" a="1"/>
  <c r="O494" i="2" a="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C13" i="9" a="1"/>
  <c r="M2" i="2"/>
  <c r="L56" i="1" l="1"/>
  <c r="L32" i="1"/>
  <c r="L72" i="1"/>
  <c r="L87" i="1"/>
  <c r="L95" i="1"/>
  <c r="L102" i="1"/>
  <c r="L115" i="1"/>
  <c r="L117" i="1"/>
  <c r="L142" i="1"/>
  <c r="L154" i="1"/>
  <c r="L19" i="1"/>
  <c r="L58" i="1"/>
  <c r="L84" i="1"/>
  <c r="L164" i="1"/>
  <c r="L29" i="1"/>
  <c r="L27" i="1"/>
  <c r="L31" i="1"/>
  <c r="L55" i="1"/>
  <c r="L60" i="1"/>
  <c r="L94" i="1"/>
  <c r="L96" i="1"/>
  <c r="L130" i="1"/>
  <c r="L152" i="1"/>
  <c r="L10" i="1"/>
  <c r="L39" i="1"/>
  <c r="L41" i="1"/>
  <c r="L43" i="1"/>
  <c r="L107" i="1"/>
  <c r="L129" i="1"/>
  <c r="L131" i="1"/>
  <c r="L166" i="1"/>
  <c r="L28" i="1"/>
  <c r="L6" i="1"/>
  <c r="L50" i="1"/>
  <c r="L57" i="1"/>
  <c r="L81" i="1"/>
  <c r="L99" i="1"/>
  <c r="L101" i="1"/>
  <c r="L128" i="1"/>
  <c r="L140" i="1"/>
  <c r="L153" i="1"/>
  <c r="L165" i="1"/>
  <c r="L155" i="1"/>
  <c r="L157" i="1"/>
  <c r="L169" i="1"/>
  <c r="L170" i="1"/>
  <c r="L171" i="1"/>
  <c r="L172" i="1"/>
  <c r="L175" i="1"/>
  <c r="L176" i="1"/>
  <c r="L177" i="1"/>
  <c r="L178" i="1"/>
  <c r="L179" i="1"/>
  <c r="L180" i="1"/>
  <c r="L182" i="1"/>
  <c r="L184" i="1"/>
  <c r="L185" i="1"/>
  <c r="L186" i="1"/>
  <c r="L188" i="1"/>
  <c r="L189" i="1"/>
  <c r="L190" i="1"/>
  <c r="L192" i="1"/>
  <c r="L194" i="1"/>
  <c r="L195" i="1"/>
  <c r="L196" i="1"/>
  <c r="L197" i="1"/>
  <c r="L198" i="1"/>
  <c r="L199" i="1"/>
  <c r="L200" i="1"/>
  <c r="L204" i="1"/>
  <c r="L205" i="1"/>
  <c r="L206" i="1"/>
  <c r="L207" i="1"/>
  <c r="L208" i="1"/>
  <c r="L209" i="1"/>
  <c r="L210" i="1"/>
  <c r="L211" i="1"/>
  <c r="L212" i="1"/>
  <c r="L213" i="1"/>
  <c r="L214" i="1"/>
  <c r="L215" i="1"/>
  <c r="L216" i="1"/>
  <c r="L217" i="1"/>
  <c r="L218" i="1"/>
  <c r="L220" i="1"/>
  <c r="L221" i="1"/>
  <c r="L223" i="1"/>
  <c r="L224" i="1"/>
  <c r="L226" i="1"/>
  <c r="L227" i="1"/>
  <c r="L228" i="1"/>
  <c r="L230" i="1"/>
  <c r="L231" i="1"/>
  <c r="L232" i="1"/>
  <c r="L233" i="1"/>
  <c r="L234" i="1"/>
  <c r="L237" i="1"/>
  <c r="L239" i="1"/>
  <c r="L240" i="1"/>
  <c r="L241" i="1"/>
  <c r="L242" i="1"/>
  <c r="L243" i="1"/>
  <c r="L244" i="1"/>
  <c r="L245" i="1"/>
  <c r="L246"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5" i="1"/>
  <c r="L276" i="1"/>
  <c r="L277" i="1"/>
  <c r="L278" i="1"/>
  <c r="L279" i="1"/>
  <c r="L281" i="1"/>
  <c r="L283" i="1"/>
  <c r="L284" i="1"/>
  <c r="L285" i="1"/>
  <c r="L286" i="1"/>
  <c r="L287" i="1"/>
  <c r="L288" i="1"/>
  <c r="L289" i="1"/>
  <c r="L290" i="1"/>
  <c r="L291" i="1"/>
  <c r="L293" i="1"/>
  <c r="L294" i="1"/>
  <c r="L296" i="1"/>
  <c r="L297" i="1"/>
  <c r="L300" i="1"/>
  <c r="L301" i="1"/>
  <c r="L302" i="1"/>
  <c r="L304" i="1"/>
  <c r="L306" i="1"/>
  <c r="L307" i="1"/>
  <c r="L308" i="1"/>
  <c r="L309" i="1"/>
  <c r="L310" i="1"/>
  <c r="L311" i="1"/>
  <c r="L312" i="1"/>
  <c r="L313" i="1"/>
  <c r="L316" i="1"/>
  <c r="L318" i="1"/>
  <c r="L319" i="1"/>
  <c r="L320" i="1"/>
  <c r="L322" i="1"/>
  <c r="L323" i="1"/>
  <c r="L324" i="1"/>
  <c r="L325" i="1"/>
  <c r="L328" i="1"/>
  <c r="L330" i="1"/>
  <c r="L331" i="1"/>
  <c r="L332" i="1"/>
  <c r="L333" i="1"/>
  <c r="L334" i="1"/>
  <c r="L335" i="1"/>
  <c r="L336" i="1"/>
  <c r="L337" i="1"/>
  <c r="L339" i="1"/>
  <c r="L340" i="1"/>
  <c r="L341" i="1"/>
  <c r="L342" i="1"/>
  <c r="L343" i="1"/>
  <c r="L345" i="1"/>
  <c r="L346" i="1"/>
  <c r="L347" i="1"/>
  <c r="L348" i="1"/>
  <c r="L349" i="1"/>
  <c r="L350" i="1"/>
  <c r="L351" i="1"/>
  <c r="L353" i="1"/>
  <c r="L355" i="1"/>
  <c r="L356" i="1"/>
  <c r="L357" i="1"/>
  <c r="L358" i="1"/>
  <c r="L359" i="1"/>
  <c r="L361" i="1"/>
  <c r="L8" i="1"/>
  <c r="L20" i="1"/>
  <c r="L69" i="1"/>
  <c r="L116" i="1"/>
  <c r="L141" i="1"/>
  <c r="L143" i="1"/>
  <c r="L3" i="1"/>
  <c r="L4" i="1"/>
  <c r="L11" i="1"/>
  <c r="L13" i="1"/>
  <c r="L14" i="1"/>
  <c r="L15" i="1"/>
  <c r="L16" i="1"/>
  <c r="L21" i="1"/>
  <c r="L22" i="1"/>
  <c r="L23" i="1"/>
  <c r="L24" i="1"/>
  <c r="L33" i="1"/>
  <c r="L34" i="1"/>
  <c r="L35" i="1"/>
  <c r="L36" i="1"/>
  <c r="L37" i="1"/>
  <c r="L45" i="1"/>
  <c r="L46" i="1"/>
  <c r="L48" i="1"/>
  <c r="L49" i="1"/>
  <c r="L52" i="1"/>
  <c r="L53" i="1"/>
  <c r="L61" i="1"/>
  <c r="L62" i="1"/>
  <c r="L63" i="1"/>
  <c r="L66" i="1"/>
  <c r="L67" i="1"/>
  <c r="L75" i="1"/>
  <c r="L76" i="1"/>
  <c r="L77" i="1"/>
  <c r="L78" i="1"/>
  <c r="L79" i="1"/>
  <c r="L88" i="1"/>
  <c r="L89" i="1"/>
  <c r="L90" i="1"/>
  <c r="L91" i="1"/>
  <c r="L93" i="1"/>
  <c r="L108" i="1"/>
  <c r="L109" i="1"/>
  <c r="L111" i="1"/>
  <c r="L112" i="1"/>
  <c r="L113" i="1"/>
  <c r="L114" i="1"/>
  <c r="L118" i="1"/>
  <c r="L121" i="1"/>
  <c r="L122" i="1"/>
  <c r="L123" i="1"/>
  <c r="L124" i="1"/>
  <c r="L125" i="1"/>
  <c r="L126" i="1"/>
  <c r="L133" i="1"/>
  <c r="L134" i="1"/>
  <c r="L136" i="1"/>
  <c r="L137" i="1"/>
  <c r="L138" i="1"/>
  <c r="L146" i="1"/>
  <c r="L147" i="1"/>
  <c r="L148" i="1"/>
  <c r="L149" i="1"/>
  <c r="L150" i="1"/>
  <c r="L151" i="1"/>
  <c r="L158" i="1"/>
  <c r="L159" i="1"/>
  <c r="L162" i="1"/>
  <c r="L163" i="1"/>
  <c r="K5" i="1" a="1"/>
  <c r="M5" i="1"/>
  <c r="K7" i="1" a="1"/>
  <c r="M7" i="1"/>
  <c r="K12" i="1" a="1"/>
  <c r="M12" i="1"/>
  <c r="K18" i="1" a="1"/>
  <c r="M18" i="1"/>
  <c r="K25" i="1" a="1"/>
  <c r="M25" i="1"/>
  <c r="K26" i="1" a="1"/>
  <c r="M26" i="1"/>
  <c r="K30" i="1" a="1"/>
  <c r="M30" i="1"/>
  <c r="K38" i="1" a="1"/>
  <c r="M38" i="1"/>
  <c r="K40" i="1" a="1"/>
  <c r="M40" i="1"/>
  <c r="K44" i="1" a="1"/>
  <c r="M44" i="1"/>
  <c r="K47" i="1" a="1"/>
  <c r="M47" i="1"/>
  <c r="K54" i="1" a="1"/>
  <c r="M54" i="1"/>
  <c r="K59" i="1" a="1"/>
  <c r="M59" i="1"/>
  <c r="K64" i="1" a="1"/>
  <c r="M64" i="1"/>
  <c r="K65" i="1" a="1"/>
  <c r="M65" i="1"/>
  <c r="K71" i="1" a="1"/>
  <c r="M71" i="1"/>
  <c r="K74" i="1" a="1"/>
  <c r="M74" i="1"/>
  <c r="K82" i="1" a="1"/>
  <c r="M82" i="1"/>
  <c r="K83" i="1" a="1"/>
  <c r="M83" i="1"/>
  <c r="K92" i="1" a="1"/>
  <c r="M92" i="1"/>
  <c r="K98" i="1" a="1"/>
  <c r="M98" i="1"/>
  <c r="K103" i="1" a="1"/>
  <c r="M103" i="1"/>
  <c r="K104" i="1" a="1"/>
  <c r="M104" i="1"/>
  <c r="K105" i="1" a="1"/>
  <c r="M105" i="1"/>
  <c r="K106" i="1" a="1"/>
  <c r="M106" i="1"/>
  <c r="K110" i="1" a="1"/>
  <c r="M110" i="1"/>
  <c r="K119" i="1" a="1"/>
  <c r="M119" i="1"/>
  <c r="K120" i="1" a="1"/>
  <c r="M120" i="1"/>
  <c r="K135" i="1" a="1"/>
  <c r="M135" i="1"/>
  <c r="K139" i="1" a="1"/>
  <c r="M139" i="1"/>
  <c r="K144" i="1" a="1"/>
  <c r="M144" i="1"/>
  <c r="K145" i="1" a="1"/>
  <c r="M145" i="1"/>
  <c r="K160" i="1" a="1"/>
  <c r="M160" i="1"/>
  <c r="K161" i="1" a="1"/>
  <c r="M161" i="1"/>
  <c r="K167" i="1" a="1"/>
  <c r="M167" i="1"/>
  <c r="K168" i="1" a="1"/>
  <c r="M168" i="1"/>
  <c r="K173" i="1" a="1"/>
  <c r="M173" i="1"/>
  <c r="K174" i="1" a="1"/>
  <c r="M174" i="1"/>
  <c r="K181" i="1" a="1"/>
  <c r="M181" i="1"/>
  <c r="K183" i="1" a="1"/>
  <c r="M183" i="1"/>
  <c r="K187" i="1" a="1"/>
  <c r="M187" i="1"/>
  <c r="K191" i="1" a="1"/>
  <c r="M191" i="1"/>
  <c r="K193" i="1" a="1"/>
  <c r="M193" i="1"/>
  <c r="K201" i="1" a="1"/>
  <c r="M201" i="1"/>
  <c r="K202" i="1" a="1"/>
  <c r="M202" i="1"/>
  <c r="K203" i="1" a="1"/>
  <c r="M203" i="1"/>
  <c r="K219" i="1" a="1"/>
  <c r="M219" i="1"/>
  <c r="K222" i="1" a="1"/>
  <c r="M222" i="1"/>
  <c r="K225" i="1" a="1"/>
  <c r="M225" i="1"/>
  <c r="K229" i="1" a="1"/>
  <c r="M229" i="1"/>
  <c r="K235" i="1" a="1"/>
  <c r="M235" i="1"/>
  <c r="K236" i="1" a="1"/>
  <c r="M236" i="1"/>
  <c r="K238" i="1" a="1"/>
  <c r="M238" i="1"/>
  <c r="K247" i="1" a="1"/>
  <c r="M247" i="1"/>
  <c r="K274" i="1" a="1"/>
  <c r="M274" i="1"/>
  <c r="K280" i="1" a="1"/>
  <c r="M280" i="1"/>
  <c r="K282" i="1" a="1"/>
  <c r="M282" i="1"/>
  <c r="K292" i="1" a="1"/>
  <c r="M292" i="1"/>
  <c r="K295" i="1" a="1"/>
  <c r="M295" i="1"/>
  <c r="K298" i="1" a="1"/>
  <c r="M298" i="1"/>
  <c r="K299" i="1" a="1"/>
  <c r="M299" i="1"/>
  <c r="K303" i="1" a="1"/>
  <c r="M303" i="1"/>
  <c r="K305" i="1" a="1"/>
  <c r="M305" i="1"/>
  <c r="K314" i="1" a="1"/>
  <c r="M314" i="1"/>
  <c r="K315" i="1" a="1"/>
  <c r="M315" i="1"/>
  <c r="K317" i="1" a="1"/>
  <c r="M317" i="1"/>
  <c r="K321" i="1" a="1"/>
  <c r="M321" i="1"/>
  <c r="K326" i="1" a="1"/>
  <c r="M326" i="1"/>
  <c r="K327" i="1" a="1"/>
  <c r="M327" i="1"/>
  <c r="K329" i="1" a="1"/>
  <c r="M329" i="1"/>
  <c r="K338" i="1" a="1"/>
  <c r="M338" i="1"/>
  <c r="K344" i="1" a="1"/>
  <c r="M344" i="1"/>
  <c r="K352" i="1" a="1"/>
  <c r="M352" i="1"/>
  <c r="K354" i="1" a="1"/>
  <c r="M354" i="1"/>
  <c r="K360" i="1" a="1"/>
  <c r="M360" i="1"/>
  <c r="H267" i="1"/>
  <c r="H124" i="1"/>
  <c r="H34" i="1"/>
  <c r="H43" i="1"/>
  <c r="H63" i="1"/>
  <c r="H69" i="1"/>
  <c r="H78" i="1"/>
  <c r="H86" i="1"/>
  <c r="H90" i="1"/>
  <c r="H100" i="1"/>
  <c r="H128" i="1"/>
  <c r="H164" i="1"/>
  <c r="H172" i="1"/>
  <c r="H176" i="1"/>
  <c r="H178" i="1"/>
  <c r="H180" i="1"/>
  <c r="H205" i="1"/>
  <c r="H207" i="1"/>
  <c r="H213" i="1"/>
  <c r="H215" i="1"/>
  <c r="H254" i="1"/>
  <c r="H257" i="1"/>
  <c r="H260" i="1"/>
  <c r="H284" i="1"/>
  <c r="H285" i="1"/>
  <c r="H94" i="1"/>
  <c r="H96" i="1"/>
  <c r="H118" i="1"/>
  <c r="H195" i="1"/>
  <c r="H199" i="1"/>
  <c r="H270" i="1"/>
  <c r="H271" i="1"/>
  <c r="H273" i="1"/>
  <c r="H312" i="1"/>
  <c r="H343" i="1"/>
  <c r="H276" i="1"/>
  <c r="H53" i="1"/>
  <c r="H126" i="1"/>
  <c r="H184" i="1"/>
  <c r="H240" i="1"/>
  <c r="H342" i="1"/>
  <c r="H114" i="1"/>
  <c r="H122" i="1"/>
  <c r="H185" i="1"/>
  <c r="H189" i="1"/>
  <c r="H214" i="1"/>
  <c r="H216" i="1"/>
  <c r="H286" i="1"/>
  <c r="H323" i="1"/>
  <c r="H70" i="1"/>
  <c r="H72" i="1"/>
  <c r="H123" i="1"/>
  <c r="H125" i="1"/>
  <c r="H255" i="1"/>
  <c r="H258" i="1"/>
  <c r="H76" i="1"/>
  <c r="H80" i="1"/>
  <c r="H88" i="1"/>
  <c r="H121" i="1"/>
  <c r="H127" i="1"/>
  <c r="H55" i="1"/>
  <c r="H361" i="1"/>
  <c r="H170" i="1"/>
  <c r="H186" i="1"/>
  <c r="H27" i="1"/>
  <c r="H45" i="1"/>
  <c r="H49" i="1"/>
  <c r="H166" i="1"/>
  <c r="H190" i="1"/>
  <c r="H197" i="1"/>
  <c r="H241" i="1"/>
  <c r="H256" i="1"/>
  <c r="H261" i="1"/>
  <c r="H283" i="1"/>
  <c r="H182" i="1"/>
  <c r="H192" i="1"/>
  <c r="H84" i="1"/>
  <c r="H102" i="1"/>
  <c r="H194" i="1"/>
  <c r="H259" i="1"/>
  <c r="H281" i="1"/>
  <c r="H108" i="1"/>
  <c r="H112" i="1"/>
  <c r="H116" i="1"/>
  <c r="H130" i="1"/>
  <c r="H132" i="1"/>
  <c r="H133" i="1"/>
  <c r="H134" i="1"/>
  <c r="H136" i="1"/>
  <c r="H137" i="1"/>
  <c r="H138" i="1"/>
  <c r="H140" i="1"/>
  <c r="H141" i="1"/>
  <c r="H142" i="1"/>
  <c r="H143" i="1"/>
  <c r="H146" i="1"/>
  <c r="H147" i="1"/>
  <c r="H148" i="1"/>
  <c r="H149" i="1"/>
  <c r="H150" i="1"/>
  <c r="H151" i="1"/>
  <c r="H152" i="1"/>
  <c r="H153" i="1"/>
  <c r="H154" i="1"/>
  <c r="H155" i="1"/>
  <c r="H156" i="1"/>
  <c r="H157" i="1"/>
  <c r="H158" i="1"/>
  <c r="H159" i="1"/>
  <c r="H196" i="1"/>
  <c r="H198" i="1"/>
  <c r="H200" i="1"/>
  <c r="H204" i="1"/>
  <c r="H206" i="1"/>
  <c r="H210" i="1"/>
  <c r="H211" i="1"/>
  <c r="H212" i="1"/>
  <c r="H217" i="1"/>
  <c r="H218" i="1"/>
  <c r="H221" i="1"/>
  <c r="H224" i="1"/>
  <c r="H227" i="1"/>
  <c r="H231" i="1"/>
  <c r="H233" i="1"/>
  <c r="H237" i="1"/>
  <c r="H239" i="1"/>
  <c r="H242" i="1"/>
  <c r="H243" i="1"/>
  <c r="H244" i="1"/>
  <c r="H245" i="1"/>
  <c r="H246" i="1"/>
  <c r="H248" i="1"/>
  <c r="H249" i="1"/>
  <c r="H251" i="1"/>
  <c r="H253" i="1"/>
  <c r="H287" i="1"/>
  <c r="H288" i="1"/>
  <c r="H289" i="1"/>
  <c r="H290" i="1"/>
  <c r="H300" i="1"/>
  <c r="H301" i="1"/>
  <c r="H302" i="1"/>
  <c r="H309" i="1"/>
  <c r="H310" i="1"/>
  <c r="H318" i="1"/>
  <c r="H319" i="1"/>
  <c r="H320" i="1"/>
  <c r="H330" i="1"/>
  <c r="H331" i="1"/>
  <c r="H332" i="1"/>
  <c r="H339" i="1"/>
  <c r="H340" i="1"/>
  <c r="H341" i="1"/>
  <c r="H349" i="1"/>
  <c r="H350" i="1"/>
  <c r="H351" i="1"/>
  <c r="H359" i="1"/>
  <c r="H73" i="1"/>
  <c r="H275" i="1"/>
  <c r="H162" i="1"/>
  <c r="H188" i="1"/>
  <c r="H223" i="1"/>
  <c r="H6" i="1"/>
  <c r="H75" i="1"/>
  <c r="H77" i="1"/>
  <c r="H81" i="1"/>
  <c r="H85" i="1"/>
  <c r="H87" i="1"/>
  <c r="H89" i="1"/>
  <c r="H95" i="1"/>
  <c r="H97" i="1"/>
  <c r="H99" i="1"/>
  <c r="H101" i="1"/>
  <c r="H111" i="1"/>
  <c r="H115" i="1"/>
  <c r="H117" i="1"/>
  <c r="H129" i="1"/>
  <c r="H131" i="1"/>
  <c r="H163" i="1"/>
  <c r="H169" i="1"/>
  <c r="H171" i="1"/>
  <c r="H177" i="1"/>
  <c r="H226" i="1"/>
  <c r="H228" i="1"/>
  <c r="H230" i="1"/>
  <c r="H232" i="1"/>
  <c r="H234" i="1"/>
  <c r="H13" i="1"/>
  <c r="H20" i="1"/>
  <c r="H79" i="1"/>
  <c r="H91" i="1"/>
  <c r="H93" i="1"/>
  <c r="H107" i="1"/>
  <c r="H109" i="1"/>
  <c r="H113" i="1"/>
  <c r="H165" i="1"/>
  <c r="H175" i="1"/>
  <c r="H179" i="1"/>
  <c r="H208" i="1"/>
  <c r="H209" i="1"/>
  <c r="H220" i="1"/>
  <c r="H250" i="1"/>
  <c r="H252" i="1"/>
  <c r="H262" i="1"/>
  <c r="H263" i="1"/>
  <c r="H264" i="1"/>
  <c r="H265" i="1"/>
  <c r="H266" i="1"/>
  <c r="H268" i="1"/>
  <c r="H269" i="1"/>
  <c r="H272" i="1"/>
  <c r="H277" i="1"/>
  <c r="H278" i="1"/>
  <c r="H279" i="1"/>
  <c r="H291" i="1"/>
  <c r="H293" i="1"/>
  <c r="H294" i="1"/>
  <c r="H296" i="1"/>
  <c r="H297" i="1"/>
  <c r="H304" i="1"/>
  <c r="H306" i="1"/>
  <c r="H307" i="1"/>
  <c r="H308" i="1"/>
  <c r="H311" i="1"/>
  <c r="H313" i="1"/>
  <c r="H316" i="1"/>
  <c r="H322" i="1"/>
  <c r="H324" i="1"/>
  <c r="H325" i="1"/>
  <c r="H328" i="1"/>
  <c r="H333" i="1"/>
  <c r="H334" i="1"/>
  <c r="H335" i="1"/>
  <c r="H336" i="1"/>
  <c r="H337" i="1"/>
  <c r="H345" i="1"/>
  <c r="H346" i="1"/>
  <c r="H347" i="1"/>
  <c r="H348" i="1"/>
  <c r="H353" i="1"/>
  <c r="H355" i="1"/>
  <c r="H356" i="1"/>
  <c r="H357" i="1"/>
  <c r="H358" i="1"/>
  <c r="H14" i="1"/>
  <c r="H15" i="1"/>
  <c r="H16" i="1"/>
  <c r="H17" i="1"/>
  <c r="H19" i="1"/>
  <c r="H28" i="1"/>
  <c r="H29" i="1"/>
  <c r="H39" i="1"/>
  <c r="H48" i="1"/>
  <c r="H56" i="1"/>
  <c r="H57" i="1"/>
  <c r="H58" i="1"/>
  <c r="H8" i="1"/>
  <c r="H9" i="1"/>
  <c r="H10" i="1"/>
  <c r="H11" i="1"/>
  <c r="H21" i="1"/>
  <c r="H22" i="1"/>
  <c r="H23" i="1"/>
  <c r="H24" i="1"/>
  <c r="H31" i="1"/>
  <c r="H32" i="1"/>
  <c r="H33" i="1"/>
  <c r="H35" i="1"/>
  <c r="H36" i="1"/>
  <c r="H37" i="1"/>
  <c r="H41" i="1"/>
  <c r="H42" i="1"/>
  <c r="H46" i="1"/>
  <c r="H50" i="1"/>
  <c r="H51" i="1"/>
  <c r="H52" i="1"/>
  <c r="H60" i="1"/>
  <c r="H61" i="1"/>
  <c r="H62" i="1"/>
  <c r="H66" i="1"/>
  <c r="H67" i="1"/>
  <c r="H68" i="1"/>
  <c r="H3" i="1"/>
  <c r="H4" i="1"/>
  <c r="Q2" i="2"/>
  <c r="H2" i="1"/>
  <c r="B9" i="13" a="1"/>
  <c r="F19" i="13" a="1"/>
  <c r="F18" i="13" a="1"/>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E19" i="13" a="1"/>
  <c r="E18" i="13" a="1"/>
  <c r="D19" i="13" a="1"/>
  <c r="D18" i="13" a="1"/>
  <c r="C19" i="13"/>
  <c r="C18" i="13"/>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B8" i="13"/>
  <c r="B2" i="13" a="1"/>
  <c r="D5" i="9"/>
  <c r="D4" i="9"/>
  <c r="C3" i="12"/>
  <c r="C42" i="12"/>
  <c r="C45" i="12"/>
  <c r="C46" i="12"/>
  <c r="C48" i="12"/>
  <c r="C51" i="12"/>
  <c r="C52" i="12"/>
  <c r="C54" i="12"/>
  <c r="C56" i="12"/>
  <c r="C58" i="12"/>
  <c r="C60" i="12"/>
  <c r="C2"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3" i="12"/>
  <c r="C44" i="12"/>
  <c r="C47" i="12"/>
  <c r="C49" i="12"/>
  <c r="C50" i="12"/>
  <c r="C53" i="12"/>
  <c r="C55" i="12"/>
  <c r="C57" i="12"/>
  <c r="C59" i="12"/>
  <c r="C61" i="12"/>
  <c r="D19" i="9" a="1"/>
  <c r="D17" i="9" a="1"/>
  <c r="D18" i="9" a="1"/>
  <c r="D1" i="9"/>
  <c r="C9" i="9"/>
  <c r="K267" i="1" l="1" a="1"/>
  <c r="M267" i="1"/>
  <c r="K124" i="1" a="1"/>
  <c r="M124" i="1"/>
  <c r="K34" i="1" a="1"/>
  <c r="M34" i="1"/>
  <c r="K43" i="1" a="1"/>
  <c r="M43" i="1"/>
  <c r="K63" i="1" a="1"/>
  <c r="M63" i="1"/>
  <c r="K69" i="1" a="1"/>
  <c r="M69" i="1"/>
  <c r="K78" i="1" a="1"/>
  <c r="M78" i="1"/>
  <c r="K86" i="1" a="1"/>
  <c r="M86" i="1"/>
  <c r="K90" i="1" a="1"/>
  <c r="M90" i="1"/>
  <c r="K100" i="1" a="1"/>
  <c r="M100" i="1"/>
  <c r="K128" i="1" a="1"/>
  <c r="M128" i="1"/>
  <c r="K164" i="1" a="1"/>
  <c r="M164" i="1"/>
  <c r="K172" i="1" a="1"/>
  <c r="M172" i="1"/>
  <c r="K176" i="1" a="1"/>
  <c r="M176" i="1"/>
  <c r="K178" i="1" a="1"/>
  <c r="M178" i="1"/>
  <c r="K180" i="1" a="1"/>
  <c r="M180" i="1"/>
  <c r="K205" i="1" a="1"/>
  <c r="M205" i="1"/>
  <c r="K207" i="1" a="1"/>
  <c r="M207" i="1"/>
  <c r="K213" i="1" a="1"/>
  <c r="M213" i="1"/>
  <c r="K215" i="1" a="1"/>
  <c r="M215" i="1"/>
  <c r="K254" i="1" a="1"/>
  <c r="M254" i="1"/>
  <c r="K257" i="1" a="1"/>
  <c r="M257" i="1"/>
  <c r="K260" i="1" a="1"/>
  <c r="M260" i="1"/>
  <c r="K284" i="1" a="1"/>
  <c r="M284" i="1"/>
  <c r="K285" i="1" a="1"/>
  <c r="M285" i="1"/>
  <c r="K94" i="1" a="1"/>
  <c r="M94" i="1"/>
  <c r="K96" i="1" a="1"/>
  <c r="M96" i="1"/>
  <c r="K118" i="1" a="1"/>
  <c r="M118" i="1"/>
  <c r="K195" i="1" a="1"/>
  <c r="M195" i="1"/>
  <c r="K199" i="1" a="1"/>
  <c r="M199" i="1"/>
  <c r="K270" i="1" a="1"/>
  <c r="M270" i="1"/>
  <c r="K271" i="1" a="1"/>
  <c r="M271" i="1"/>
  <c r="K273" i="1" a="1"/>
  <c r="M273" i="1"/>
  <c r="K312" i="1" a="1"/>
  <c r="M312" i="1"/>
  <c r="K343" i="1" a="1"/>
  <c r="M343" i="1"/>
  <c r="K276" i="1" a="1"/>
  <c r="M276" i="1"/>
  <c r="K53" i="1" a="1"/>
  <c r="M53" i="1"/>
  <c r="K126" i="1" a="1"/>
  <c r="M126" i="1"/>
  <c r="K184" i="1" a="1"/>
  <c r="M184" i="1"/>
  <c r="K240" i="1" a="1"/>
  <c r="M240" i="1"/>
  <c r="K342" i="1" a="1"/>
  <c r="M342" i="1"/>
  <c r="K114" i="1" a="1"/>
  <c r="M114" i="1"/>
  <c r="K122" i="1" a="1"/>
  <c r="M122" i="1"/>
  <c r="K185" i="1" a="1"/>
  <c r="M185" i="1"/>
  <c r="K189" i="1" a="1"/>
  <c r="M189" i="1"/>
  <c r="K214" i="1" a="1"/>
  <c r="M214" i="1"/>
  <c r="K216" i="1" a="1"/>
  <c r="M216" i="1"/>
  <c r="K286" i="1" a="1"/>
  <c r="M286" i="1"/>
  <c r="K323" i="1" a="1"/>
  <c r="M323" i="1"/>
  <c r="K70" i="1" a="1"/>
  <c r="M70" i="1"/>
  <c r="K72" i="1" a="1"/>
  <c r="M72" i="1"/>
  <c r="K123" i="1" a="1"/>
  <c r="M123" i="1"/>
  <c r="K125" i="1" a="1"/>
  <c r="M125" i="1"/>
  <c r="K255" i="1" a="1"/>
  <c r="M255" i="1"/>
  <c r="K258" i="1" a="1"/>
  <c r="M258" i="1"/>
  <c r="K76" i="1" a="1"/>
  <c r="M76" i="1"/>
  <c r="K80" i="1" a="1"/>
  <c r="M80" i="1"/>
  <c r="K88" i="1" a="1"/>
  <c r="M88" i="1"/>
  <c r="K121" i="1" a="1"/>
  <c r="M121" i="1"/>
  <c r="K127" i="1" a="1"/>
  <c r="M127" i="1"/>
  <c r="K55" i="1" a="1"/>
  <c r="M55" i="1"/>
  <c r="K361" i="1" a="1"/>
  <c r="M361" i="1"/>
  <c r="K170" i="1" a="1"/>
  <c r="M170" i="1"/>
  <c r="K186" i="1" a="1"/>
  <c r="M186" i="1"/>
  <c r="K27" i="1" a="1"/>
  <c r="M27" i="1"/>
  <c r="K45" i="1" a="1"/>
  <c r="M45" i="1"/>
  <c r="K49" i="1" a="1"/>
  <c r="M49" i="1"/>
  <c r="K166" i="1" a="1"/>
  <c r="M166" i="1"/>
  <c r="K190" i="1" a="1"/>
  <c r="M190" i="1"/>
  <c r="K197" i="1" a="1"/>
  <c r="M197" i="1"/>
  <c r="K241" i="1" a="1"/>
  <c r="M241" i="1"/>
  <c r="K256" i="1" a="1"/>
  <c r="M256" i="1"/>
  <c r="K261" i="1" a="1"/>
  <c r="M261" i="1"/>
  <c r="K283" i="1" a="1"/>
  <c r="M283" i="1"/>
  <c r="K182" i="1" a="1"/>
  <c r="M182" i="1"/>
  <c r="K192" i="1" a="1"/>
  <c r="M192" i="1"/>
  <c r="K84" i="1" a="1"/>
  <c r="M84" i="1"/>
  <c r="K102" i="1" a="1"/>
  <c r="M102" i="1"/>
  <c r="K194" i="1" a="1"/>
  <c r="M194" i="1"/>
  <c r="K259" i="1" a="1"/>
  <c r="M259" i="1"/>
  <c r="K281" i="1" a="1"/>
  <c r="M281" i="1"/>
  <c r="K108" i="1" a="1"/>
  <c r="M108" i="1"/>
  <c r="K112" i="1" a="1"/>
  <c r="M112" i="1"/>
  <c r="K116" i="1" a="1"/>
  <c r="M116" i="1"/>
  <c r="K130" i="1" a="1"/>
  <c r="M130" i="1"/>
  <c r="K132" i="1" a="1"/>
  <c r="M132" i="1"/>
  <c r="K133" i="1" a="1"/>
  <c r="M133" i="1"/>
  <c r="K134" i="1" a="1"/>
  <c r="M134" i="1"/>
  <c r="K136" i="1" a="1"/>
  <c r="M136" i="1"/>
  <c r="K137" i="1" a="1"/>
  <c r="M137" i="1"/>
  <c r="K138" i="1" a="1"/>
  <c r="M138" i="1"/>
  <c r="K140" i="1" a="1"/>
  <c r="M140" i="1"/>
  <c r="K141" i="1" a="1"/>
  <c r="M141" i="1"/>
  <c r="K142" i="1" a="1"/>
  <c r="M142" i="1"/>
  <c r="K143" i="1" a="1"/>
  <c r="M143" i="1"/>
  <c r="K146" i="1" a="1"/>
  <c r="M146" i="1"/>
  <c r="K147" i="1" a="1"/>
  <c r="M147" i="1"/>
  <c r="K148" i="1" a="1"/>
  <c r="M148" i="1"/>
  <c r="K149" i="1" a="1"/>
  <c r="M149" i="1"/>
  <c r="K150" i="1" a="1"/>
  <c r="M150" i="1"/>
  <c r="K151" i="1" a="1"/>
  <c r="M151" i="1"/>
  <c r="K152" i="1" a="1"/>
  <c r="M152" i="1"/>
  <c r="K153" i="1" a="1"/>
  <c r="M153" i="1"/>
  <c r="K154" i="1" a="1"/>
  <c r="M154" i="1"/>
  <c r="K155" i="1" a="1"/>
  <c r="M155" i="1"/>
  <c r="K156" i="1" a="1"/>
  <c r="M156" i="1"/>
  <c r="K157" i="1" a="1"/>
  <c r="M157" i="1"/>
  <c r="K158" i="1" a="1"/>
  <c r="M158" i="1"/>
  <c r="K159" i="1" a="1"/>
  <c r="M159" i="1"/>
  <c r="K196" i="1" a="1"/>
  <c r="M196" i="1"/>
  <c r="K198" i="1" a="1"/>
  <c r="M198" i="1"/>
  <c r="K200" i="1" a="1"/>
  <c r="M200" i="1"/>
  <c r="K204" i="1" a="1"/>
  <c r="M204" i="1"/>
  <c r="K206" i="1" a="1"/>
  <c r="M206" i="1"/>
  <c r="K210" i="1" a="1"/>
  <c r="M210" i="1"/>
  <c r="K211" i="1" a="1"/>
  <c r="M211" i="1"/>
  <c r="K212" i="1" a="1"/>
  <c r="M212" i="1"/>
  <c r="K217" i="1" a="1"/>
  <c r="M217" i="1"/>
  <c r="K218" i="1" a="1"/>
  <c r="M218" i="1"/>
  <c r="K221" i="1" a="1"/>
  <c r="M221" i="1"/>
  <c r="K224" i="1" a="1"/>
  <c r="M224" i="1"/>
  <c r="K227" i="1" a="1"/>
  <c r="M227" i="1"/>
  <c r="K231" i="1" a="1"/>
  <c r="M231" i="1"/>
  <c r="K233" i="1" a="1"/>
  <c r="M233" i="1"/>
  <c r="K237" i="1" a="1"/>
  <c r="M237" i="1"/>
  <c r="K239" i="1" a="1"/>
  <c r="M239" i="1"/>
  <c r="K242" i="1" a="1"/>
  <c r="M242" i="1"/>
  <c r="K243" i="1" a="1"/>
  <c r="M243" i="1"/>
  <c r="K244" i="1" a="1"/>
  <c r="M244" i="1"/>
  <c r="K245" i="1" a="1"/>
  <c r="M245" i="1"/>
  <c r="K246" i="1" a="1"/>
  <c r="M246" i="1"/>
  <c r="K248" i="1" a="1"/>
  <c r="M248" i="1"/>
  <c r="K249" i="1" a="1"/>
  <c r="M249" i="1"/>
  <c r="K251" i="1" a="1"/>
  <c r="M251" i="1"/>
  <c r="K253" i="1" a="1"/>
  <c r="M253" i="1"/>
  <c r="K287" i="1" a="1"/>
  <c r="M287" i="1"/>
  <c r="K288" i="1" a="1"/>
  <c r="M288" i="1"/>
  <c r="K289" i="1" a="1"/>
  <c r="M289" i="1"/>
  <c r="K290" i="1" a="1"/>
  <c r="M290" i="1"/>
  <c r="K300" i="1" a="1"/>
  <c r="M300" i="1"/>
  <c r="K301" i="1" a="1"/>
  <c r="M301" i="1"/>
  <c r="K302" i="1" a="1"/>
  <c r="M302" i="1"/>
  <c r="K309" i="1" a="1"/>
  <c r="M309" i="1"/>
  <c r="K310" i="1" a="1"/>
  <c r="M310" i="1"/>
  <c r="K318" i="1" a="1"/>
  <c r="M318" i="1"/>
  <c r="K319" i="1" a="1"/>
  <c r="M319" i="1"/>
  <c r="K320" i="1" a="1"/>
  <c r="M320" i="1"/>
  <c r="K330" i="1" a="1"/>
  <c r="M330" i="1"/>
  <c r="K331" i="1" a="1"/>
  <c r="M331" i="1"/>
  <c r="K332" i="1" a="1"/>
  <c r="M332" i="1"/>
  <c r="K339" i="1" a="1"/>
  <c r="M339" i="1"/>
  <c r="K340" i="1" a="1"/>
  <c r="M340" i="1"/>
  <c r="K341" i="1" a="1"/>
  <c r="M341" i="1"/>
  <c r="K349" i="1" a="1"/>
  <c r="M349" i="1"/>
  <c r="K350" i="1" a="1"/>
  <c r="M350" i="1"/>
  <c r="K351" i="1" a="1"/>
  <c r="M351" i="1"/>
  <c r="K359" i="1" a="1"/>
  <c r="M359" i="1"/>
  <c r="K73" i="1" a="1"/>
  <c r="M73" i="1"/>
  <c r="K275" i="1" a="1"/>
  <c r="M275" i="1"/>
  <c r="K162" i="1" a="1"/>
  <c r="M162" i="1"/>
  <c r="K188" i="1" a="1"/>
  <c r="M188" i="1"/>
  <c r="K223" i="1" a="1"/>
  <c r="M223" i="1"/>
  <c r="K6" i="1" a="1"/>
  <c r="M6" i="1"/>
  <c r="K75" i="1" a="1"/>
  <c r="M75" i="1"/>
  <c r="K77" i="1" a="1"/>
  <c r="M77" i="1"/>
  <c r="K81" i="1" a="1"/>
  <c r="M81" i="1"/>
  <c r="K85" i="1" a="1"/>
  <c r="M85" i="1"/>
  <c r="K87" i="1" a="1"/>
  <c r="M87" i="1"/>
  <c r="K89" i="1" a="1"/>
  <c r="M89" i="1"/>
  <c r="K95" i="1" a="1"/>
  <c r="M95" i="1"/>
  <c r="K97" i="1" a="1"/>
  <c r="M97" i="1"/>
  <c r="K99" i="1" a="1"/>
  <c r="M99" i="1"/>
  <c r="K101" i="1" a="1"/>
  <c r="M101" i="1"/>
  <c r="K111" i="1" a="1"/>
  <c r="M111" i="1"/>
  <c r="K115" i="1" a="1"/>
  <c r="M115" i="1"/>
  <c r="K117" i="1" a="1"/>
  <c r="M117" i="1"/>
  <c r="K129" i="1" a="1"/>
  <c r="M129" i="1"/>
  <c r="K131" i="1" a="1"/>
  <c r="M131" i="1"/>
  <c r="K163" i="1" a="1"/>
  <c r="M163" i="1"/>
  <c r="K169" i="1" a="1"/>
  <c r="M169" i="1"/>
  <c r="K171" i="1" a="1"/>
  <c r="M171" i="1"/>
  <c r="K177" i="1" a="1"/>
  <c r="M177" i="1"/>
  <c r="K226" i="1" a="1"/>
  <c r="M226" i="1"/>
  <c r="K228" i="1" a="1"/>
  <c r="M228" i="1"/>
  <c r="K230" i="1" a="1"/>
  <c r="M230" i="1"/>
  <c r="K232" i="1" a="1"/>
  <c r="M232" i="1"/>
  <c r="K234" i="1" a="1"/>
  <c r="M234" i="1"/>
  <c r="K13" i="1" a="1"/>
  <c r="M13" i="1"/>
  <c r="K20" i="1" a="1"/>
  <c r="M20" i="1"/>
  <c r="K79" i="1" a="1"/>
  <c r="M79" i="1"/>
  <c r="K91" i="1" a="1"/>
  <c r="M91" i="1"/>
  <c r="K93" i="1" a="1"/>
  <c r="M93" i="1"/>
  <c r="K107" i="1" a="1"/>
  <c r="M107" i="1"/>
  <c r="K109" i="1" a="1"/>
  <c r="M109" i="1"/>
  <c r="K113" i="1" a="1"/>
  <c r="M113" i="1"/>
  <c r="K165" i="1" a="1"/>
  <c r="M165" i="1"/>
  <c r="K175" i="1" a="1"/>
  <c r="M175" i="1"/>
  <c r="K179" i="1" a="1"/>
  <c r="M179" i="1"/>
  <c r="K208" i="1" a="1"/>
  <c r="M208" i="1"/>
  <c r="K209" i="1" a="1"/>
  <c r="M209" i="1"/>
  <c r="K220" i="1" a="1"/>
  <c r="M220" i="1"/>
  <c r="K250" i="1" a="1"/>
  <c r="M250" i="1"/>
  <c r="K252" i="1" a="1"/>
  <c r="M252" i="1"/>
  <c r="K262" i="1" a="1"/>
  <c r="M262" i="1"/>
  <c r="K263" i="1" a="1"/>
  <c r="M263" i="1"/>
  <c r="K264" i="1" a="1"/>
  <c r="M264" i="1"/>
  <c r="K265" i="1" a="1"/>
  <c r="M265" i="1"/>
  <c r="K266" i="1" a="1"/>
  <c r="M266" i="1"/>
  <c r="K268" i="1" a="1"/>
  <c r="M268" i="1"/>
  <c r="K269" i="1" a="1"/>
  <c r="M269" i="1"/>
  <c r="K272" i="1" a="1"/>
  <c r="M272" i="1"/>
  <c r="K277" i="1" a="1"/>
  <c r="M277" i="1"/>
  <c r="K278" i="1" a="1"/>
  <c r="M278" i="1"/>
  <c r="K279" i="1" a="1"/>
  <c r="M279" i="1"/>
  <c r="K291" i="1" a="1"/>
  <c r="M291" i="1"/>
  <c r="K293" i="1" a="1"/>
  <c r="M293" i="1"/>
  <c r="K294" i="1" a="1"/>
  <c r="M294" i="1"/>
  <c r="K296" i="1" a="1"/>
  <c r="M296" i="1"/>
  <c r="K297" i="1" a="1"/>
  <c r="M297" i="1"/>
  <c r="K304" i="1" a="1"/>
  <c r="M304" i="1"/>
  <c r="K306" i="1" a="1"/>
  <c r="M306" i="1"/>
  <c r="K307" i="1" a="1"/>
  <c r="M307" i="1"/>
  <c r="K308" i="1" a="1"/>
  <c r="M308" i="1"/>
  <c r="K311" i="1" a="1"/>
  <c r="M311" i="1"/>
  <c r="K313" i="1" a="1"/>
  <c r="M313" i="1"/>
  <c r="K316" i="1" a="1"/>
  <c r="M316" i="1"/>
  <c r="K322" i="1" a="1"/>
  <c r="M322" i="1"/>
  <c r="K324" i="1" a="1"/>
  <c r="M324" i="1"/>
  <c r="K325" i="1" a="1"/>
  <c r="M325" i="1"/>
  <c r="K328" i="1" a="1"/>
  <c r="M328" i="1"/>
  <c r="K333" i="1" a="1"/>
  <c r="M333" i="1"/>
  <c r="K334" i="1" a="1"/>
  <c r="M334" i="1"/>
  <c r="K335" i="1" a="1"/>
  <c r="M335" i="1"/>
  <c r="K336" i="1" a="1"/>
  <c r="M336" i="1"/>
  <c r="K337" i="1" a="1"/>
  <c r="M337" i="1"/>
  <c r="K345" i="1" a="1"/>
  <c r="M345" i="1"/>
  <c r="K346" i="1" a="1"/>
  <c r="M346" i="1"/>
  <c r="K347" i="1" a="1"/>
  <c r="M347" i="1"/>
  <c r="K348" i="1" a="1"/>
  <c r="M348" i="1"/>
  <c r="K353" i="1" a="1"/>
  <c r="M353" i="1"/>
  <c r="K355" i="1" a="1"/>
  <c r="M355" i="1"/>
  <c r="K356" i="1" a="1"/>
  <c r="M356" i="1"/>
  <c r="K357" i="1" a="1"/>
  <c r="M357" i="1"/>
  <c r="K358" i="1" a="1"/>
  <c r="M358" i="1"/>
  <c r="K14" i="1" a="1"/>
  <c r="M14" i="1"/>
  <c r="K15" i="1" a="1"/>
  <c r="M15" i="1"/>
  <c r="K16" i="1" a="1"/>
  <c r="M16" i="1"/>
  <c r="K17" i="1" a="1"/>
  <c r="M17" i="1"/>
  <c r="K19" i="1" a="1"/>
  <c r="M19" i="1"/>
  <c r="K28" i="1" a="1"/>
  <c r="M28" i="1"/>
  <c r="K29" i="1" a="1"/>
  <c r="M29" i="1"/>
  <c r="K39" i="1" a="1"/>
  <c r="M39" i="1"/>
  <c r="K48" i="1" a="1"/>
  <c r="M48" i="1"/>
  <c r="K56" i="1" a="1"/>
  <c r="M56" i="1"/>
  <c r="K57" i="1" a="1"/>
  <c r="M57" i="1"/>
  <c r="K58" i="1" a="1"/>
  <c r="M58" i="1"/>
  <c r="K8" i="1" a="1"/>
  <c r="M8" i="1"/>
  <c r="K9" i="1" a="1"/>
  <c r="M9" i="1"/>
  <c r="K10" i="1" a="1"/>
  <c r="M10" i="1"/>
  <c r="K11" i="1" a="1"/>
  <c r="M11" i="1"/>
  <c r="K21" i="1" a="1"/>
  <c r="M21" i="1"/>
  <c r="K22" i="1" a="1"/>
  <c r="M22" i="1"/>
  <c r="K23" i="1" a="1"/>
  <c r="M23" i="1"/>
  <c r="K24" i="1" a="1"/>
  <c r="M24" i="1"/>
  <c r="K31" i="1" a="1"/>
  <c r="M31" i="1"/>
  <c r="K32" i="1" a="1"/>
  <c r="M32" i="1"/>
  <c r="K33" i="1" a="1"/>
  <c r="M33" i="1"/>
  <c r="K35" i="1" a="1"/>
  <c r="M35" i="1"/>
  <c r="K36" i="1" a="1"/>
  <c r="M36" i="1"/>
  <c r="K37" i="1" a="1"/>
  <c r="M37" i="1"/>
  <c r="K41" i="1" a="1"/>
  <c r="M41" i="1"/>
  <c r="K42" i="1" a="1"/>
  <c r="M42" i="1"/>
  <c r="K46" i="1" a="1"/>
  <c r="M46" i="1"/>
  <c r="K50" i="1" a="1"/>
  <c r="M50" i="1"/>
  <c r="K51" i="1" a="1"/>
  <c r="M51" i="1"/>
  <c r="K52" i="1" a="1"/>
  <c r="M52" i="1"/>
  <c r="K60" i="1" a="1"/>
  <c r="M60" i="1"/>
  <c r="K61" i="1" a="1"/>
  <c r="M61" i="1"/>
  <c r="K62" i="1" a="1"/>
  <c r="M62" i="1"/>
  <c r="K66" i="1" a="1"/>
  <c r="M66" i="1"/>
  <c r="K67" i="1" a="1"/>
  <c r="M67" i="1"/>
  <c r="K68" i="1" a="1"/>
  <c r="M68" i="1"/>
  <c r="K3" i="1" a="1"/>
  <c r="M3" i="1"/>
  <c r="K4" i="1" a="1"/>
  <c r="M4" i="1"/>
  <c r="K2" i="1" a="1"/>
  <c r="M2" i="1"/>
  <c r="B12" i="13" a="1"/>
  <c r="C20" i="13"/>
  <c r="F20" i="13"/>
  <c r="E20" i="13"/>
  <c r="D20" i="13"/>
  <c r="H19" i="13"/>
  <c r="H18" i="13"/>
  <c r="G19" i="13" a="1"/>
  <c r="G18" i="13" a="1"/>
  <c r="B11" i="13"/>
  <c r="C5" i="13"/>
  <c r="G4" i="9"/>
  <c r="G20" i="13" l="1"/>
  <c r="H20"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8CBAA0-C7C0-4B24-BACA-5D686DE38B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41DC9A-F77A-4BF1-B148-D0FBCD193A16}" name="WorksheetConnection_Shibipatel_Day_6.xlsx!OrderLines" type="102" refreshedVersion="8" minRefreshableVersion="5">
    <extLst>
      <ext xmlns:x15="http://schemas.microsoft.com/office/spreadsheetml/2010/11/main" uri="{DE250136-89BD-433C-8126-D09CA5730AF9}">
        <x15:connection id="OrderLines" autoDelete="1">
          <x15:rangePr sourceName="_xlcn.WorksheetConnection_Shibipatel_Day_6.xlsxOrderLin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<sst xmlns="http://schemas.openxmlformats.org/spreadsheetml/2006/main" count="4818" uniqueCount="627">
  <si>
    <t>OrderID</t>
  </si>
  <si>
    <t>OrderDateTime</t>
  </si>
  <si>
    <t>Branch</t>
  </si>
  <si>
    <t>CustomerType</t>
  </si>
  <si>
    <t>PaymentType</t>
  </si>
  <si>
    <t>Shift</t>
  </si>
  <si>
    <t>StaffID</t>
  </si>
  <si>
    <t>DiscountPct</t>
  </si>
  <si>
    <t>O00001</t>
  </si>
  <si>
    <t>Head Office Café</t>
  </si>
  <si>
    <t>Visitor</t>
  </si>
  <si>
    <t>UPI</t>
  </si>
  <si>
    <t>Breakfast</t>
  </si>
  <si>
    <t>E016</t>
  </si>
  <si>
    <t>O00002</t>
  </si>
  <si>
    <t>Plant 2 Canteen</t>
  </si>
  <si>
    <t>Staff</t>
  </si>
  <si>
    <t>Cash</t>
  </si>
  <si>
    <t>Dinner</t>
  </si>
  <si>
    <t>E004</t>
  </si>
  <si>
    <t>O00003</t>
  </si>
  <si>
    <t>Card</t>
  </si>
  <si>
    <t>Lunch</t>
  </si>
  <si>
    <t>E014</t>
  </si>
  <si>
    <t>O00004</t>
  </si>
  <si>
    <t>O00005</t>
  </si>
  <si>
    <t>O00006</t>
  </si>
  <si>
    <t>Plant 1 Canteen</t>
  </si>
  <si>
    <t>Worker</t>
  </si>
  <si>
    <t>E015</t>
  </si>
  <si>
    <t>O00007</t>
  </si>
  <si>
    <t>O00008</t>
  </si>
  <si>
    <t>O00009</t>
  </si>
  <si>
    <t>E003</t>
  </si>
  <si>
    <t>O00010</t>
  </si>
  <si>
    <t>O00011</t>
  </si>
  <si>
    <t>E013</t>
  </si>
  <si>
    <t>O00012</t>
  </si>
  <si>
    <t>E010</t>
  </si>
  <si>
    <t>O00013</t>
  </si>
  <si>
    <t>O00014</t>
  </si>
  <si>
    <t>E002</t>
  </si>
  <si>
    <t>O00015</t>
  </si>
  <si>
    <t>E011</t>
  </si>
  <si>
    <t>O00016</t>
  </si>
  <si>
    <t>E017</t>
  </si>
  <si>
    <t>O00017</t>
  </si>
  <si>
    <t>O00018</t>
  </si>
  <si>
    <t>E008</t>
  </si>
  <si>
    <t>O00019</t>
  </si>
  <si>
    <t>O00020</t>
  </si>
  <si>
    <t>O00021</t>
  </si>
  <si>
    <t>O00022</t>
  </si>
  <si>
    <t>O00023</t>
  </si>
  <si>
    <t>O00024</t>
  </si>
  <si>
    <t>E007</t>
  </si>
  <si>
    <t>O00025</t>
  </si>
  <si>
    <t>O00026</t>
  </si>
  <si>
    <t>O00027</t>
  </si>
  <si>
    <t>O00028</t>
  </si>
  <si>
    <t>O00029</t>
  </si>
  <si>
    <t>E018</t>
  </si>
  <si>
    <t>O00030</t>
  </si>
  <si>
    <t>O00031</t>
  </si>
  <si>
    <t>E009</t>
  </si>
  <si>
    <t>O00032</t>
  </si>
  <si>
    <t>O00033</t>
  </si>
  <si>
    <t>O00034</t>
  </si>
  <si>
    <t>O00035</t>
  </si>
  <si>
    <t>E001</t>
  </si>
  <si>
    <t>O00036</t>
  </si>
  <si>
    <t>O00037</t>
  </si>
  <si>
    <t>E005</t>
  </si>
  <si>
    <t>O00038</t>
  </si>
  <si>
    <t>E012</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</si>
  <si>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</si>
  <si>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</si>
  <si>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</si>
  <si>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</si>
  <si>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</si>
  <si>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</si>
  <si>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</si>
  <si>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</si>
  <si>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</si>
  <si>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</si>
  <si>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</si>
  <si>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</si>
  <si>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</si>
  <si>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</si>
  <si>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</si>
  <si>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</si>
  <si>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</si>
  <si>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</si>
  <si>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</si>
  <si>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</si>
  <si>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E006</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</si>
  <si>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</si>
  <si>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</si>
  <si>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</si>
  <si>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</si>
  <si>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</si>
  <si>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</si>
  <si>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</si>
  <si>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</si>
  <si>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</si>
  <si>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</si>
  <si>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</si>
  <si>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</si>
  <si>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</si>
  <si>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</si>
  <si>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</si>
  <si>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</si>
  <si>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</si>
  <si>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</si>
  <si>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</si>
  <si>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</si>
  <si>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</si>
  <si>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</si>
  <si>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</si>
  <si>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</si>
  <si>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</si>
  <si>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</si>
  <si>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</si>
  <si>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</si>
  <si>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</si>
  <si>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</si>
  <si>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</si>
  <si>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</si>
  <si>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</si>
  <si>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</si>
  <si>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</si>
  <si>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</si>
  <si>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</si>
  <si>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</si>
  <si>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</si>
  <si>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</si>
  <si>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</si>
  <si>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</si>
  <si>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</si>
  <si>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</si>
  <si>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</si>
  <si>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</si>
  <si>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</si>
  <si>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</si>
  <si>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</si>
  <si>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</si>
  <si>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</si>
  <si>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</si>
  <si>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</si>
  <si>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</si>
  <si>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</si>
  <si>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</si>
  <si>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</si>
  <si>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</si>
  <si>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</si>
  <si>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</si>
  <si>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</si>
  <si>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</si>
  <si>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</si>
  <si>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</si>
  <si>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</si>
  <si>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</si>
  <si>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</si>
  <si>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</si>
  <si>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</si>
  <si>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</si>
  <si>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</si>
  <si>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</si>
  <si>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</si>
  <si>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</si>
  <si>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</si>
  <si>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</si>
  <si>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</si>
  <si>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</si>
  <si>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</si>
  <si>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</si>
  <si>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</si>
  <si>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</si>
  <si>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</si>
  <si>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</si>
  <si>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</si>
  <si>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</si>
  <si>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</si>
  <si>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</si>
  <si>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</si>
  <si>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</si>
  <si>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</si>
  <si>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</si>
  <si>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</si>
  <si>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</si>
  <si>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</si>
  <si>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</si>
  <si>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</si>
  <si>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</si>
  <si>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</si>
  <si>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</si>
  <si>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</si>
  <si>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</si>
  <si>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</si>
  <si>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</si>
  <si>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</si>
  <si>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</si>
  <si>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</si>
  <si>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</si>
  <si>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</si>
  <si>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</si>
  <si>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</si>
  <si>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</si>
  <si>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</si>
  <si>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</si>
  <si>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</si>
  <si>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</si>
  <si>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</si>
  <si>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</si>
  <si>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</si>
  <si>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</si>
  <si>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</si>
  <si>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</si>
  <si>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</si>
  <si>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</si>
  <si>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</si>
  <si>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</si>
  <si>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</si>
  <si>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</si>
  <si>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</si>
  <si>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</si>
  <si>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</si>
  <si>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</si>
  <si>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</si>
  <si>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</si>
  <si>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</si>
  <si>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</si>
  <si>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</si>
  <si>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</si>
  <si>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</si>
  <si>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</si>
  <si>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</si>
  <si>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</si>
  <si>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</si>
  <si>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</si>
  <si>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</si>
  <si>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</si>
  <si>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</si>
  <si>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</si>
  <si>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</si>
  <si>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</si>
  <si>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</si>
  <si>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</si>
  <si>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</si>
  <si>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</si>
  <si>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</si>
  <si>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</si>
  <si>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</si>
  <si>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</si>
  <si>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</si>
  <si>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</si>
  <si>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</si>
  <si>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</si>
  <si>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</si>
  <si>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</si>
  <si>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</si>
  <si>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</si>
  <si>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</si>
  <si>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</si>
  <si>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</si>
  <si>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</si>
  <si>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</si>
  <si>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</si>
  <si>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</si>
  <si>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</si>
  <si>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</si>
  <si>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</si>
  <si>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</si>
  <si>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</si>
  <si>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</si>
  <si>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</si>
  <si>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</si>
  <si>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</si>
  <si>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</si>
  <si>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</si>
  <si>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</si>
  <si>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</si>
  <si>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</si>
  <si>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</si>
  <si>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</si>
  <si>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</si>
  <si>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</si>
  <si>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</si>
  <si>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</si>
  <si>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</si>
  <si>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</si>
  <si>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</si>
  <si>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</si>
  <si>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</si>
  <si>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</si>
  <si>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</si>
  <si>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</si>
  <si>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</si>
  <si>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</si>
  <si>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</si>
  <si>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</si>
  <si>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</si>
  <si>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</si>
  <si>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</si>
  <si>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</si>
  <si>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</si>
  <si>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</si>
  <si>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</si>
  <si>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</si>
  <si>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</si>
  <si>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</si>
  <si>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</si>
  <si>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</si>
  <si>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</si>
  <si>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</si>
  <si>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</si>
  <si>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</si>
  <si>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</si>
  <si>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</si>
  <si>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</si>
  <si>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</si>
  <si>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</si>
  <si>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</si>
  <si>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</si>
  <si>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</si>
  <si>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</si>
  <si>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</si>
  <si>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</si>
  <si>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</si>
  <si>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</si>
  <si>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</si>
  <si>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</si>
  <si>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</si>
  <si>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</si>
  <si>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</si>
  <si>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</si>
  <si>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</si>
  <si>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</si>
  <si>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</si>
  <si>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</si>
  <si>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</si>
  <si>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</si>
  <si>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</si>
  <si>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</si>
  <si>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</si>
  <si>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</si>
  <si>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</si>
  <si>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</si>
  <si>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</si>
  <si>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</si>
  <si>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</si>
  <si>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</si>
  <si>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</si>
  <si>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</si>
  <si>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</si>
  <si>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</si>
  <si>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</si>
  <si>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</si>
  <si>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</si>
  <si>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</si>
  <si>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</si>
  <si>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</si>
  <si>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</si>
  <si>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</si>
  <si>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</si>
  <si>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</si>
  <si>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</si>
  <si>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</si>
  <si>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</si>
  <si>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</si>
  <si>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</si>
  <si>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</si>
  <si>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</si>
  <si>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</si>
  <si>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</si>
  <si>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</si>
  <si>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</si>
  <si>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</si>
  <si>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</si>
  <si>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</si>
  <si>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</si>
  <si>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</si>
  <si>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</si>
  <si>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</si>
  <si>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</si>
  <si>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</si>
  <si>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</si>
  <si>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</si>
  <si>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</si>
  <si>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</si>
  <si>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</si>
  <si>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</si>
  <si>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</si>
  <si>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</si>
  <si>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</si>
  <si>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</si>
  <si>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</si>
  <si>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</si>
  <si>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SKU</t>
  </si>
  <si>
    <t>Qty</t>
  </si>
  <si>
    <t>UnitPrice</t>
  </si>
  <si>
    <t>SHJ7XV</t>
  </si>
  <si>
    <t>BTIQJ7</t>
  </si>
  <si>
    <t>DH9SDB</t>
  </si>
  <si>
    <t>BOC6UZ</t>
  </si>
  <si>
    <t>H3A3ZM</t>
  </si>
  <si>
    <t>SZBIKC</t>
  </si>
  <si>
    <t>HH1DNM</t>
  </si>
  <si>
    <t>SCKW5N</t>
  </si>
  <si>
    <t>B0T0PV</t>
  </si>
  <si>
    <t>BXO6QJ</t>
  </si>
  <si>
    <t>BHL1C3</t>
  </si>
  <si>
    <t>DYTJXE</t>
  </si>
  <si>
    <t>DFFYVN</t>
  </si>
  <si>
    <t>D9T84A</t>
  </si>
  <si>
    <t>HDPBHS</t>
  </si>
  <si>
    <t>HXAJI0</t>
  </si>
  <si>
    <t>HUZZPQ</t>
  </si>
  <si>
    <t>SV30T9</t>
  </si>
  <si>
    <t>S5NQ4F</t>
  </si>
  <si>
    <t>ItemName</t>
  </si>
  <si>
    <t>Category</t>
  </si>
  <si>
    <t>SupplierID</t>
  </si>
  <si>
    <t>UnitCost</t>
  </si>
  <si>
    <t>Veg Thali</t>
  </si>
  <si>
    <t>Hot Meal</t>
  </si>
  <si>
    <t>S009</t>
  </si>
  <si>
    <t>Chicken Thali</t>
  </si>
  <si>
    <t>S001</t>
  </si>
  <si>
    <t>Rajma Chawal</t>
  </si>
  <si>
    <t>S005</t>
  </si>
  <si>
    <t>Paneer Butter Masala + Naan</t>
  </si>
  <si>
    <t>S003</t>
  </si>
  <si>
    <t>Egg Curry + Rice</t>
  </si>
  <si>
    <t>S006</t>
  </si>
  <si>
    <t>Samosa</t>
  </si>
  <si>
    <t>Snack</t>
  </si>
  <si>
    <t>S007</t>
  </si>
  <si>
    <t>Veg Sandwich</t>
  </si>
  <si>
    <t>S004</t>
  </si>
  <si>
    <t>Paneer Roll</t>
  </si>
  <si>
    <t>Masala Puff</t>
  </si>
  <si>
    <t>Poha</t>
  </si>
  <si>
    <t>Tea</t>
  </si>
  <si>
    <t>Beverage</t>
  </si>
  <si>
    <t>Coffee</t>
  </si>
  <si>
    <t>Masala Chaas</t>
  </si>
  <si>
    <t>Nimbu Pani</t>
  </si>
  <si>
    <t>Bottled Water</t>
  </si>
  <si>
    <t>Gulab Jamun (2 pc)</t>
  </si>
  <si>
    <t>Dessert</t>
  </si>
  <si>
    <t>S002</t>
  </si>
  <si>
    <t>Kheer Cup</t>
  </si>
  <si>
    <t>S010</t>
  </si>
  <si>
    <t>Brownie</t>
  </si>
  <si>
    <t>Fruit Cup</t>
  </si>
  <si>
    <t>StaffName</t>
  </si>
  <si>
    <t>Role</t>
  </si>
  <si>
    <t>HourlyRateINR</t>
  </si>
  <si>
    <t>Tarun</t>
  </si>
  <si>
    <t>Cashier</t>
  </si>
  <si>
    <t>Payal</t>
  </si>
  <si>
    <t>Karan</t>
  </si>
  <si>
    <t>Cook</t>
  </si>
  <si>
    <t>Vikram</t>
  </si>
  <si>
    <t>Rina</t>
  </si>
  <si>
    <t>Sanjay</t>
  </si>
  <si>
    <t>Manish</t>
  </si>
  <si>
    <t>Pooja</t>
  </si>
  <si>
    <t>Server</t>
  </si>
  <si>
    <t>Sourav</t>
  </si>
  <si>
    <t>Neha</t>
  </si>
  <si>
    <t>Amit</t>
  </si>
  <si>
    <t>Sneha</t>
  </si>
  <si>
    <t>Iqbal</t>
  </si>
  <si>
    <t>OnHandQty</t>
  </si>
  <si>
    <t>ReorderPoint</t>
  </si>
  <si>
    <t>LeadTimeDays</t>
  </si>
  <si>
    <t>LastRestockDate</t>
  </si>
  <si>
    <t>SupplierName</t>
  </si>
  <si>
    <t>City</t>
  </si>
  <si>
    <t>Phone</t>
  </si>
  <si>
    <t>DailyDairy 1</t>
  </si>
  <si>
    <t>Howrah</t>
  </si>
  <si>
    <t>+91-9624636385</t>
  </si>
  <si>
    <t>BakersHub 2</t>
  </si>
  <si>
    <t>Durgapur</t>
  </si>
  <si>
    <t>+91-9120912992</t>
  </si>
  <si>
    <t>FreshFoods 3</t>
  </si>
  <si>
    <t>+91-9220117054</t>
  </si>
  <si>
    <t>Tea&amp;Co 4</t>
  </si>
  <si>
    <t>Jamshedpur</t>
  </si>
  <si>
    <t>+91-9489747629</t>
  </si>
  <si>
    <t>SpiceRoute 5</t>
  </si>
  <si>
    <t>+91-9992994062</t>
  </si>
  <si>
    <t>DailyDairy 6</t>
  </si>
  <si>
    <t>+91-9966267851</t>
  </si>
  <si>
    <t>SpiceRoute 7</t>
  </si>
  <si>
    <t>+91-9430190783</t>
  </si>
  <si>
    <t>S008</t>
  </si>
  <si>
    <t>AgroDelight 8</t>
  </si>
  <si>
    <t>Kolkata</t>
  </si>
  <si>
    <t>+91-9357109965</t>
  </si>
  <si>
    <t>Tea&amp;Co 9</t>
  </si>
  <si>
    <t>+91-9162196678</t>
  </si>
  <si>
    <t>SpiceRoute 10</t>
  </si>
  <si>
    <t>+91-9358633898</t>
  </si>
  <si>
    <t>Date</t>
  </si>
  <si>
    <t>Reason</t>
  </si>
  <si>
    <t>Spoilage</t>
  </si>
  <si>
    <t>Damaged</t>
  </si>
  <si>
    <t>Expired</t>
  </si>
  <si>
    <t>Overproduction</t>
  </si>
  <si>
    <t>Rating</t>
  </si>
  <si>
    <t>Comment</t>
  </si>
  <si>
    <t>Ok</t>
  </si>
  <si>
    <t>Great staff</t>
  </si>
  <si>
    <t>Good</t>
  </si>
  <si>
    <t>Less spicy</t>
  </si>
  <si>
    <t>Loved chai</t>
  </si>
  <si>
    <t>Crowded</t>
  </si>
  <si>
    <t>Slow service</t>
  </si>
  <si>
    <t>LineNetAmount</t>
  </si>
  <si>
    <t>July revenue</t>
  </si>
  <si>
    <t>August revenue</t>
  </si>
  <si>
    <t>MOM%</t>
  </si>
  <si>
    <t>Line net amount</t>
  </si>
  <si>
    <t>DiscountFlag</t>
  </si>
  <si>
    <t>Combo Flag</t>
  </si>
  <si>
    <t>Grand Total</t>
  </si>
  <si>
    <t>Aug</t>
  </si>
  <si>
    <t>Revenue</t>
  </si>
  <si>
    <t>Quantity</t>
  </si>
  <si>
    <t>Food Cost</t>
  </si>
  <si>
    <t>Month</t>
  </si>
  <si>
    <t>GM%</t>
  </si>
  <si>
    <t>Avg Feedback Rating</t>
  </si>
  <si>
    <t>Avg waste cost</t>
  </si>
  <si>
    <t>Waste cost</t>
  </si>
  <si>
    <t>combo order as % of all order</t>
  </si>
  <si>
    <t>avg tkt size</t>
  </si>
  <si>
    <t>total combo orders</t>
  </si>
  <si>
    <t>all orders</t>
  </si>
  <si>
    <t>Row Labels</t>
  </si>
  <si>
    <t>Combo</t>
  </si>
  <si>
    <t>Single</t>
  </si>
  <si>
    <t>Column Labels</t>
  </si>
  <si>
    <t>Distinct Count of OrderID</t>
  </si>
  <si>
    <t>Gross Profit</t>
  </si>
  <si>
    <t>combo profit</t>
  </si>
  <si>
    <t>avg gp/combo order</t>
  </si>
  <si>
    <t>Combo flag</t>
  </si>
  <si>
    <t>combo rev</t>
  </si>
  <si>
    <t>total rev</t>
  </si>
  <si>
    <t>orderid count</t>
  </si>
  <si>
    <t>avg gp</t>
  </si>
  <si>
    <r>
      <t>Gross margin</t>
    </r>
    <r>
      <rPr>
        <strike/>
        <sz val="11"/>
        <color theme="1"/>
        <rFont val="Calibri"/>
        <family val="2"/>
        <scheme val="minor"/>
      </rPr>
      <t>%</t>
    </r>
  </si>
  <si>
    <t>Gap</t>
  </si>
  <si>
    <t>avg total foodcost</t>
  </si>
  <si>
    <t>Sum of Food Cost</t>
  </si>
  <si>
    <t>Sum of LineNetAmount</t>
  </si>
  <si>
    <t>Sum of Gross Profit</t>
  </si>
  <si>
    <t>gm%</t>
  </si>
  <si>
    <t>Item category</t>
  </si>
  <si>
    <t>Beverage+Dessert</t>
  </si>
  <si>
    <t>Beverage+Hot Meal+Snack</t>
  </si>
  <si>
    <t>Beverage+Snack</t>
  </si>
  <si>
    <t>Beverage+Hot Meal</t>
  </si>
  <si>
    <t>Dessert+Hot Meal+Snack</t>
  </si>
  <si>
    <t>Beverage+Dessert+Hot Meal+Snack</t>
  </si>
  <si>
    <t>Dessert+Snack</t>
  </si>
  <si>
    <t>Beverage+Dessert+Hot Meal</t>
  </si>
  <si>
    <t>Hot Meal+Snack</t>
  </si>
  <si>
    <t>Beverage+Dessert+Snack</t>
  </si>
  <si>
    <t>Dessert+Hot Meal</t>
  </si>
  <si>
    <t>Combo Orders %</t>
  </si>
  <si>
    <t>Avg Ticket Size</t>
  </si>
  <si>
    <t>Avg Gross Profit/Combo</t>
  </si>
  <si>
    <t>Combo Orders</t>
  </si>
  <si>
    <t>Total Orders</t>
  </si>
  <si>
    <t>Categories Combination</t>
  </si>
  <si>
    <t>Orders</t>
  </si>
  <si>
    <t>Avg Tkt Size</t>
  </si>
  <si>
    <t>Avg Food Cost</t>
  </si>
  <si>
    <t>Avg Gross Profit</t>
  </si>
  <si>
    <t>Discount %</t>
  </si>
  <si>
    <t>Net selling price</t>
  </si>
  <si>
    <t>food cost</t>
  </si>
  <si>
    <t>gross profit</t>
  </si>
  <si>
    <t>Bev stock</t>
  </si>
  <si>
    <t>SELECT A HOT MEAL</t>
  </si>
  <si>
    <t>SELECT A BEVERAGE</t>
  </si>
  <si>
    <t>ENTER A DISCOUNT%</t>
  </si>
  <si>
    <t>FOOD COST</t>
  </si>
  <si>
    <t>NET SELLING PRICE</t>
  </si>
  <si>
    <t>GROSS PROFIT</t>
  </si>
  <si>
    <t>CURRENT BEVERAGE STOCK</t>
  </si>
  <si>
    <t>GROSS MARGIN%</t>
  </si>
  <si>
    <t>Gross Margin%</t>
  </si>
  <si>
    <t>INTERACTIVE PROFITABILITY SIMULATOR</t>
  </si>
  <si>
    <t>FOOD &amp; BEVERAGE BUSINESS PERFORMANCE DASHBOARD  (JULY-AUGUST 2025)</t>
  </si>
  <si>
    <t>Jul</t>
  </si>
  <si>
    <t>Sum of Revenue</t>
  </si>
  <si>
    <t>Sum of Revenue2</t>
  </si>
  <si>
    <t>(All)</t>
  </si>
  <si>
    <t>Count of OrderID</t>
  </si>
  <si>
    <t>has beverage</t>
  </si>
  <si>
    <t>yes</t>
  </si>
  <si>
    <t>Average of Revenue</t>
  </si>
  <si>
    <t>combo flag</t>
  </si>
  <si>
    <t>Values</t>
  </si>
  <si>
    <t>new kpis</t>
  </si>
  <si>
    <t>disc</t>
  </si>
  <si>
    <t>combo</t>
  </si>
  <si>
    <t>single</t>
  </si>
  <si>
    <t>total cost</t>
  </si>
  <si>
    <t>profit</t>
  </si>
  <si>
    <t>Average of profit</t>
  </si>
  <si>
    <t>Average of total cost</t>
  </si>
  <si>
    <t>Sum of gm%</t>
  </si>
  <si>
    <t>Item list</t>
  </si>
  <si>
    <t>Count of Item list</t>
  </si>
  <si>
    <t>Avg Revenue</t>
  </si>
  <si>
    <t>Avg Cost</t>
  </si>
  <si>
    <t>Avg Profit</t>
  </si>
  <si>
    <t>Difference %</t>
  </si>
  <si>
    <t>Combo Vs 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</si>
</sst>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
    <numFmt numFmtId="165" formatCode="yyyy\-mm\-dd"/>
    <numFmt numFmtId="166" formatCode="&quot;$&quot;#,##0.00"/>
    <numFmt numFmtId="167" formatCode="0.0%"/>
  </numFmts>
  <fonts count="18"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12"/>
      <color rgb="FF00B050"/>
      <name val="Calibri"/>
      <family val="2"/>
      <scheme val="minor"/>
    </font>
    <font>
      <sz val="8"/>
      <name val="Calibri"/>
      <family val="2"/>
      <scheme val="minor"/>
    </font>
    <font>
      <b/>
      <sz val="11"/>
      <color rgb="FFFF0000"/>
      <name val="Calibri"/>
      <family val="2"/>
      <scheme val="minor"/>
    </font>
    <font>
      <strike/>
      <sz val="11"/>
      <color theme="1"/>
      <name val="Calibri"/>
      <family val="2"/>
      <scheme val="minor"/>
    </font>
    <font>
      <b/>
      <sz val="14"/>
      <color theme="1"/>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b/>
      <sz val="16"/>
      <color rgb="FFFF0000"/>
      <name val="Calibri"/>
      <family val="2"/>
      <scheme val="minor"/>
    </font>
    <font>
      <b/>
      <sz val="24"/>
      <color rgb="FFFF0000"/>
      <name val="Calibri"/>
      <family val="2"/>
      <scheme val="minor"/>
    </font>
    <font>
      <b/>
      <sz val="20"/>
      <color rgb="FFFF0000"/>
      <name val="Calibri"/>
      <family val="2"/>
      <scheme val="minor"/>
    </font>
    <font>
      <sz val="11"/>
      <color theme="9" tint="0.59999389629810485"/>
      <name val="Calibri"/>
      <family val="2"/>
      <scheme val="minor"/>
    </font>
    <font>
      <b/>
      <sz val="18"/>
      <color theme="1"/>
      <name val="Calibri"/>
      <family val="2"/>
      <scheme val="minor"/>
    </font>
    <font>
      <b/>
      <sz val="22"/>
      <name val="Calibri"/>
      <family val="2"/>
      <scheme val="minor"/>
    </font>
  </fonts>
  <fills count="10">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8" tint="0.79998168889431442"/>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diagonal/>
    </border>
  </borders>
  <cellStyleXfs count="2">
    <xf numFmtId="0" fontId="0" fillId="0" borderId="0"/>
    <xf numFmtId="9" fontId="3" fillId="0" borderId="0" applyFont="0" applyFill="0" applyBorder="0" applyAlignment="0" applyProtection="0"/>
  </cellStyleXfs>
  <cellXfs count="115">
    <xf numFmtId="0" fontId="0" fillId="0" borderId="0" xfId="0"/>
    <xf numFmtId="164" fontId="0" fillId="0" borderId="0" xfId="0" applyNumberFormat="1"/>
    <xf numFmtId="165" fontId="0" fillId="0" borderId="0" xfId="0" applyNumberFormat="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2" fillId="3" borderId="2" xfId="0" applyFont="1" applyFill="1" applyBorder="1" applyAlignment="1">
      <alignment horizontal="center" vertical="top"/>
    </xf>
    <xf numFmtId="0" fontId="0" fillId="4" borderId="0" xfId="0" applyFill="1" applyAlignment="1">
      <alignment horizontal="center"/>
    </xf>
    <xf numFmtId="10" fontId="4" fillId="0" borderId="0" xfId="1" applyNumberFormat="1" applyFont="1"/>
    <xf numFmtId="2" fontId="0" fillId="0" borderId="0" xfId="0" applyNumberFormat="1"/>
    <xf numFmtId="0" fontId="1" fillId="0" borderId="0" xfId="0" applyFont="1"/>
    <xf numFmtId="0" fontId="1" fillId="3" borderId="2" xfId="0" applyFont="1" applyFill="1" applyBorder="1" applyAlignment="1">
      <alignment horizontal="center" vertical="top"/>
    </xf>
    <xf numFmtId="0" fontId="0" fillId="0" borderId="0" xfId="0" pivotButton="1"/>
    <xf numFmtId="10" fontId="0" fillId="0" borderId="0" xfId="0" applyNumberFormat="1"/>
    <xf numFmtId="0" fontId="0" fillId="4" borderId="0" xfId="0" applyFill="1" applyAlignment="1">
      <alignment horizontal="center" vertical="center"/>
    </xf>
    <xf numFmtId="9" fontId="0" fillId="0" borderId="0" xfId="0" applyNumberFormat="1"/>
    <xf numFmtId="0" fontId="0" fillId="0" borderId="1" xfId="0"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0" fontId="0" fillId="0" borderId="0" xfId="0" applyAlignment="1">
      <alignment horizontal="center"/>
    </xf>
    <xf numFmtId="2" fontId="0" fillId="0" borderId="0" xfId="0" applyNumberFormat="1" applyAlignment="1">
      <alignment horizontal="center"/>
    </xf>
    <xf numFmtId="9" fontId="0" fillId="0" borderId="0" xfId="1" applyFont="1"/>
    <xf numFmtId="0" fontId="0" fillId="0" borderId="0" xfId="0" applyAlignment="1">
      <alignment horizontal="left"/>
    </xf>
    <xf numFmtId="10" fontId="0" fillId="0" borderId="0" xfId="1" applyNumberFormat="1" applyFont="1"/>
    <xf numFmtId="0" fontId="0" fillId="5" borderId="0" xfId="0" applyFill="1"/>
    <xf numFmtId="0" fontId="0" fillId="5" borderId="0" xfId="0" applyFill="1" applyAlignment="1">
      <alignment horizontal="center" vertical="center"/>
    </xf>
    <xf numFmtId="166" fontId="0" fillId="0" borderId="0" xfId="0" applyNumberFormat="1"/>
    <xf numFmtId="0" fontId="0" fillId="6" borderId="0" xfId="0" applyFill="1"/>
    <xf numFmtId="0" fontId="9" fillId="0" borderId="0" xfId="0" applyFont="1"/>
    <xf numFmtId="0" fontId="0" fillId="0" borderId="1" xfId="0" applyBorder="1"/>
    <xf numFmtId="0" fontId="0" fillId="6" borderId="1" xfId="0" applyFill="1" applyBorder="1"/>
    <xf numFmtId="0" fontId="9" fillId="0" borderId="1" xfId="0" applyFont="1" applyBorder="1"/>
    <xf numFmtId="10" fontId="0" fillId="0" borderId="1" xfId="1" applyNumberFormat="1" applyFont="1" applyBorder="1"/>
    <xf numFmtId="0" fontId="1" fillId="7" borderId="2" xfId="0" applyFont="1" applyFill="1" applyBorder="1" applyAlignment="1">
      <alignment horizontal="center" vertical="top"/>
    </xf>
    <xf numFmtId="0" fontId="0" fillId="8" borderId="0" xfId="0" applyFill="1"/>
    <xf numFmtId="0" fontId="8" fillId="8" borderId="0" xfId="0" applyFont="1" applyFill="1" applyAlignment="1">
      <alignment horizontal="center" vertical="center"/>
    </xf>
    <xf numFmtId="0" fontId="8" fillId="8" borderId="0" xfId="0" applyFont="1" applyFill="1" applyAlignment="1">
      <alignment horizontal="center"/>
    </xf>
    <xf numFmtId="0" fontId="0" fillId="5" borderId="12" xfId="0" applyFill="1" applyBorder="1"/>
    <xf numFmtId="0" fontId="0" fillId="5" borderId="11" xfId="0" applyFill="1" applyBorder="1"/>
    <xf numFmtId="0" fontId="0" fillId="5" borderId="13" xfId="0" applyFill="1" applyBorder="1"/>
    <xf numFmtId="0" fontId="0" fillId="5" borderId="15" xfId="0" applyFill="1" applyBorder="1"/>
    <xf numFmtId="0" fontId="0" fillId="5" borderId="14" xfId="0" applyFill="1" applyBorder="1"/>
    <xf numFmtId="0" fontId="0" fillId="5" borderId="20" xfId="0" applyFill="1" applyBorder="1"/>
    <xf numFmtId="0" fontId="0" fillId="5" borderId="21" xfId="0" applyFill="1" applyBorder="1"/>
    <xf numFmtId="0" fontId="0" fillId="8" borderId="20" xfId="0" applyFill="1" applyBorder="1"/>
    <xf numFmtId="0" fontId="0" fillId="8" borderId="21" xfId="0" applyFill="1" applyBorder="1"/>
    <xf numFmtId="0" fontId="0" fillId="5" borderId="16" xfId="0" applyFill="1" applyBorder="1"/>
    <xf numFmtId="0" fontId="8" fillId="0" borderId="0" xfId="0" applyFont="1"/>
    <xf numFmtId="0" fontId="13" fillId="6" borderId="6" xfId="0" applyFont="1" applyFill="1" applyBorder="1" applyAlignment="1">
      <alignment horizontal="center" vertical="center"/>
    </xf>
    <xf numFmtId="0" fontId="13" fillId="6" borderId="0" xfId="0" applyFont="1" applyFill="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0" xfId="0" applyFont="1" applyFill="1" applyAlignment="1">
      <alignment horizontal="center" vertical="center"/>
    </xf>
    <xf numFmtId="0" fontId="10" fillId="6" borderId="7" xfId="0" applyFont="1" applyFill="1" applyBorder="1" applyAlignment="1">
      <alignment horizontal="center" vertical="center"/>
    </xf>
    <xf numFmtId="166" fontId="10" fillId="6" borderId="8" xfId="0" applyNumberFormat="1" applyFont="1" applyFill="1" applyBorder="1" applyAlignment="1">
      <alignment horizontal="center"/>
    </xf>
    <xf numFmtId="166" fontId="10" fillId="6" borderId="9" xfId="0" applyNumberFormat="1" applyFont="1" applyFill="1" applyBorder="1" applyAlignment="1">
      <alignment horizontal="center"/>
    </xf>
    <xf numFmtId="166" fontId="10" fillId="6" borderId="10" xfId="0" applyNumberFormat="1" applyFont="1" applyFill="1" applyBorder="1" applyAlignment="1">
      <alignment horizontal="center"/>
    </xf>
    <xf numFmtId="0" fontId="14" fillId="5" borderId="12" xfId="0" applyFont="1" applyFill="1" applyBorder="1" applyAlignment="1">
      <alignment horizontal="center" vertical="center"/>
    </xf>
    <xf numFmtId="0" fontId="12" fillId="5" borderId="11" xfId="0" applyFont="1" applyFill="1" applyBorder="1" applyAlignment="1">
      <alignment horizontal="center" vertical="center"/>
    </xf>
    <xf numFmtId="0" fontId="12" fillId="5" borderId="13"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16" xfId="0" applyFont="1" applyFill="1" applyBorder="1" applyAlignment="1">
      <alignment horizontal="center" vertical="center"/>
    </xf>
    <xf numFmtId="0" fontId="10"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9" fontId="10" fillId="6" borderId="8" xfId="0" applyNumberFormat="1" applyFont="1" applyFill="1" applyBorder="1" applyAlignment="1">
      <alignment horizontal="center"/>
    </xf>
    <xf numFmtId="9" fontId="10" fillId="6" borderId="9" xfId="0" applyNumberFormat="1" applyFont="1" applyFill="1" applyBorder="1" applyAlignment="1">
      <alignment horizontal="center"/>
    </xf>
    <xf numFmtId="9" fontId="10" fillId="6" borderId="10" xfId="0" applyNumberFormat="1" applyFont="1" applyFill="1" applyBorder="1" applyAlignment="1">
      <alignment horizont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xf>
    <xf numFmtId="0" fontId="10" fillId="8" borderId="17" xfId="0" applyFont="1" applyFill="1" applyBorder="1" applyAlignment="1">
      <alignment horizontal="center"/>
    </xf>
    <xf numFmtId="0" fontId="10" fillId="8" borderId="18" xfId="0" applyFont="1" applyFill="1" applyBorder="1" applyAlignment="1">
      <alignment horizontal="center"/>
    </xf>
    <xf numFmtId="0" fontId="10" fillId="8" borderId="19" xfId="0" applyFont="1" applyFill="1" applyBorder="1" applyAlignment="1">
      <alignment horizontal="center"/>
    </xf>
    <xf numFmtId="9" fontId="11" fillId="8" borderId="17" xfId="1" applyFont="1" applyFill="1" applyBorder="1" applyAlignment="1">
      <alignment horizontal="center"/>
    </xf>
    <xf numFmtId="9" fontId="11" fillId="8" borderId="18" xfId="1" applyFont="1" applyFill="1" applyBorder="1" applyAlignment="1">
      <alignment horizontal="center"/>
    </xf>
    <xf numFmtId="9" fontId="11" fillId="8" borderId="19" xfId="1" applyFont="1" applyFill="1" applyBorder="1" applyAlignment="1">
      <alignment horizontal="center"/>
    </xf>
    <xf numFmtId="0" fontId="10" fillId="6" borderId="3"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0" xfId="0" applyFont="1" applyFill="1" applyAlignment="1">
      <alignment horizontal="center" vertical="center" wrapText="1"/>
    </xf>
    <xf numFmtId="0" fontId="10" fillId="6" borderId="7" xfId="0" applyFont="1" applyFill="1" applyBorder="1" applyAlignment="1">
      <alignment horizontal="center" vertical="center" wrapText="1"/>
    </xf>
    <xf numFmtId="9" fontId="10" fillId="8" borderId="17" xfId="1" applyFont="1" applyFill="1" applyBorder="1" applyAlignment="1">
      <alignment horizontal="center"/>
    </xf>
    <xf numFmtId="9" fontId="10" fillId="8" borderId="18" xfId="1" applyFont="1" applyFill="1" applyBorder="1" applyAlignment="1">
      <alignment horizontal="center"/>
    </xf>
    <xf numFmtId="9" fontId="10" fillId="8" borderId="19" xfId="1" applyFont="1" applyFill="1" applyBorder="1" applyAlignment="1">
      <alignment horizontal="center"/>
    </xf>
    <xf numFmtId="2" fontId="10" fillId="8" borderId="17" xfId="0" applyNumberFormat="1" applyFont="1" applyFill="1" applyBorder="1" applyAlignment="1">
      <alignment horizontal="center"/>
    </xf>
    <xf numFmtId="2" fontId="10" fillId="8" borderId="18" xfId="0" applyNumberFormat="1" applyFont="1" applyFill="1" applyBorder="1" applyAlignment="1">
      <alignment horizontal="center"/>
    </xf>
    <xf numFmtId="2" fontId="10" fillId="8" borderId="19" xfId="0" applyNumberFormat="1" applyFont="1" applyFill="1" applyBorder="1" applyAlignment="1">
      <alignment horizontal="center"/>
    </xf>
    <xf numFmtId="0" fontId="10" fillId="6" borderId="8"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NumberFormat="1"/>
    <xf numFmtId="0" fontId="8" fillId="5" borderId="0" xfId="0" applyFont="1" applyFill="1"/>
    <xf numFmtId="0" fontId="15" fillId="6" borderId="0" xfId="0" applyFont="1" applyFill="1"/>
    <xf numFmtId="0" fontId="8" fillId="5" borderId="1" xfId="0" applyFont="1" applyFill="1" applyBorder="1" applyAlignment="1">
      <alignment horizontal="center" vertical="center"/>
    </xf>
    <xf numFmtId="167" fontId="0" fillId="0" borderId="0" xfId="0" applyNumberFormat="1"/>
    <xf numFmtId="0" fontId="17"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22" xfId="0" applyFont="1" applyFill="1" applyBorder="1" applyAlignment="1">
      <alignment horizontal="center" vertical="center"/>
    </xf>
    <xf numFmtId="0" fontId="16" fillId="6" borderId="2" xfId="0" applyFont="1" applyFill="1" applyBorder="1" applyAlignment="1">
      <alignment horizontal="center" vertical="center"/>
    </xf>
    <xf numFmtId="0" fontId="10" fillId="9" borderId="1" xfId="0" applyFont="1" applyFill="1" applyBorder="1" applyAlignment="1">
      <alignment horizontal="center" vertical="center"/>
    </xf>
    <xf numFmtId="2" fontId="10" fillId="9" borderId="1" xfId="0" applyNumberFormat="1" applyFont="1" applyFill="1" applyBorder="1" applyAlignment="1">
      <alignment horizontal="center" vertical="center"/>
    </xf>
    <xf numFmtId="9" fontId="10" fillId="9" borderId="1" xfId="1" applyFont="1" applyFill="1" applyBorder="1" applyAlignment="1">
      <alignment horizontal="center" vertical="center"/>
    </xf>
    <xf numFmtId="167" fontId="10" fillId="9" borderId="1" xfId="1" applyNumberFormat="1" applyFont="1" applyFill="1" applyBorder="1" applyAlignment="1">
      <alignment horizontal="center" vertical="center"/>
    </xf>
  </cellXfs>
  <cellStyles count="2">
    <cellStyle name="Normal" xfId="0" builtinId="0"/>
    <cellStyle name="Percent" xfId="1" builtinId="5"/>
  </cellStyles>
  <dxfs count="103">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167" formatCode="0.0%"/>
    </dxf>
    <dxf>
      <numFmt numFmtId="14" formatCode="0.00%"/>
    </dxf>
    <dxf>
      <numFmt numFmtId="167" formatCode="0.0%"/>
    </dxf>
    <dxf>
      <numFmt numFmtId="168" formatCode="0.000%"/>
    </dxf>
    <dxf>
      <numFmt numFmtId="14" formatCode="0.00%"/>
    </dxf>
    <dxf>
      <fill>
        <patternFill>
          <bgColor rgb="FFFFFF00"/>
        </patternFill>
      </fill>
    </dxf>
    <dxf>
      <fill>
        <patternFill>
          <bgColor theme="9" tint="0.39994506668294322"/>
        </patternFill>
      </fill>
    </dxf>
    <dxf>
      <fill>
        <patternFill>
          <bgColor rgb="FFFF7C80"/>
        </patternFill>
      </fil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numFmt numFmtId="14" formatCode="0.00%"/>
    </dxf>
    <dxf>
      <numFmt numFmtId="2" formatCode="0.00"/>
    </dxf>
    <dxf>
      <numFmt numFmtId="2" formatCode="0.00"/>
    </dxf>
    <dxf>
      <numFmt numFmtId="13" formatCode="0%"/>
    </dxf>
    <dxf>
      <numFmt numFmtId="2" formatCode="0.00"/>
    </dxf>
    <dxf>
      <numFmt numFmtId="2" formatCode="0.00"/>
    </dxf>
    <dxf>
      <numFmt numFmtId="2" formatCode="0.00"/>
    </dxf>
    <dxf>
      <numFmt numFmtId="0" formatCode="General"/>
    </dxf>
    <dxf>
      <numFmt numFmtId="2" formatCode="0.00"/>
    </dxf>
    <dxf>
      <numFmt numFmtId="0" formatCode="General"/>
    </dxf>
    <dxf>
      <numFmt numFmtId="0" formatCode="General"/>
    </dxf>
    <dxf>
      <numFmt numFmtId="165" formatCode="yyyy\-mm\-dd"/>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2" formatCode="0.00"/>
    </dxf>
    <dxf>
      <numFmt numFmtId="0" formatCode="General"/>
    </dxf>
    <dxf>
      <numFmt numFmtId="2" formatCode="0.00"/>
    </dxf>
    <dxf>
      <numFmt numFmtId="0" formatCode="General"/>
    </dxf>
    <dxf>
      <numFmt numFmtId="0" formatCode="General"/>
    </dxf>
    <dxf>
      <numFmt numFmtId="2" formatCode="0.00"/>
    </dxf>
    <dxf>
      <numFmt numFmtId="164" formatCode="yyyy\-mm\-dd\ hh:mm"/>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166" formatCode="&quot;$&quot;#,##0.00"/>
    </dxf>
    <dxf>
      <numFmt numFmtId="2" formatCode="0.00"/>
    </dxf>
  </dxfs>
  <tableStyles count="1" defaultTableStyle="TableStyleMedium2" defaultPivotStyle="PivotStyleLight16">
    <tableStyle name="Invisible" pivot="0" table="0" count="0" xr9:uid="{58DEDE69-5651-456A-8F6A-3F7D443F673F}"/>
  </tableStyles>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charts!branch wise combo order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Combo Order % by Branch</a:t>
            </a:r>
          </a:p>
        </c:rich>
      </c:tx>
      <c:layout>
        <c:manualLayout>
          <c:xMode val="edge"/>
          <c:yMode val="edge"/>
          <c:x val="0.2799582239720034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charts'!$C$47:$C$48</c:f>
              <c:strCache>
                <c:ptCount val="1"/>
                <c:pt idx="0">
                  <c:v>Combo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charts'!$B$49:$B$52</c:f>
              <c:strCache>
                <c:ptCount val="3"/>
                <c:pt idx="0">
                  <c:v>Plant 1 Canteen</c:v>
                </c:pt>
                <c:pt idx="1">
                  <c:v>Head Office Café</c:v>
                </c:pt>
                <c:pt idx="2">
                  <c:v>Plant 2 Canteen</c:v>
                </c:pt>
              </c:strCache>
            </c:strRef>
          </c:cat>
          <c:val>
            <c:numRef>
              <c:f>'pivot charts'!$C$49:$C$52</c:f>
              <c:numCache>
                <c:formatCode>0.00%</c:formatCode>
                <c:ptCount val="3"/>
                <c:pt idx="0">
                  <c:v>0.1744186046511628</c:v>
                </c:pt>
                <c:pt idx="1">
                  <c:v>0.40697674418604651</c:v>
                </c:pt>
                <c:pt idx="2">
                  <c:v>0.41860465116279072</c:v>
                </c:pt>
              </c:numCache>
            </c:numRef>
          </c:val>
          <c:extLst>
            <c:ext xmlns:c16="http://schemas.microsoft.com/office/drawing/2014/chart" uri="{C3380CC4-5D6E-409C-BE32-E72D297353CC}">
              <c16:uniqueId val="{00000000-E05D-49AC-B67C-8A18AB6E1D7B}"/>
            </c:ext>
          </c:extLst>
        </c:ser>
        <c:dLbls>
          <c:dLblPos val="outEnd"/>
          <c:showLegendKey val="0"/>
          <c:showVal val="1"/>
          <c:showCatName val="0"/>
          <c:showSerName val="0"/>
          <c:showPercent val="0"/>
          <c:showBubbleSize val="0"/>
        </c:dLbls>
        <c:gapWidth val="182"/>
        <c:axId val="1710215247"/>
        <c:axId val="1870282671"/>
      </c:barChart>
      <c:catAx>
        <c:axId val="171021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82671"/>
        <c:crosses val="autoZero"/>
        <c:auto val="1"/>
        <c:lblAlgn val="ctr"/>
        <c:lblOffset val="100"/>
        <c:noMultiLvlLbl val="0"/>
      </c:catAx>
      <c:valAx>
        <c:axId val="1870282671"/>
        <c:scaling>
          <c:orientation val="minMax"/>
          <c:max val="0.5"/>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1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charts!Shift wise combo order</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lumMod val="65000"/>
                    <a:lumOff val="35000"/>
                  </a:sysClr>
                </a:solidFill>
              </a:rPr>
              <a:t>Combo Order % by Shift</a:t>
            </a:r>
          </a:p>
          <a:p>
            <a:pPr marL="0" marR="0" lvl="0" indent="0" algn="ctr" defTabSz="914400" rtl="0" eaLnBrk="1" fontAlgn="auto" latinLnBrk="0" hangingPunct="1">
              <a:lnSpc>
                <a:spcPct val="100000"/>
              </a:lnSpc>
              <a:spcBef>
                <a:spcPts val="0"/>
              </a:spcBef>
              <a:spcAft>
                <a:spcPts val="0"/>
              </a:spcAft>
              <a:buClrTx/>
              <a:buSzTx/>
              <a:buFontTx/>
              <a:buNone/>
              <a:tabLst/>
              <a:defRPr sz="1400">
                <a:solidFill>
                  <a:sysClr val="windowText" lastClr="000000"/>
                </a:solidFill>
              </a:defRPr>
            </a:pPr>
            <a:endParaRPr lang="en-US" sz="1400"/>
          </a:p>
        </c:rich>
      </c:tx>
      <c:layout>
        <c:manualLayout>
          <c:xMode val="edge"/>
          <c:yMode val="edge"/>
          <c:x val="0.26534424525716266"/>
          <c:y val="4.128393023015791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w="19050">
            <a:solidFill>
              <a:schemeClr val="lt1"/>
            </a:solidFill>
          </a:ln>
          <a:effectLst/>
        </c:spPr>
      </c:pivotFmt>
      <c:pivotFmt>
        <c:idx val="2"/>
        <c:spPr>
          <a:solidFill>
            <a:schemeClr val="tx2"/>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s>
    <c:plotArea>
      <c:layout/>
      <c:pieChart>
        <c:varyColors val="1"/>
        <c:ser>
          <c:idx val="0"/>
          <c:order val="0"/>
          <c:tx>
            <c:strRef>
              <c:f>'pivot charts'!$C$38:$C$39</c:f>
              <c:strCache>
                <c:ptCount val="1"/>
                <c:pt idx="0">
                  <c:v>Combo</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3-BC19-4059-BA9E-117F86EF7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C19-4059-BA9E-117F86EF78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C19-4059-BA9E-117F86EF78CA}"/>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charts'!$B$40:$B$41</c:f>
              <c:strCache>
                <c:ptCount val="1"/>
                <c:pt idx="0">
                  <c:v>Breakfast</c:v>
                </c:pt>
              </c:strCache>
            </c:strRef>
          </c:cat>
          <c:val>
            <c:numRef>
              <c:f>'pivot charts'!$C$40:$C$41</c:f>
              <c:numCache>
                <c:formatCode>0.00%</c:formatCode>
                <c:ptCount val="1"/>
                <c:pt idx="0">
                  <c:v>1</c:v>
                </c:pt>
              </c:numCache>
            </c:numRef>
          </c:val>
          <c:extLst>
            <c:ext xmlns:c16="http://schemas.microsoft.com/office/drawing/2014/chart" uri="{C3380CC4-5D6E-409C-BE32-E72D297353CC}">
              <c16:uniqueId val="{00000000-BC19-4059-BA9E-117F86EF78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 VS Single</a:t>
            </a:r>
          </a:p>
        </c:rich>
      </c:tx>
      <c:layout>
        <c:manualLayout>
          <c:xMode val="edge"/>
          <c:yMode val="edge"/>
          <c:x val="0.4094930008748907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charts'!$M$23</c:f>
              <c:strCache>
                <c:ptCount val="1"/>
                <c:pt idx="0">
                  <c:v>Combo</c:v>
                </c:pt>
              </c:strCache>
            </c:strRef>
          </c:tx>
          <c:spPr>
            <a:solidFill>
              <a:schemeClr val="tx2">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charts'!$N$22:$P$22</c:f>
              <c:strCache>
                <c:ptCount val="3"/>
                <c:pt idx="0">
                  <c:v>Avg Tkt Size</c:v>
                </c:pt>
                <c:pt idx="1">
                  <c:v>Avg Food Cost</c:v>
                </c:pt>
                <c:pt idx="2">
                  <c:v>Avg Gross Profit</c:v>
                </c:pt>
              </c:strCache>
            </c:strRef>
          </c:cat>
          <c:val>
            <c:numRef>
              <c:f>'pivot charts'!$N$23:$P$23</c:f>
              <c:numCache>
                <c:formatCode>"$"#,##0.00</c:formatCode>
                <c:ptCount val="3"/>
                <c:pt idx="0">
                  <c:v>544.19233372093072</c:v>
                </c:pt>
                <c:pt idx="1">
                  <c:v>265.39465116279041</c:v>
                </c:pt>
                <c:pt idx="2">
                  <c:v>278.79768255813957</c:v>
                </c:pt>
              </c:numCache>
            </c:numRef>
          </c:val>
          <c:extLst>
            <c:ext xmlns:c16="http://schemas.microsoft.com/office/drawing/2014/chart" uri="{C3380CC4-5D6E-409C-BE32-E72D297353CC}">
              <c16:uniqueId val="{00000000-D459-4D48-A4B9-72953006B88D}"/>
            </c:ext>
          </c:extLst>
        </c:ser>
        <c:ser>
          <c:idx val="1"/>
          <c:order val="1"/>
          <c:tx>
            <c:strRef>
              <c:f>'pivot charts'!$M$24</c:f>
              <c:strCache>
                <c:ptCount val="1"/>
                <c:pt idx="0">
                  <c:v>Single</c:v>
                </c:pt>
              </c:strCache>
            </c:strRef>
          </c:tx>
          <c:spPr>
            <a:solidFill>
              <a:schemeClr val="tx2">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charts'!$N$22:$P$22</c:f>
              <c:strCache>
                <c:ptCount val="3"/>
                <c:pt idx="0">
                  <c:v>Avg Tkt Size</c:v>
                </c:pt>
                <c:pt idx="1">
                  <c:v>Avg Food Cost</c:v>
                </c:pt>
                <c:pt idx="2">
                  <c:v>Avg Gross Profit</c:v>
                </c:pt>
              </c:strCache>
            </c:strRef>
          </c:cat>
          <c:val>
            <c:numRef>
              <c:f>'pivot charts'!$N$24:$P$24</c:f>
              <c:numCache>
                <c:formatCode>"$"#,##0.00</c:formatCode>
                <c:ptCount val="3"/>
                <c:pt idx="0">
                  <c:v>313.31054708029217</c:v>
                </c:pt>
                <c:pt idx="1">
                  <c:v>154.47211678832107</c:v>
                </c:pt>
                <c:pt idx="2">
                  <c:v>158.83843029197098</c:v>
                </c:pt>
              </c:numCache>
            </c:numRef>
          </c:val>
          <c:extLst>
            <c:ext xmlns:c16="http://schemas.microsoft.com/office/drawing/2014/chart" uri="{C3380CC4-5D6E-409C-BE32-E72D297353CC}">
              <c16:uniqueId val="{00000001-D459-4D48-A4B9-72953006B88D}"/>
            </c:ext>
          </c:extLst>
        </c:ser>
        <c:ser>
          <c:idx val="2"/>
          <c:order val="2"/>
          <c:tx>
            <c:strRef>
              <c:f>'pivot charts'!$M$25</c:f>
              <c:strCache>
                <c:ptCount val="1"/>
                <c:pt idx="0">
                  <c:v>Gap</c:v>
                </c:pt>
              </c:strCache>
            </c:strRef>
          </c:tx>
          <c:spPr>
            <a:solidFill>
              <a:schemeClr val="accent1">
                <a:lumMod val="20000"/>
                <a:lumOff val="8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charts'!$N$22:$P$22</c:f>
              <c:strCache>
                <c:ptCount val="3"/>
                <c:pt idx="0">
                  <c:v>Avg Tkt Size</c:v>
                </c:pt>
                <c:pt idx="1">
                  <c:v>Avg Food Cost</c:v>
                </c:pt>
                <c:pt idx="2">
                  <c:v>Avg Gross Profit</c:v>
                </c:pt>
              </c:strCache>
            </c:strRef>
          </c:cat>
          <c:val>
            <c:numRef>
              <c:f>'pivot charts'!$N$25:$P$25</c:f>
              <c:numCache>
                <c:formatCode>"$"#,##0.00</c:formatCode>
                <c:ptCount val="3"/>
                <c:pt idx="0">
                  <c:v>230.88178664063855</c:v>
                </c:pt>
                <c:pt idx="1">
                  <c:v>110.92253437446934</c:v>
                </c:pt>
                <c:pt idx="2">
                  <c:v>119.95925226616859</c:v>
                </c:pt>
              </c:numCache>
            </c:numRef>
          </c:val>
          <c:extLst>
            <c:ext xmlns:c16="http://schemas.microsoft.com/office/drawing/2014/chart" uri="{C3380CC4-5D6E-409C-BE32-E72D297353CC}">
              <c16:uniqueId val="{00000002-D459-4D48-A4B9-72953006B88D}"/>
            </c:ext>
          </c:extLst>
        </c:ser>
        <c:dLbls>
          <c:dLblPos val="outEnd"/>
          <c:showLegendKey val="0"/>
          <c:showVal val="1"/>
          <c:showCatName val="0"/>
          <c:showSerName val="0"/>
          <c:showPercent val="0"/>
          <c:showBubbleSize val="0"/>
        </c:dLbls>
        <c:gapWidth val="219"/>
        <c:overlap val="-27"/>
        <c:axId val="789859327"/>
        <c:axId val="640567055"/>
      </c:barChart>
      <c:catAx>
        <c:axId val="78985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0567055"/>
        <c:crosses val="autoZero"/>
        <c:auto val="1"/>
        <c:lblAlgn val="ctr"/>
        <c:lblOffset val="100"/>
        <c:noMultiLvlLbl val="0"/>
      </c:catAx>
      <c:valAx>
        <c:axId val="640567055"/>
        <c:scaling>
          <c:orientation val="minMax"/>
        </c:scaling>
        <c:delete val="1"/>
        <c:axPos val="l"/>
        <c:numFmt formatCode="&quot;$&quot;#,##0.00" sourceLinked="1"/>
        <c:majorTickMark val="none"/>
        <c:minorTickMark val="none"/>
        <c:tickLblPos val="nextTo"/>
        <c:crossAx val="789859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charts'!$N$22</c:f>
              <c:strCache>
                <c:ptCount val="1"/>
                <c:pt idx="0">
                  <c:v>Avg Tkt Size</c:v>
                </c:pt>
              </c:strCache>
            </c:strRef>
          </c:tx>
          <c:spPr>
            <a:solidFill>
              <a:schemeClr val="accent1"/>
            </a:solidFill>
            <a:ln>
              <a:noFill/>
            </a:ln>
            <a:effectLst/>
          </c:spPr>
          <c:invertIfNegative val="0"/>
          <c:cat>
            <c:strRef>
              <c:f>'pivot charts'!$M$23:$M$25</c:f>
              <c:strCache>
                <c:ptCount val="3"/>
                <c:pt idx="0">
                  <c:v>Combo</c:v>
                </c:pt>
                <c:pt idx="1">
                  <c:v>Single</c:v>
                </c:pt>
                <c:pt idx="2">
                  <c:v>Gap</c:v>
                </c:pt>
              </c:strCache>
            </c:strRef>
          </c:cat>
          <c:val>
            <c:numRef>
              <c:f>'pivot charts'!$N$23:$N$25</c:f>
              <c:numCache>
                <c:formatCode>"$"#,##0.00</c:formatCode>
                <c:ptCount val="3"/>
                <c:pt idx="0">
                  <c:v>544.19233372093072</c:v>
                </c:pt>
                <c:pt idx="1">
                  <c:v>313.31054708029217</c:v>
                </c:pt>
                <c:pt idx="2">
                  <c:v>230.88178664063855</c:v>
                </c:pt>
              </c:numCache>
            </c:numRef>
          </c:val>
          <c:extLst>
            <c:ext xmlns:c16="http://schemas.microsoft.com/office/drawing/2014/chart" uri="{C3380CC4-5D6E-409C-BE32-E72D297353CC}">
              <c16:uniqueId val="{00000000-81B7-4716-BE92-2A53DDBDD6FF}"/>
            </c:ext>
          </c:extLst>
        </c:ser>
        <c:ser>
          <c:idx val="1"/>
          <c:order val="1"/>
          <c:tx>
            <c:strRef>
              <c:f>'pivot charts'!$O$22</c:f>
              <c:strCache>
                <c:ptCount val="1"/>
                <c:pt idx="0">
                  <c:v>Avg Food Cost</c:v>
                </c:pt>
              </c:strCache>
            </c:strRef>
          </c:tx>
          <c:spPr>
            <a:solidFill>
              <a:schemeClr val="accent2"/>
            </a:solidFill>
            <a:ln>
              <a:noFill/>
            </a:ln>
            <a:effectLst/>
          </c:spPr>
          <c:invertIfNegative val="0"/>
          <c:cat>
            <c:strRef>
              <c:f>'pivot charts'!$M$23:$M$25</c:f>
              <c:strCache>
                <c:ptCount val="3"/>
                <c:pt idx="0">
                  <c:v>Combo</c:v>
                </c:pt>
                <c:pt idx="1">
                  <c:v>Single</c:v>
                </c:pt>
                <c:pt idx="2">
                  <c:v>Gap</c:v>
                </c:pt>
              </c:strCache>
            </c:strRef>
          </c:cat>
          <c:val>
            <c:numRef>
              <c:f>'pivot charts'!$O$23:$O$25</c:f>
              <c:numCache>
                <c:formatCode>"$"#,##0.00</c:formatCode>
                <c:ptCount val="3"/>
                <c:pt idx="0">
                  <c:v>265.39465116279041</c:v>
                </c:pt>
                <c:pt idx="1">
                  <c:v>154.47211678832107</c:v>
                </c:pt>
                <c:pt idx="2">
                  <c:v>110.92253437446934</c:v>
                </c:pt>
              </c:numCache>
            </c:numRef>
          </c:val>
          <c:extLst>
            <c:ext xmlns:c16="http://schemas.microsoft.com/office/drawing/2014/chart" uri="{C3380CC4-5D6E-409C-BE32-E72D297353CC}">
              <c16:uniqueId val="{00000001-81B7-4716-BE92-2A53DDBDD6FF}"/>
            </c:ext>
          </c:extLst>
        </c:ser>
        <c:ser>
          <c:idx val="2"/>
          <c:order val="2"/>
          <c:tx>
            <c:strRef>
              <c:f>'pivot charts'!$P$22</c:f>
              <c:strCache>
                <c:ptCount val="1"/>
                <c:pt idx="0">
                  <c:v>Avg Gross Profit</c:v>
                </c:pt>
              </c:strCache>
            </c:strRef>
          </c:tx>
          <c:spPr>
            <a:solidFill>
              <a:schemeClr val="accent3"/>
            </a:solidFill>
            <a:ln>
              <a:noFill/>
            </a:ln>
            <a:effectLst/>
          </c:spPr>
          <c:invertIfNegative val="0"/>
          <c:cat>
            <c:strRef>
              <c:f>'pivot charts'!$M$23:$M$25</c:f>
              <c:strCache>
                <c:ptCount val="3"/>
                <c:pt idx="0">
                  <c:v>Combo</c:v>
                </c:pt>
                <c:pt idx="1">
                  <c:v>Single</c:v>
                </c:pt>
                <c:pt idx="2">
                  <c:v>Gap</c:v>
                </c:pt>
              </c:strCache>
            </c:strRef>
          </c:cat>
          <c:val>
            <c:numRef>
              <c:f>'pivot charts'!$P$23:$P$25</c:f>
              <c:numCache>
                <c:formatCode>"$"#,##0.00</c:formatCode>
                <c:ptCount val="3"/>
                <c:pt idx="0">
                  <c:v>278.79768255813957</c:v>
                </c:pt>
                <c:pt idx="1">
                  <c:v>158.83843029197098</c:v>
                </c:pt>
                <c:pt idx="2">
                  <c:v>119.95925226616859</c:v>
                </c:pt>
              </c:numCache>
            </c:numRef>
          </c:val>
          <c:extLst>
            <c:ext xmlns:c16="http://schemas.microsoft.com/office/drawing/2014/chart" uri="{C3380CC4-5D6E-409C-BE32-E72D297353CC}">
              <c16:uniqueId val="{00000002-81B7-4716-BE92-2A53DDBDD6FF}"/>
            </c:ext>
          </c:extLst>
        </c:ser>
        <c:dLbls>
          <c:showLegendKey val="0"/>
          <c:showVal val="0"/>
          <c:showCatName val="0"/>
          <c:showSerName val="0"/>
          <c:showPercent val="0"/>
          <c:showBubbleSize val="0"/>
        </c:dLbls>
        <c:gapWidth val="219"/>
        <c:axId val="707946687"/>
        <c:axId val="640565615"/>
      </c:barChart>
      <c:lineChart>
        <c:grouping val="standard"/>
        <c:varyColors val="0"/>
        <c:ser>
          <c:idx val="3"/>
          <c:order val="3"/>
          <c:tx>
            <c:strRef>
              <c:f>'pivot charts'!$Q$22</c:f>
              <c:strCache>
                <c:ptCount val="1"/>
                <c:pt idx="0">
                  <c:v>gm%</c:v>
                </c:pt>
              </c:strCache>
            </c:strRef>
          </c:tx>
          <c:spPr>
            <a:ln w="28575" cap="rnd">
              <a:solidFill>
                <a:schemeClr val="accent4"/>
              </a:solidFill>
              <a:round/>
            </a:ln>
            <a:effectLst/>
          </c:spPr>
          <c:marker>
            <c:symbol val="none"/>
          </c:marker>
          <c:cat>
            <c:strRef>
              <c:f>'pivot charts'!$M$23:$M$25</c:f>
              <c:strCache>
                <c:ptCount val="3"/>
                <c:pt idx="0">
                  <c:v>Combo</c:v>
                </c:pt>
                <c:pt idx="1">
                  <c:v>Single</c:v>
                </c:pt>
                <c:pt idx="2">
                  <c:v>Gap</c:v>
                </c:pt>
              </c:strCache>
            </c:strRef>
          </c:cat>
          <c:val>
            <c:numRef>
              <c:f>'pivot charts'!$Q$23:$Q$25</c:f>
              <c:numCache>
                <c:formatCode>0.00%</c:formatCode>
                <c:ptCount val="3"/>
                <c:pt idx="0">
                  <c:v>0.51231460879254287</c:v>
                </c:pt>
                <c:pt idx="1">
                  <c:v>0.50696802827791632</c:v>
                </c:pt>
                <c:pt idx="2">
                  <c:v>5.3465805146265533E-3</c:v>
                </c:pt>
              </c:numCache>
            </c:numRef>
          </c:val>
          <c:smooth val="0"/>
          <c:extLst>
            <c:ext xmlns:c16="http://schemas.microsoft.com/office/drawing/2014/chart" uri="{C3380CC4-5D6E-409C-BE32-E72D297353CC}">
              <c16:uniqueId val="{00000003-81B7-4716-BE92-2A53DDBDD6FF}"/>
            </c:ext>
          </c:extLst>
        </c:ser>
        <c:dLbls>
          <c:showLegendKey val="0"/>
          <c:showVal val="0"/>
          <c:showCatName val="0"/>
          <c:showSerName val="0"/>
          <c:showPercent val="0"/>
          <c:showBubbleSize val="0"/>
        </c:dLbls>
        <c:marker val="1"/>
        <c:smooth val="0"/>
        <c:axId val="707989375"/>
        <c:axId val="640570895"/>
      </c:lineChart>
      <c:catAx>
        <c:axId val="70794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65615"/>
        <c:crosses val="autoZero"/>
        <c:auto val="1"/>
        <c:lblAlgn val="ctr"/>
        <c:lblOffset val="100"/>
        <c:noMultiLvlLbl val="0"/>
      </c:catAx>
      <c:valAx>
        <c:axId val="640565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46687"/>
        <c:crosses val="autoZero"/>
        <c:crossBetween val="between"/>
      </c:valAx>
      <c:valAx>
        <c:axId val="6405708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989375"/>
        <c:crosses val="max"/>
        <c:crossBetween val="between"/>
      </c:valAx>
      <c:catAx>
        <c:axId val="707989375"/>
        <c:scaling>
          <c:orientation val="minMax"/>
        </c:scaling>
        <c:delete val="1"/>
        <c:axPos val="b"/>
        <c:numFmt formatCode="General" sourceLinked="1"/>
        <c:majorTickMark val="out"/>
        <c:minorTickMark val="none"/>
        <c:tickLblPos val="nextTo"/>
        <c:crossAx val="640570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charts'!$M$31</c:f>
              <c:strCache>
                <c:ptCount val="1"/>
                <c:pt idx="0">
                  <c:v>Combo</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charts'!$N$30</c:f>
              <c:strCache>
                <c:ptCount val="1"/>
                <c:pt idx="0">
                  <c:v>Gross margin%</c:v>
                </c:pt>
              </c:strCache>
            </c:strRef>
          </c:cat>
          <c:val>
            <c:numRef>
              <c:f>'pivot charts'!$N$31</c:f>
              <c:numCache>
                <c:formatCode>0.00%</c:formatCode>
                <c:ptCount val="1"/>
                <c:pt idx="0">
                  <c:v>0.51231460879254287</c:v>
                </c:pt>
              </c:numCache>
            </c:numRef>
          </c:val>
          <c:extLst>
            <c:ext xmlns:c16="http://schemas.microsoft.com/office/drawing/2014/chart" uri="{C3380CC4-5D6E-409C-BE32-E72D297353CC}">
              <c16:uniqueId val="{00000000-1250-429E-9CC3-4478566456CE}"/>
            </c:ext>
          </c:extLst>
        </c:ser>
        <c:ser>
          <c:idx val="1"/>
          <c:order val="1"/>
          <c:tx>
            <c:strRef>
              <c:f>'pivot charts'!$M$32</c:f>
              <c:strCache>
                <c:ptCount val="1"/>
                <c:pt idx="0">
                  <c:v>Single</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charts'!$N$30</c:f>
              <c:strCache>
                <c:ptCount val="1"/>
                <c:pt idx="0">
                  <c:v>Gross margin%</c:v>
                </c:pt>
              </c:strCache>
            </c:strRef>
          </c:cat>
          <c:val>
            <c:numRef>
              <c:f>'pivot charts'!$N$32</c:f>
              <c:numCache>
                <c:formatCode>0.00%</c:formatCode>
                <c:ptCount val="1"/>
                <c:pt idx="0">
                  <c:v>0.50696802827791632</c:v>
                </c:pt>
              </c:numCache>
            </c:numRef>
          </c:val>
          <c:extLst>
            <c:ext xmlns:c16="http://schemas.microsoft.com/office/drawing/2014/chart" uri="{C3380CC4-5D6E-409C-BE32-E72D297353CC}">
              <c16:uniqueId val="{00000001-1250-429E-9CC3-4478566456CE}"/>
            </c:ext>
          </c:extLst>
        </c:ser>
        <c:ser>
          <c:idx val="2"/>
          <c:order val="2"/>
          <c:tx>
            <c:strRef>
              <c:f>'pivot charts'!$M$33</c:f>
              <c:strCache>
                <c:ptCount val="1"/>
                <c:pt idx="0">
                  <c:v>Gap</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charts'!$N$30</c:f>
              <c:strCache>
                <c:ptCount val="1"/>
                <c:pt idx="0">
                  <c:v>Gross margin%</c:v>
                </c:pt>
              </c:strCache>
            </c:strRef>
          </c:cat>
          <c:val>
            <c:numRef>
              <c:f>'pivot charts'!$N$33</c:f>
              <c:numCache>
                <c:formatCode>0.00%</c:formatCode>
                <c:ptCount val="1"/>
                <c:pt idx="0">
                  <c:v>5.3465805146265533E-3</c:v>
                </c:pt>
              </c:numCache>
            </c:numRef>
          </c:val>
          <c:extLst>
            <c:ext xmlns:c16="http://schemas.microsoft.com/office/drawing/2014/chart" uri="{C3380CC4-5D6E-409C-BE32-E72D297353CC}">
              <c16:uniqueId val="{00000002-1250-429E-9CC3-4478566456CE}"/>
            </c:ext>
          </c:extLst>
        </c:ser>
        <c:dLbls>
          <c:dLblPos val="inEnd"/>
          <c:showLegendKey val="0"/>
          <c:showVal val="1"/>
          <c:showCatName val="0"/>
          <c:showSerName val="0"/>
          <c:showPercent val="0"/>
          <c:showBubbleSize val="0"/>
        </c:dLbls>
        <c:gapWidth val="182"/>
        <c:axId val="605348864"/>
        <c:axId val="1916117392"/>
      </c:barChart>
      <c:catAx>
        <c:axId val="605348864"/>
        <c:scaling>
          <c:orientation val="minMax"/>
        </c:scaling>
        <c:delete val="1"/>
        <c:axPos val="l"/>
        <c:numFmt formatCode="General" sourceLinked="1"/>
        <c:majorTickMark val="none"/>
        <c:minorTickMark val="none"/>
        <c:tickLblPos val="nextTo"/>
        <c:crossAx val="1916117392"/>
        <c:crosses val="autoZero"/>
        <c:auto val="1"/>
        <c:lblAlgn val="ctr"/>
        <c:lblOffset val="100"/>
        <c:noMultiLvlLbl val="0"/>
      </c:catAx>
      <c:valAx>
        <c:axId val="1916117392"/>
        <c:scaling>
          <c:orientation val="minMax"/>
        </c:scaling>
        <c:delete val="1"/>
        <c:axPos val="b"/>
        <c:numFmt formatCode="0.00%" sourceLinked="1"/>
        <c:majorTickMark val="none"/>
        <c:minorTickMark val="none"/>
        <c:tickLblPos val="nextTo"/>
        <c:crossAx val="60534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charts!Item-category Rank </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charts'!$C$56</c:f>
              <c:strCache>
                <c:ptCount val="1"/>
                <c:pt idx="0">
                  <c:v>Total</c:v>
                </c:pt>
              </c:strCache>
            </c:strRef>
          </c:tx>
          <c:spPr>
            <a:solidFill>
              <a:schemeClr val="accent1"/>
            </a:solidFill>
            <a:ln>
              <a:noFill/>
            </a:ln>
            <a:effectLst/>
          </c:spPr>
          <c:invertIfNegative val="0"/>
          <c:cat>
            <c:strRef>
              <c:f>'pivot charts'!$B$57:$B$71</c:f>
              <c:strCache>
                <c:ptCount val="15"/>
                <c:pt idx="0">
                  <c:v>Beverage</c:v>
                </c:pt>
                <c:pt idx="1">
                  <c:v>Beverage+Snack</c:v>
                </c:pt>
                <c:pt idx="2">
                  <c:v>Snack</c:v>
                </c:pt>
                <c:pt idx="3">
                  <c:v>Hot Meal+Snack</c:v>
                </c:pt>
                <c:pt idx="4">
                  <c:v>Hot Meal</c:v>
                </c:pt>
                <c:pt idx="5">
                  <c:v>Dessert+Hot Meal</c:v>
                </c:pt>
                <c:pt idx="6">
                  <c:v>Beverage+Dessert+Hot Meal</c:v>
                </c:pt>
                <c:pt idx="7">
                  <c:v>Beverage+Hot Meal+Snack</c:v>
                </c:pt>
                <c:pt idx="8">
                  <c:v>Beverage+Hot Meal</c:v>
                </c:pt>
                <c:pt idx="9">
                  <c:v>Beverage+Dessert</c:v>
                </c:pt>
                <c:pt idx="10">
                  <c:v>Dessert+Hot Meal+Snack</c:v>
                </c:pt>
                <c:pt idx="11">
                  <c:v>Beverage+Dessert+Snack</c:v>
                </c:pt>
                <c:pt idx="12">
                  <c:v>Dessert+Snack</c:v>
                </c:pt>
                <c:pt idx="13">
                  <c:v>Dessert</c:v>
                </c:pt>
                <c:pt idx="14">
                  <c:v>Beverage+Dessert+Hot Meal+Snack</c:v>
                </c:pt>
              </c:strCache>
            </c:strRef>
          </c:cat>
          <c:val>
            <c:numRef>
              <c:f>'pivot charts'!$C$57:$C$71</c:f>
              <c:numCache>
                <c:formatCode>General</c:formatCode>
                <c:ptCount val="15"/>
                <c:pt idx="0">
                  <c:v>34</c:v>
                </c:pt>
                <c:pt idx="1">
                  <c:v>31</c:v>
                </c:pt>
                <c:pt idx="2">
                  <c:v>29</c:v>
                </c:pt>
                <c:pt idx="3">
                  <c:v>28</c:v>
                </c:pt>
                <c:pt idx="4">
                  <c:v>27</c:v>
                </c:pt>
                <c:pt idx="5">
                  <c:v>27</c:v>
                </c:pt>
                <c:pt idx="6">
                  <c:v>27</c:v>
                </c:pt>
                <c:pt idx="7">
                  <c:v>25</c:v>
                </c:pt>
                <c:pt idx="8">
                  <c:v>25</c:v>
                </c:pt>
                <c:pt idx="9">
                  <c:v>23</c:v>
                </c:pt>
                <c:pt idx="10">
                  <c:v>23</c:v>
                </c:pt>
                <c:pt idx="11">
                  <c:v>22</c:v>
                </c:pt>
                <c:pt idx="12">
                  <c:v>18</c:v>
                </c:pt>
                <c:pt idx="13">
                  <c:v>12</c:v>
                </c:pt>
                <c:pt idx="14">
                  <c:v>9</c:v>
                </c:pt>
              </c:numCache>
            </c:numRef>
          </c:val>
          <c:extLst>
            <c:ext xmlns:c16="http://schemas.microsoft.com/office/drawing/2014/chart" uri="{C3380CC4-5D6E-409C-BE32-E72D297353CC}">
              <c16:uniqueId val="{00000000-9662-4ECD-A03F-DA43321D7908}"/>
            </c:ext>
          </c:extLst>
        </c:ser>
        <c:dLbls>
          <c:showLegendKey val="0"/>
          <c:showVal val="0"/>
          <c:showCatName val="0"/>
          <c:showSerName val="0"/>
          <c:showPercent val="0"/>
          <c:showBubbleSize val="0"/>
        </c:dLbls>
        <c:gapWidth val="182"/>
        <c:axId val="1274457407"/>
        <c:axId val="999900783"/>
      </c:barChart>
      <c:catAx>
        <c:axId val="127445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00783"/>
        <c:crosses val="autoZero"/>
        <c:auto val="1"/>
        <c:lblAlgn val="ctr"/>
        <c:lblOffset val="100"/>
        <c:noMultiLvlLbl val="0"/>
      </c:catAx>
      <c:valAx>
        <c:axId val="99990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5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charts!branch wise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a:t>
            </a:r>
            <a:r>
              <a:rPr lang="en-US" baseline="0"/>
              <a:t> %  in each branch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3180227471565"/>
          <c:y val="5.614338235747237E-2"/>
          <c:w val="0.77796675415573058"/>
          <c:h val="0.91111913094196562"/>
        </c:manualLayout>
      </c:layout>
      <c:barChart>
        <c:barDir val="bar"/>
        <c:grouping val="stacked"/>
        <c:varyColors val="0"/>
        <c:ser>
          <c:idx val="0"/>
          <c:order val="0"/>
          <c:tx>
            <c:strRef>
              <c:f>'pivot charts'!$C$113:$C$114</c:f>
              <c:strCache>
                <c:ptCount val="1"/>
                <c:pt idx="0">
                  <c:v>combo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charts'!$B$115:$B$117</c:f>
              <c:strCache>
                <c:ptCount val="3"/>
                <c:pt idx="0">
                  <c:v>Head Office Café</c:v>
                </c:pt>
                <c:pt idx="1">
                  <c:v>Plant 1 Canteen</c:v>
                </c:pt>
                <c:pt idx="2">
                  <c:v>Plant 2 Canteen</c:v>
                </c:pt>
              </c:strCache>
            </c:strRef>
          </c:cat>
          <c:val>
            <c:numRef>
              <c:f>'pivot charts'!$C$115:$C$117</c:f>
              <c:numCache>
                <c:formatCode>0.00%</c:formatCode>
                <c:ptCount val="3"/>
                <c:pt idx="0">
                  <c:v>0.28925619834710742</c:v>
                </c:pt>
                <c:pt idx="1">
                  <c:v>0.13761467889908258</c:v>
                </c:pt>
                <c:pt idx="2">
                  <c:v>0.27692307692307694</c:v>
                </c:pt>
              </c:numCache>
            </c:numRef>
          </c:val>
          <c:extLst>
            <c:ext xmlns:c16="http://schemas.microsoft.com/office/drawing/2014/chart" uri="{C3380CC4-5D6E-409C-BE32-E72D297353CC}">
              <c16:uniqueId val="{00000000-23C5-4A29-9A14-08FE6CE784AA}"/>
            </c:ext>
          </c:extLst>
        </c:ser>
        <c:ser>
          <c:idx val="1"/>
          <c:order val="1"/>
          <c:tx>
            <c:strRef>
              <c:f>'pivot charts'!$D$113:$D$114</c:f>
              <c:strCache>
                <c:ptCount val="1"/>
                <c:pt idx="0">
                  <c:v>single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charts'!$B$115:$B$117</c:f>
              <c:strCache>
                <c:ptCount val="3"/>
                <c:pt idx="0">
                  <c:v>Head Office Café</c:v>
                </c:pt>
                <c:pt idx="1">
                  <c:v>Plant 1 Canteen</c:v>
                </c:pt>
                <c:pt idx="2">
                  <c:v>Plant 2 Canteen</c:v>
                </c:pt>
              </c:strCache>
            </c:strRef>
          </c:cat>
          <c:val>
            <c:numRef>
              <c:f>'pivot charts'!$D$115:$D$117</c:f>
              <c:numCache>
                <c:formatCode>0.00%</c:formatCode>
                <c:ptCount val="3"/>
                <c:pt idx="0">
                  <c:v>0.71074380165289253</c:v>
                </c:pt>
                <c:pt idx="1">
                  <c:v>0.86238532110091748</c:v>
                </c:pt>
                <c:pt idx="2">
                  <c:v>0.72307692307692306</c:v>
                </c:pt>
              </c:numCache>
            </c:numRef>
          </c:val>
          <c:extLst>
            <c:ext xmlns:c16="http://schemas.microsoft.com/office/drawing/2014/chart" uri="{C3380CC4-5D6E-409C-BE32-E72D297353CC}">
              <c16:uniqueId val="{00000001-23C5-4A29-9A14-08FE6CE784AA}"/>
            </c:ext>
          </c:extLst>
        </c:ser>
        <c:dLbls>
          <c:dLblPos val="ctr"/>
          <c:showLegendKey val="0"/>
          <c:showVal val="1"/>
          <c:showCatName val="0"/>
          <c:showSerName val="0"/>
          <c:showPercent val="0"/>
          <c:showBubbleSize val="0"/>
        </c:dLbls>
        <c:gapWidth val="150"/>
        <c:overlap val="100"/>
        <c:axId val="657733088"/>
        <c:axId val="460020496"/>
      </c:barChart>
      <c:catAx>
        <c:axId val="6577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20496"/>
        <c:crosses val="autoZero"/>
        <c:auto val="1"/>
        <c:lblAlgn val="ctr"/>
        <c:lblOffset val="100"/>
        <c:noMultiLvlLbl val="0"/>
      </c:catAx>
      <c:valAx>
        <c:axId val="460020496"/>
        <c:scaling>
          <c:orientation val="minMax"/>
        </c:scaling>
        <c:delete val="1"/>
        <c:axPos val="b"/>
        <c:numFmt formatCode="0.00%" sourceLinked="1"/>
        <c:majorTickMark val="none"/>
        <c:minorTickMark val="none"/>
        <c:tickLblPos val="nextTo"/>
        <c:crossAx val="657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charts!shift wise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a:t>
            </a:r>
            <a:r>
              <a:rPr lang="en-US" baseline="0"/>
              <a:t> % in each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charts'!$C$123:$C$124</c:f>
              <c:strCache>
                <c:ptCount val="1"/>
                <c:pt idx="0">
                  <c:v>combo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charts'!$B$125:$B$127</c:f>
              <c:strCache>
                <c:ptCount val="3"/>
                <c:pt idx="0">
                  <c:v>Breakfast</c:v>
                </c:pt>
                <c:pt idx="1">
                  <c:v>Dinner</c:v>
                </c:pt>
                <c:pt idx="2">
                  <c:v>Lunch</c:v>
                </c:pt>
              </c:strCache>
            </c:strRef>
          </c:cat>
          <c:val>
            <c:numRef>
              <c:f>'pivot charts'!$C$125:$C$127</c:f>
              <c:numCache>
                <c:formatCode>0.00%</c:formatCode>
                <c:ptCount val="3"/>
                <c:pt idx="0">
                  <c:v>0.22598870056497175</c:v>
                </c:pt>
                <c:pt idx="1">
                  <c:v>0.2818181818181818</c:v>
                </c:pt>
                <c:pt idx="2">
                  <c:v>0.20547945205479451</c:v>
                </c:pt>
              </c:numCache>
            </c:numRef>
          </c:val>
          <c:extLst>
            <c:ext xmlns:c16="http://schemas.microsoft.com/office/drawing/2014/chart" uri="{C3380CC4-5D6E-409C-BE32-E72D297353CC}">
              <c16:uniqueId val="{00000000-154E-4E8B-A777-36DE5C973382}"/>
            </c:ext>
          </c:extLst>
        </c:ser>
        <c:ser>
          <c:idx val="1"/>
          <c:order val="1"/>
          <c:tx>
            <c:strRef>
              <c:f>'pivot charts'!$D$123:$D$124</c:f>
              <c:strCache>
                <c:ptCount val="1"/>
                <c:pt idx="0">
                  <c:v>single</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charts'!$B$125:$B$127</c:f>
              <c:strCache>
                <c:ptCount val="3"/>
                <c:pt idx="0">
                  <c:v>Breakfast</c:v>
                </c:pt>
                <c:pt idx="1">
                  <c:v>Dinner</c:v>
                </c:pt>
                <c:pt idx="2">
                  <c:v>Lunch</c:v>
                </c:pt>
              </c:strCache>
            </c:strRef>
          </c:cat>
          <c:val>
            <c:numRef>
              <c:f>'pivot charts'!$D$125:$D$127</c:f>
              <c:numCache>
                <c:formatCode>0.00%</c:formatCode>
                <c:ptCount val="3"/>
                <c:pt idx="0">
                  <c:v>0.77401129943502822</c:v>
                </c:pt>
                <c:pt idx="1">
                  <c:v>0.71818181818181814</c:v>
                </c:pt>
                <c:pt idx="2">
                  <c:v>0.79452054794520544</c:v>
                </c:pt>
              </c:numCache>
            </c:numRef>
          </c:val>
          <c:extLst>
            <c:ext xmlns:c16="http://schemas.microsoft.com/office/drawing/2014/chart" uri="{C3380CC4-5D6E-409C-BE32-E72D297353CC}">
              <c16:uniqueId val="{00000001-154E-4E8B-A777-36DE5C973382}"/>
            </c:ext>
          </c:extLst>
        </c:ser>
        <c:dLbls>
          <c:dLblPos val="ctr"/>
          <c:showLegendKey val="0"/>
          <c:showVal val="1"/>
          <c:showCatName val="0"/>
          <c:showSerName val="0"/>
          <c:showPercent val="0"/>
          <c:showBubbleSize val="0"/>
        </c:dLbls>
        <c:gapWidth val="150"/>
        <c:overlap val="100"/>
        <c:axId val="709910592"/>
        <c:axId val="460075696"/>
      </c:barChart>
      <c:catAx>
        <c:axId val="70991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75696"/>
        <c:crosses val="autoZero"/>
        <c:auto val="1"/>
        <c:lblAlgn val="ctr"/>
        <c:lblOffset val="100"/>
        <c:noMultiLvlLbl val="0"/>
      </c:catAx>
      <c:valAx>
        <c:axId val="460075696"/>
        <c:scaling>
          <c:orientation val="minMax"/>
        </c:scaling>
        <c:delete val="1"/>
        <c:axPos val="b"/>
        <c:numFmt formatCode="0.00%" sourceLinked="1"/>
        <c:majorTickMark val="none"/>
        <c:minorTickMark val="none"/>
        <c:tickLblPos val="nextTo"/>
        <c:crossAx val="70991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charts!item list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a:t>
            </a:r>
            <a:r>
              <a:rPr lang="en-US" baseline="0"/>
              <a:t> Orders</a:t>
            </a:r>
            <a:endParaRPr lang="en-US"/>
          </a:p>
        </c:rich>
      </c:tx>
      <c:layout>
        <c:manualLayout>
          <c:xMode val="edge"/>
          <c:yMode val="edge"/>
          <c:x val="0.45991235054515467"/>
          <c:y val="2.3761709346272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charts'!$C$132</c:f>
              <c:strCache>
                <c:ptCount val="1"/>
                <c:pt idx="0">
                  <c:v>Total</c:v>
                </c:pt>
              </c:strCache>
            </c:strRef>
          </c:tx>
          <c:spPr>
            <a:solidFill>
              <a:schemeClr val="accent1"/>
            </a:solidFill>
            <a:ln>
              <a:noFill/>
            </a:ln>
            <a:effectLst/>
          </c:spPr>
          <c:invertIfNegative val="0"/>
          <c:cat>
            <c:strRef>
              <c:f>'pivot charts'!$B$133:$B$147</c:f>
              <c:strCache>
                <c:ptCount val="15"/>
                <c:pt idx="0">
                  <c:v>Beverage</c:v>
                </c:pt>
                <c:pt idx="1">
                  <c:v>Beverage+Snack</c:v>
                </c:pt>
                <c:pt idx="2">
                  <c:v>Snack</c:v>
                </c:pt>
                <c:pt idx="3">
                  <c:v>Hot Meal+Snack</c:v>
                </c:pt>
                <c:pt idx="4">
                  <c:v>Hot Meal</c:v>
                </c:pt>
                <c:pt idx="5">
                  <c:v>Dessert+Hot Meal</c:v>
                </c:pt>
                <c:pt idx="6">
                  <c:v>Beverage+Dessert+Hot Meal</c:v>
                </c:pt>
                <c:pt idx="7">
                  <c:v>Beverage+Hot Meal+Snack</c:v>
                </c:pt>
                <c:pt idx="8">
                  <c:v>Beverage+Hot Meal</c:v>
                </c:pt>
                <c:pt idx="9">
                  <c:v>Beverage+Dessert</c:v>
                </c:pt>
                <c:pt idx="10">
                  <c:v>Dessert+Hot Meal+Snack</c:v>
                </c:pt>
                <c:pt idx="11">
                  <c:v>Beverage+Dessert+Snack</c:v>
                </c:pt>
                <c:pt idx="12">
                  <c:v>Dessert+Snack</c:v>
                </c:pt>
                <c:pt idx="13">
                  <c:v>Dessert</c:v>
                </c:pt>
                <c:pt idx="14">
                  <c:v>Beverage+Dessert+Hot Meal+Snack</c:v>
                </c:pt>
              </c:strCache>
            </c:strRef>
          </c:cat>
          <c:val>
            <c:numRef>
              <c:f>'pivot charts'!$C$133:$C$147</c:f>
              <c:numCache>
                <c:formatCode>General</c:formatCode>
                <c:ptCount val="15"/>
                <c:pt idx="0">
                  <c:v>34</c:v>
                </c:pt>
                <c:pt idx="1">
                  <c:v>31</c:v>
                </c:pt>
                <c:pt idx="2">
                  <c:v>29</c:v>
                </c:pt>
                <c:pt idx="3">
                  <c:v>28</c:v>
                </c:pt>
                <c:pt idx="4">
                  <c:v>27</c:v>
                </c:pt>
                <c:pt idx="5">
                  <c:v>27</c:v>
                </c:pt>
                <c:pt idx="6">
                  <c:v>27</c:v>
                </c:pt>
                <c:pt idx="7">
                  <c:v>25</c:v>
                </c:pt>
                <c:pt idx="8">
                  <c:v>25</c:v>
                </c:pt>
                <c:pt idx="9">
                  <c:v>23</c:v>
                </c:pt>
                <c:pt idx="10">
                  <c:v>23</c:v>
                </c:pt>
                <c:pt idx="11">
                  <c:v>22</c:v>
                </c:pt>
                <c:pt idx="12">
                  <c:v>18</c:v>
                </c:pt>
                <c:pt idx="13">
                  <c:v>12</c:v>
                </c:pt>
                <c:pt idx="14">
                  <c:v>9</c:v>
                </c:pt>
              </c:numCache>
            </c:numRef>
          </c:val>
          <c:extLst>
            <c:ext xmlns:c16="http://schemas.microsoft.com/office/drawing/2014/chart" uri="{C3380CC4-5D6E-409C-BE32-E72D297353CC}">
              <c16:uniqueId val="{00000000-3355-4255-BDDC-767AECD7AE48}"/>
            </c:ext>
          </c:extLst>
        </c:ser>
        <c:dLbls>
          <c:showLegendKey val="0"/>
          <c:showVal val="0"/>
          <c:showCatName val="0"/>
          <c:showSerName val="0"/>
          <c:showPercent val="0"/>
          <c:showBubbleSize val="0"/>
        </c:dLbls>
        <c:gapWidth val="182"/>
        <c:axId val="689040688"/>
        <c:axId val="460029616"/>
      </c:barChart>
      <c:catAx>
        <c:axId val="68904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29616"/>
        <c:crosses val="autoZero"/>
        <c:auto val="1"/>
        <c:lblAlgn val="ctr"/>
        <c:lblOffset val="100"/>
        <c:noMultiLvlLbl val="0"/>
      </c:catAx>
      <c:valAx>
        <c:axId val="460029616"/>
        <c:scaling>
          <c:orientation val="minMax"/>
        </c:scaling>
        <c:delete val="1"/>
        <c:axPos val="b"/>
        <c:numFmt formatCode="General" sourceLinked="1"/>
        <c:majorTickMark val="out"/>
        <c:minorTickMark val="none"/>
        <c:tickLblPos val="nextTo"/>
        <c:crossAx val="68904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charts!branch wise</c:name>
    <c:fmtId val="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Combo</a:t>
            </a:r>
            <a:r>
              <a:rPr lang="en-US" sz="1600" b="1" baseline="0">
                <a:solidFill>
                  <a:sysClr val="windowText" lastClr="000000"/>
                </a:solidFill>
              </a:rPr>
              <a:t> %  in each branch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3180227471565"/>
          <c:y val="5.614338235747237E-2"/>
          <c:w val="0.77796675415573058"/>
          <c:h val="0.91111913094196562"/>
        </c:manualLayout>
      </c:layout>
      <c:barChart>
        <c:barDir val="bar"/>
        <c:grouping val="stacked"/>
        <c:varyColors val="0"/>
        <c:ser>
          <c:idx val="0"/>
          <c:order val="0"/>
          <c:tx>
            <c:strRef>
              <c:f>'pivot charts'!$C$113:$C$114</c:f>
              <c:strCache>
                <c:ptCount val="1"/>
                <c:pt idx="0">
                  <c:v>combo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charts'!$B$115:$B$117</c:f>
              <c:strCache>
                <c:ptCount val="3"/>
                <c:pt idx="0">
                  <c:v>Head Office Café</c:v>
                </c:pt>
                <c:pt idx="1">
                  <c:v>Plant 1 Canteen</c:v>
                </c:pt>
                <c:pt idx="2">
                  <c:v>Plant 2 Canteen</c:v>
                </c:pt>
              </c:strCache>
            </c:strRef>
          </c:cat>
          <c:val>
            <c:numRef>
              <c:f>'pivot charts'!$C$115:$C$117</c:f>
              <c:numCache>
                <c:formatCode>0.00%</c:formatCode>
                <c:ptCount val="3"/>
                <c:pt idx="0">
                  <c:v>0.28925619834710742</c:v>
                </c:pt>
                <c:pt idx="1">
                  <c:v>0.13761467889908258</c:v>
                </c:pt>
                <c:pt idx="2">
                  <c:v>0.27692307692307694</c:v>
                </c:pt>
              </c:numCache>
            </c:numRef>
          </c:val>
          <c:extLst>
            <c:ext xmlns:c16="http://schemas.microsoft.com/office/drawing/2014/chart" uri="{C3380CC4-5D6E-409C-BE32-E72D297353CC}">
              <c16:uniqueId val="{00000000-CC50-428D-88DC-BA424E4953FB}"/>
            </c:ext>
          </c:extLst>
        </c:ser>
        <c:ser>
          <c:idx val="1"/>
          <c:order val="1"/>
          <c:tx>
            <c:strRef>
              <c:f>'pivot charts'!$D$113:$D$114</c:f>
              <c:strCache>
                <c:ptCount val="1"/>
                <c:pt idx="0">
                  <c:v>single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charts'!$B$115:$B$117</c:f>
              <c:strCache>
                <c:ptCount val="3"/>
                <c:pt idx="0">
                  <c:v>Head Office Café</c:v>
                </c:pt>
                <c:pt idx="1">
                  <c:v>Plant 1 Canteen</c:v>
                </c:pt>
                <c:pt idx="2">
                  <c:v>Plant 2 Canteen</c:v>
                </c:pt>
              </c:strCache>
            </c:strRef>
          </c:cat>
          <c:val>
            <c:numRef>
              <c:f>'pivot charts'!$D$115:$D$117</c:f>
              <c:numCache>
                <c:formatCode>0.00%</c:formatCode>
                <c:ptCount val="3"/>
                <c:pt idx="0">
                  <c:v>0.71074380165289253</c:v>
                </c:pt>
                <c:pt idx="1">
                  <c:v>0.86238532110091748</c:v>
                </c:pt>
                <c:pt idx="2">
                  <c:v>0.72307692307692306</c:v>
                </c:pt>
              </c:numCache>
            </c:numRef>
          </c:val>
          <c:extLst>
            <c:ext xmlns:c16="http://schemas.microsoft.com/office/drawing/2014/chart" uri="{C3380CC4-5D6E-409C-BE32-E72D297353CC}">
              <c16:uniqueId val="{00000001-CC50-428D-88DC-BA424E4953FB}"/>
            </c:ext>
          </c:extLst>
        </c:ser>
        <c:dLbls>
          <c:dLblPos val="ctr"/>
          <c:showLegendKey val="0"/>
          <c:showVal val="1"/>
          <c:showCatName val="0"/>
          <c:showSerName val="0"/>
          <c:showPercent val="0"/>
          <c:showBubbleSize val="0"/>
        </c:dLbls>
        <c:gapWidth val="150"/>
        <c:overlap val="100"/>
        <c:axId val="657733088"/>
        <c:axId val="460020496"/>
      </c:barChart>
      <c:catAx>
        <c:axId val="65773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60020496"/>
        <c:crosses val="autoZero"/>
        <c:auto val="1"/>
        <c:lblAlgn val="ctr"/>
        <c:lblOffset val="100"/>
        <c:noMultiLvlLbl val="0"/>
      </c:catAx>
      <c:valAx>
        <c:axId val="460020496"/>
        <c:scaling>
          <c:orientation val="minMax"/>
        </c:scaling>
        <c:delete val="1"/>
        <c:axPos val="b"/>
        <c:numFmt formatCode="0.00%" sourceLinked="1"/>
        <c:majorTickMark val="none"/>
        <c:minorTickMark val="none"/>
        <c:tickLblPos val="nextTo"/>
        <c:crossAx val="657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charts!shift wise</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Combo</a:t>
            </a:r>
            <a:r>
              <a:rPr lang="en-US" sz="1600" b="1" baseline="0">
                <a:solidFill>
                  <a:sysClr val="windowText" lastClr="000000"/>
                </a:solidFill>
              </a:rPr>
              <a:t> % in each shift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6897104175777"/>
          <c:y val="0.13134545454545454"/>
          <c:w val="0.86163102895824228"/>
          <c:h val="0.81532121212121211"/>
        </c:manualLayout>
      </c:layout>
      <c:barChart>
        <c:barDir val="bar"/>
        <c:grouping val="stacked"/>
        <c:varyColors val="0"/>
        <c:ser>
          <c:idx val="0"/>
          <c:order val="0"/>
          <c:tx>
            <c:strRef>
              <c:f>'pivot charts'!$C$123:$C$124</c:f>
              <c:strCache>
                <c:ptCount val="1"/>
                <c:pt idx="0">
                  <c:v>combo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charts'!$B$125:$B$127</c:f>
              <c:strCache>
                <c:ptCount val="3"/>
                <c:pt idx="0">
                  <c:v>Breakfast</c:v>
                </c:pt>
                <c:pt idx="1">
                  <c:v>Dinner</c:v>
                </c:pt>
                <c:pt idx="2">
                  <c:v>Lunch</c:v>
                </c:pt>
              </c:strCache>
            </c:strRef>
          </c:cat>
          <c:val>
            <c:numRef>
              <c:f>'pivot charts'!$C$125:$C$127</c:f>
              <c:numCache>
                <c:formatCode>0.00%</c:formatCode>
                <c:ptCount val="3"/>
                <c:pt idx="0">
                  <c:v>0.22598870056497175</c:v>
                </c:pt>
                <c:pt idx="1">
                  <c:v>0.2818181818181818</c:v>
                </c:pt>
                <c:pt idx="2">
                  <c:v>0.20547945205479451</c:v>
                </c:pt>
              </c:numCache>
            </c:numRef>
          </c:val>
          <c:extLst>
            <c:ext xmlns:c16="http://schemas.microsoft.com/office/drawing/2014/chart" uri="{C3380CC4-5D6E-409C-BE32-E72D297353CC}">
              <c16:uniqueId val="{00000000-5EEA-4A3F-8FE7-40315016111D}"/>
            </c:ext>
          </c:extLst>
        </c:ser>
        <c:ser>
          <c:idx val="1"/>
          <c:order val="1"/>
          <c:tx>
            <c:strRef>
              <c:f>'pivot charts'!$D$123:$D$124</c:f>
              <c:strCache>
                <c:ptCount val="1"/>
                <c:pt idx="0">
                  <c:v>single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charts'!$B$125:$B$127</c:f>
              <c:strCache>
                <c:ptCount val="3"/>
                <c:pt idx="0">
                  <c:v>Breakfast</c:v>
                </c:pt>
                <c:pt idx="1">
                  <c:v>Dinner</c:v>
                </c:pt>
                <c:pt idx="2">
                  <c:v>Lunch</c:v>
                </c:pt>
              </c:strCache>
            </c:strRef>
          </c:cat>
          <c:val>
            <c:numRef>
              <c:f>'pivot charts'!$D$125:$D$127</c:f>
              <c:numCache>
                <c:formatCode>0.00%</c:formatCode>
                <c:ptCount val="3"/>
                <c:pt idx="0">
                  <c:v>0.77401129943502822</c:v>
                </c:pt>
                <c:pt idx="1">
                  <c:v>0.71818181818181814</c:v>
                </c:pt>
                <c:pt idx="2">
                  <c:v>0.79452054794520544</c:v>
                </c:pt>
              </c:numCache>
            </c:numRef>
          </c:val>
          <c:extLst>
            <c:ext xmlns:c16="http://schemas.microsoft.com/office/drawing/2014/chart" uri="{C3380CC4-5D6E-409C-BE32-E72D297353CC}">
              <c16:uniqueId val="{00000001-5EEA-4A3F-8FE7-40315016111D}"/>
            </c:ext>
          </c:extLst>
        </c:ser>
        <c:dLbls>
          <c:dLblPos val="ctr"/>
          <c:showLegendKey val="0"/>
          <c:showVal val="1"/>
          <c:showCatName val="0"/>
          <c:showSerName val="0"/>
          <c:showPercent val="0"/>
          <c:showBubbleSize val="0"/>
        </c:dLbls>
        <c:gapWidth val="150"/>
        <c:overlap val="100"/>
        <c:axId val="709910592"/>
        <c:axId val="460075696"/>
      </c:barChart>
      <c:catAx>
        <c:axId val="70991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60075696"/>
        <c:crosses val="autoZero"/>
        <c:auto val="1"/>
        <c:lblAlgn val="ctr"/>
        <c:lblOffset val="100"/>
        <c:noMultiLvlLbl val="0"/>
      </c:catAx>
      <c:valAx>
        <c:axId val="460075696"/>
        <c:scaling>
          <c:orientation val="minMax"/>
        </c:scaling>
        <c:delete val="1"/>
        <c:axPos val="b"/>
        <c:numFmt formatCode="0.00%" sourceLinked="1"/>
        <c:majorTickMark val="none"/>
        <c:minorTickMark val="none"/>
        <c:tickLblPos val="nextTo"/>
        <c:crossAx val="70991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dashboard.xlsx]pivot charts!item list</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Combo</a:t>
            </a:r>
            <a:r>
              <a:rPr lang="en-US" sz="1600" b="1" baseline="0">
                <a:solidFill>
                  <a:sysClr val="windowText" lastClr="000000"/>
                </a:solidFill>
              </a:rPr>
              <a:t> Orders</a:t>
            </a:r>
            <a:endParaRPr lang="en-US" sz="1600" b="1">
              <a:solidFill>
                <a:sysClr val="windowText" lastClr="000000"/>
              </a:solidFill>
            </a:endParaRPr>
          </a:p>
        </c:rich>
      </c:tx>
      <c:layout>
        <c:manualLayout>
          <c:xMode val="edge"/>
          <c:yMode val="edge"/>
          <c:x val="0.45991235054515467"/>
          <c:y val="2.376170934627234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87709261645552"/>
          <c:y val="6.4018474188509492E-2"/>
          <c:w val="0.68827020066618583"/>
          <c:h val="0.90696136525459592"/>
        </c:manualLayout>
      </c:layout>
      <c:barChart>
        <c:barDir val="bar"/>
        <c:grouping val="clustered"/>
        <c:varyColors val="0"/>
        <c:ser>
          <c:idx val="0"/>
          <c:order val="0"/>
          <c:tx>
            <c:strRef>
              <c:f>'pivot charts'!$C$132</c:f>
              <c:strCache>
                <c:ptCount val="1"/>
                <c:pt idx="0">
                  <c:v>Total</c:v>
                </c:pt>
              </c:strCache>
            </c:strRef>
          </c:tx>
          <c:spPr>
            <a:solidFill>
              <a:schemeClr val="accent1"/>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charts'!$B$133:$B$147</c:f>
              <c:strCache>
                <c:ptCount val="15"/>
                <c:pt idx="0">
                  <c:v>Beverage</c:v>
                </c:pt>
                <c:pt idx="1">
                  <c:v>Beverage+Snack</c:v>
                </c:pt>
                <c:pt idx="2">
                  <c:v>Snack</c:v>
                </c:pt>
                <c:pt idx="3">
                  <c:v>Hot Meal+Snack</c:v>
                </c:pt>
                <c:pt idx="4">
                  <c:v>Hot Meal</c:v>
                </c:pt>
                <c:pt idx="5">
                  <c:v>Dessert+Hot Meal</c:v>
                </c:pt>
                <c:pt idx="6">
                  <c:v>Beverage+Dessert+Hot Meal</c:v>
                </c:pt>
                <c:pt idx="7">
                  <c:v>Beverage+Hot Meal+Snack</c:v>
                </c:pt>
                <c:pt idx="8">
                  <c:v>Beverage+Hot Meal</c:v>
                </c:pt>
                <c:pt idx="9">
                  <c:v>Beverage+Dessert</c:v>
                </c:pt>
                <c:pt idx="10">
                  <c:v>Dessert+Hot Meal+Snack</c:v>
                </c:pt>
                <c:pt idx="11">
                  <c:v>Beverage+Dessert+Snack</c:v>
                </c:pt>
                <c:pt idx="12">
                  <c:v>Dessert+Snack</c:v>
                </c:pt>
                <c:pt idx="13">
                  <c:v>Dessert</c:v>
                </c:pt>
                <c:pt idx="14">
                  <c:v>Beverage+Dessert+Hot Meal+Snack</c:v>
                </c:pt>
              </c:strCache>
            </c:strRef>
          </c:cat>
          <c:val>
            <c:numRef>
              <c:f>'pivot charts'!$C$133:$C$147</c:f>
              <c:numCache>
                <c:formatCode>General</c:formatCode>
                <c:ptCount val="15"/>
                <c:pt idx="0">
                  <c:v>34</c:v>
                </c:pt>
                <c:pt idx="1">
                  <c:v>31</c:v>
                </c:pt>
                <c:pt idx="2">
                  <c:v>29</c:v>
                </c:pt>
                <c:pt idx="3">
                  <c:v>28</c:v>
                </c:pt>
                <c:pt idx="4">
                  <c:v>27</c:v>
                </c:pt>
                <c:pt idx="5">
                  <c:v>27</c:v>
                </c:pt>
                <c:pt idx="6">
                  <c:v>27</c:v>
                </c:pt>
                <c:pt idx="7">
                  <c:v>25</c:v>
                </c:pt>
                <c:pt idx="8">
                  <c:v>25</c:v>
                </c:pt>
                <c:pt idx="9">
                  <c:v>23</c:v>
                </c:pt>
                <c:pt idx="10">
                  <c:v>23</c:v>
                </c:pt>
                <c:pt idx="11">
                  <c:v>22</c:v>
                </c:pt>
                <c:pt idx="12">
                  <c:v>18</c:v>
                </c:pt>
                <c:pt idx="13">
                  <c:v>12</c:v>
                </c:pt>
                <c:pt idx="14">
                  <c:v>9</c:v>
                </c:pt>
              </c:numCache>
            </c:numRef>
          </c:val>
          <c:extLst>
            <c:ext xmlns:c16="http://schemas.microsoft.com/office/drawing/2014/chart" uri="{C3380CC4-5D6E-409C-BE32-E72D297353CC}">
              <c16:uniqueId val="{00000000-F298-4BC0-9BF7-E311CCAC029D}"/>
            </c:ext>
          </c:extLst>
        </c:ser>
        <c:dLbls>
          <c:showLegendKey val="0"/>
          <c:showVal val="0"/>
          <c:showCatName val="0"/>
          <c:showSerName val="0"/>
          <c:showPercent val="0"/>
          <c:showBubbleSize val="0"/>
        </c:dLbls>
        <c:gapWidth val="182"/>
        <c:axId val="689040688"/>
        <c:axId val="460029616"/>
      </c:barChart>
      <c:catAx>
        <c:axId val="68904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60029616"/>
        <c:crosses val="autoZero"/>
        <c:auto val="1"/>
        <c:lblAlgn val="ctr"/>
        <c:lblOffset val="100"/>
        <c:noMultiLvlLbl val="0"/>
      </c:catAx>
      <c:valAx>
        <c:axId val="460029616"/>
        <c:scaling>
          <c:orientation val="minMax"/>
        </c:scaling>
        <c:delete val="1"/>
        <c:axPos val="b"/>
        <c:numFmt formatCode="General" sourceLinked="1"/>
        <c:majorTickMark val="out"/>
        <c:minorTickMark val="none"/>
        <c:tickLblPos val="nextTo"/>
        <c:crossAx val="68904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711756</xdr:colOff>
      <xdr:row>44</xdr:row>
      <xdr:rowOff>100483</xdr:rowOff>
    </xdr:from>
    <xdr:to>
      <xdr:col>7</xdr:col>
      <xdr:colOff>376813</xdr:colOff>
      <xdr:row>54</xdr:row>
      <xdr:rowOff>83820</xdr:rowOff>
    </xdr:to>
    <xdr:graphicFrame macro="">
      <xdr:nvGraphicFramePr>
        <xdr:cNvPr id="2" name="Chart 1">
          <a:extLst>
            <a:ext uri="{FF2B5EF4-FFF2-40B4-BE49-F238E27FC236}">
              <a16:creationId xmlns:a16="http://schemas.microsoft.com/office/drawing/2014/main" id="{8258349A-1C5C-F6E7-4287-7ECE1E7EC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586153</xdr:colOff>
      <xdr:row>29</xdr:row>
      <xdr:rowOff>118905</xdr:rowOff>
    </xdr:from>
    <xdr:to>
      <xdr:col>6</xdr:col>
      <xdr:colOff>1339780</xdr:colOff>
      <xdr:row>42</xdr:row>
      <xdr:rowOff>117231</xdr:rowOff>
    </xdr:to>
    <xdr:graphicFrame macro="">
      <xdr:nvGraphicFramePr>
        <xdr:cNvPr id="3" name="Chart 2">
          <a:extLst>
            <a:ext uri="{FF2B5EF4-FFF2-40B4-BE49-F238E27FC236}">
              <a16:creationId xmlns:a16="http://schemas.microsoft.com/office/drawing/2014/main" id="{D1CC485F-0F37-DC3F-2D57-F9BE116F4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284703</xdr:colOff>
      <xdr:row>0</xdr:row>
      <xdr:rowOff>85411</xdr:rowOff>
    </xdr:from>
    <xdr:to>
      <xdr:col>16</xdr:col>
      <xdr:colOff>133978</xdr:colOff>
      <xdr:row>15</xdr:row>
      <xdr:rowOff>65314</xdr:rowOff>
    </xdr:to>
    <xdr:graphicFrame macro="">
      <xdr:nvGraphicFramePr>
        <xdr:cNvPr id="5" name="Chart 4">
          <a:extLst>
            <a:ext uri="{FF2B5EF4-FFF2-40B4-BE49-F238E27FC236}">
              <a16:creationId xmlns:a16="http://schemas.microsoft.com/office/drawing/2014/main" id="{1C0E1C47-7AE6-424F-3A92-05A462F3E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267956</xdr:colOff>
      <xdr:row>0</xdr:row>
      <xdr:rowOff>135653</xdr:rowOff>
    </xdr:from>
    <xdr:to>
      <xdr:col>20</xdr:col>
      <xdr:colOff>309824</xdr:colOff>
      <xdr:row>15</xdr:row>
      <xdr:rowOff>25121</xdr:rowOff>
    </xdr:to>
    <xdr:graphicFrame macro="">
      <xdr:nvGraphicFramePr>
        <xdr:cNvPr id="6" name="Chart 5">
          <a:extLst>
            <a:ext uri="{FF2B5EF4-FFF2-40B4-BE49-F238E27FC236}">
              <a16:creationId xmlns:a16="http://schemas.microsoft.com/office/drawing/2014/main" id="{1B2924BD-AE6A-9338-4848-3B2DE2F02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751416</xdr:colOff>
      <xdr:row>28</xdr:row>
      <xdr:rowOff>4233</xdr:rowOff>
    </xdr:from>
    <xdr:to>
      <xdr:col>18</xdr:col>
      <xdr:colOff>645583</xdr:colOff>
      <xdr:row>43</xdr:row>
      <xdr:rowOff>48683</xdr:rowOff>
    </xdr:to>
    <xdr:graphicFrame macro="">
      <xdr:nvGraphicFramePr>
        <xdr:cNvPr id="7" name="Chart 6">
          <a:extLst>
            <a:ext uri="{FF2B5EF4-FFF2-40B4-BE49-F238E27FC236}">
              <a16:creationId xmlns:a16="http://schemas.microsoft.com/office/drawing/2014/main" id="{631C942C-7252-30F2-E252-E41DB0292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579120</xdr:colOff>
      <xdr:row>52</xdr:row>
      <xdr:rowOff>167640</xdr:rowOff>
    </xdr:from>
    <xdr:to>
      <xdr:col>13</xdr:col>
      <xdr:colOff>228600</xdr:colOff>
      <xdr:row>73</xdr:row>
      <xdr:rowOff>38100</xdr:rowOff>
    </xdr:to>
    <xdr:graphicFrame macro="">
      <xdr:nvGraphicFramePr>
        <xdr:cNvPr id="4" name="Chart 3">
          <a:extLst>
            <a:ext uri="{FF2B5EF4-FFF2-40B4-BE49-F238E27FC236}">
              <a16:creationId xmlns:a16="http://schemas.microsoft.com/office/drawing/2014/main" id="{BFEFCA52-7475-343D-EFC0-C789C61A7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406006</xdr:colOff>
      <xdr:row>96</xdr:row>
      <xdr:rowOff>169788</xdr:rowOff>
    </xdr:from>
    <xdr:to>
      <xdr:col>11</xdr:col>
      <xdr:colOff>560552</xdr:colOff>
      <xdr:row>103</xdr:row>
      <xdr:rowOff>1</xdr:rowOff>
    </xdr:to>
    <mc:AlternateContent xmlns:mc="http://schemas.openxmlformats.org/markup-compatibility/2006">
      <mc:Choice xmlns:a14="http://schemas.microsoft.com/office/drawing/2010/main" Requires="a14">
        <xdr:graphicFrame macro="">
          <xdr:nvGraphicFramePr>
            <xdr:cNvPr id="8" name="Branch 1">
              <a:extLst>
                <a:ext uri="{FF2B5EF4-FFF2-40B4-BE49-F238E27FC236}">
                  <a16:creationId xmlns:a16="http://schemas.microsoft.com/office/drawing/2014/main" id="{47C42919-5723-EA2C-D60D-FB17EE4B9845}"/>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9914907" y="17727985"/>
              <a:ext cx="1828800" cy="1107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48939</xdr:colOff>
      <xdr:row>97</xdr:row>
      <xdr:rowOff>70298</xdr:rowOff>
    </xdr:from>
    <xdr:to>
      <xdr:col>8</xdr:col>
      <xdr:colOff>503992</xdr:colOff>
      <xdr:row>103</xdr:row>
      <xdr:rowOff>75128</xdr:rowOff>
    </xdr:to>
    <mc:AlternateContent xmlns:mc="http://schemas.openxmlformats.org/markup-compatibility/2006">
      <mc:Choice xmlns:a14="http://schemas.microsoft.com/office/drawing/2010/main" Requires="a14">
        <xdr:graphicFrame macro="">
          <xdr:nvGraphicFramePr>
            <xdr:cNvPr id="9" name="Shift 1">
              <a:extLst>
                <a:ext uri="{FF2B5EF4-FFF2-40B4-BE49-F238E27FC236}">
                  <a16:creationId xmlns:a16="http://schemas.microsoft.com/office/drawing/2014/main" id="{81B76657-0C41-E54C-08CB-18FE2C2197C4}"/>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dr:sp macro="" textlink="">
          <xdr:nvSpPr>
            <xdr:cNvPr id="0" name=""/>
            <xdr:cNvSpPr>
              <a:spLocks noTextEdit="1"/>
            </xdr:cNvSpPr>
          </xdr:nvSpPr>
          <xdr:spPr>
            <a:xfrm>
              <a:off x="7239643" y="17810946"/>
              <a:ext cx="1828800" cy="1099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676140</xdr:colOff>
      <xdr:row>106</xdr:row>
      <xdr:rowOff>141668</xdr:rowOff>
    </xdr:from>
    <xdr:to>
      <xdr:col>9</xdr:col>
      <xdr:colOff>697605</xdr:colOff>
      <xdr:row>120</xdr:row>
      <xdr:rowOff>21465</xdr:rowOff>
    </xdr:to>
    <xdr:graphicFrame macro="">
      <xdr:nvGraphicFramePr>
        <xdr:cNvPr id="10" name="Chart 9">
          <a:extLst>
            <a:ext uri="{FF2B5EF4-FFF2-40B4-BE49-F238E27FC236}">
              <a16:creationId xmlns:a16="http://schemas.microsoft.com/office/drawing/2014/main" id="{63338C99-E6F3-A44F-AE5D-F032A2504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762000</xdr:colOff>
      <xdr:row>121</xdr:row>
      <xdr:rowOff>12879</xdr:rowOff>
    </xdr:from>
    <xdr:to>
      <xdr:col>9</xdr:col>
      <xdr:colOff>783465</xdr:colOff>
      <xdr:row>136</xdr:row>
      <xdr:rowOff>19319</xdr:rowOff>
    </xdr:to>
    <xdr:graphicFrame macro="">
      <xdr:nvGraphicFramePr>
        <xdr:cNvPr id="12" name="Chart 11">
          <a:extLst>
            <a:ext uri="{FF2B5EF4-FFF2-40B4-BE49-F238E27FC236}">
              <a16:creationId xmlns:a16="http://schemas.microsoft.com/office/drawing/2014/main" id="{81083B03-CC40-9241-969C-C9FCF9BE9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622478</xdr:colOff>
      <xdr:row>137</xdr:row>
      <xdr:rowOff>88005</xdr:rowOff>
    </xdr:from>
    <xdr:to>
      <xdr:col>11</xdr:col>
      <xdr:colOff>321971</xdr:colOff>
      <xdr:row>155</xdr:row>
      <xdr:rowOff>10732</xdr:rowOff>
    </xdr:to>
    <xdr:graphicFrame macro="">
      <xdr:nvGraphicFramePr>
        <xdr:cNvPr id="13" name="Chart 12">
          <a:extLst>
            <a:ext uri="{FF2B5EF4-FFF2-40B4-BE49-F238E27FC236}">
              <a16:creationId xmlns:a16="http://schemas.microsoft.com/office/drawing/2014/main" id="{B6581F2D-7994-0AD8-7F06-D49D5D460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321469</xdr:colOff>
      <xdr:row>0</xdr:row>
      <xdr:rowOff>97049</xdr:rowOff>
    </xdr:from>
    <xdr:to>
      <xdr:col>8</xdr:col>
      <xdr:colOff>385052</xdr:colOff>
      <xdr:row>4</xdr:row>
      <xdr:rowOff>26548</xdr:rowOff>
    </xdr:to>
    <xdr:pic>
      <xdr:nvPicPr>
        <xdr:cNvPr id="9" name="Picture 8">
          <a:extLst>
            <a:ext uri="{FF2B5EF4-FFF2-40B4-BE49-F238E27FC236}">
              <a16:creationId xmlns:a16="http://schemas.microsoft.com/office/drawing/2014/main" id="{94B8915D-02C8-FC4E-6D01-1B3ABBBB69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8532" y="97049"/>
          <a:ext cx="1278020" cy="643874"/>
        </a:xfrm>
        <a:prstGeom prst="rect">
          <a:avLst/>
        </a:prstGeom>
      </xdr:spPr>
    </xdr:pic>
    <xdr:clientData/>
  </xdr:twoCellAnchor>
  <xdr:twoCellAnchor editAs="oneCell">
    <xdr:from>
      <xdr:col>27</xdr:col>
      <xdr:colOff>602775</xdr:colOff>
      <xdr:row>0</xdr:row>
      <xdr:rowOff>156016</xdr:rowOff>
    </xdr:from>
    <xdr:to>
      <xdr:col>29</xdr:col>
      <xdr:colOff>204716</xdr:colOff>
      <xdr:row>4</xdr:row>
      <xdr:rowOff>11373</xdr:rowOff>
    </xdr:to>
    <xdr:pic>
      <xdr:nvPicPr>
        <xdr:cNvPr id="11" name="Picture 10">
          <a:extLst>
            <a:ext uri="{FF2B5EF4-FFF2-40B4-BE49-F238E27FC236}">
              <a16:creationId xmlns:a16="http://schemas.microsoft.com/office/drawing/2014/main" id="{42B10550-90D3-D189-75D0-CA3524FA9D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411432" y="156016"/>
          <a:ext cx="807493" cy="583238"/>
        </a:xfrm>
        <a:prstGeom prst="rect">
          <a:avLst/>
        </a:prstGeom>
      </xdr:spPr>
    </xdr:pic>
    <xdr:clientData/>
  </xdr:twoCellAnchor>
  <xdr:twoCellAnchor editAs="oneCell">
    <xdr:from>
      <xdr:col>31</xdr:col>
      <xdr:colOff>452439</xdr:colOff>
      <xdr:row>5</xdr:row>
      <xdr:rowOff>71437</xdr:rowOff>
    </xdr:from>
    <xdr:to>
      <xdr:col>34</xdr:col>
      <xdr:colOff>775368</xdr:colOff>
      <xdr:row>12</xdr:row>
      <xdr:rowOff>47625</xdr:rowOff>
    </xdr:to>
    <mc:AlternateContent xmlns:mc="http://schemas.openxmlformats.org/markup-compatibility/2006">
      <mc:Choice xmlns:a14="http://schemas.microsoft.com/office/drawing/2010/main" Requires="a14">
        <xdr:graphicFrame macro="">
          <xdr:nvGraphicFramePr>
            <xdr:cNvPr id="8" name="Branch 2">
              <a:extLst>
                <a:ext uri="{FF2B5EF4-FFF2-40B4-BE49-F238E27FC236}">
                  <a16:creationId xmlns:a16="http://schemas.microsoft.com/office/drawing/2014/main" id="{7DB19812-5B79-43A3-8DDD-E9202D5D5976}"/>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dr:sp macro="" textlink="">
          <xdr:nvSpPr>
            <xdr:cNvPr id="0" name=""/>
            <xdr:cNvSpPr>
              <a:spLocks noTextEdit="1"/>
            </xdr:cNvSpPr>
          </xdr:nvSpPr>
          <xdr:spPr>
            <a:xfrm>
              <a:off x="18646860" y="1007226"/>
              <a:ext cx="3197140" cy="1460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416719</xdr:colOff>
      <xdr:row>13</xdr:row>
      <xdr:rowOff>154782</xdr:rowOff>
    </xdr:from>
    <xdr:to>
      <xdr:col>34</xdr:col>
      <xdr:colOff>775368</xdr:colOff>
      <xdr:row>22</xdr:row>
      <xdr:rowOff>0</xdr:rowOff>
    </xdr:to>
    <mc:AlternateContent xmlns:mc="http://schemas.openxmlformats.org/markup-compatibility/2006">
      <mc:Choice xmlns:a14="http://schemas.microsoft.com/office/drawing/2010/main" Requires="a14">
        <xdr:graphicFrame macro="">
          <xdr:nvGraphicFramePr>
            <xdr:cNvPr id="10" name="Shift 2">
              <a:extLst>
                <a:ext uri="{FF2B5EF4-FFF2-40B4-BE49-F238E27FC236}">
                  <a16:creationId xmlns:a16="http://schemas.microsoft.com/office/drawing/2014/main" id="{FA58195B-5072-42B5-A5B8-0CC16E63E259}"/>
                </a:ext>
              </a:extLst>
            </xdr:cNvPr>
            <xdr:cNvGraphicFramePr/>
          </xdr:nvGraphicFramePr>
          <xdr:xfrm>
            <a:off x="0" y="0"/>
            <a:ext cx="0" cy="0"/>
          </xdr:xfrm>
          <a:graphic>
            <a:graphicData uri="http://schemas.microsoft.com/office/drawing/2010/slicer">
              <sle:slicer xmlns:sle="http://schemas.microsoft.com/office/drawing/2010/slicer" name="Shift 2"/>
            </a:graphicData>
          </a:graphic>
        </xdr:graphicFrame>
      </mc:Choice>
      <mc:Fallback>
        <xdr:sp macro="" textlink="">
          <xdr:nvSpPr>
            <xdr:cNvPr id="0" name=""/>
            <xdr:cNvSpPr>
              <a:spLocks noTextEdit="1"/>
            </xdr:cNvSpPr>
          </xdr:nvSpPr>
          <xdr:spPr>
            <a:xfrm>
              <a:off x="18611140" y="2761624"/>
              <a:ext cx="3232860" cy="15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142875</xdr:colOff>
      <xdr:row>9</xdr:row>
      <xdr:rowOff>95250</xdr:rowOff>
    </xdr:from>
    <xdr:to>
      <xdr:col>30</xdr:col>
      <xdr:colOff>154781</xdr:colOff>
      <xdr:row>24</xdr:row>
      <xdr:rowOff>154782</xdr:rowOff>
    </xdr:to>
    <xdr:graphicFrame macro="">
      <xdr:nvGraphicFramePr>
        <xdr:cNvPr id="12" name="Chart 11">
          <a:extLst>
            <a:ext uri="{FF2B5EF4-FFF2-40B4-BE49-F238E27FC236}">
              <a16:creationId xmlns:a16="http://schemas.microsoft.com/office/drawing/2014/main" id="{85C05625-F979-49F1-977E-53BFF7C47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71438</xdr:colOff>
      <xdr:row>9</xdr:row>
      <xdr:rowOff>119063</xdr:rowOff>
    </xdr:from>
    <xdr:to>
      <xdr:col>20</xdr:col>
      <xdr:colOff>285750</xdr:colOff>
      <xdr:row>25</xdr:row>
      <xdr:rowOff>0</xdr:rowOff>
    </xdr:to>
    <xdr:graphicFrame macro="">
      <xdr:nvGraphicFramePr>
        <xdr:cNvPr id="13" name="Chart 12">
          <a:extLst>
            <a:ext uri="{FF2B5EF4-FFF2-40B4-BE49-F238E27FC236}">
              <a16:creationId xmlns:a16="http://schemas.microsoft.com/office/drawing/2014/main" id="{B1AB40BC-DE72-49EF-AC50-4A11A195C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142875</xdr:colOff>
      <xdr:row>9</xdr:row>
      <xdr:rowOff>35719</xdr:rowOff>
    </xdr:from>
    <xdr:to>
      <xdr:col>11</xdr:col>
      <xdr:colOff>178593</xdr:colOff>
      <xdr:row>42</xdr:row>
      <xdr:rowOff>11906</xdr:rowOff>
    </xdr:to>
    <xdr:graphicFrame macro="">
      <xdr:nvGraphicFramePr>
        <xdr:cNvPr id="14" name="Chart 13">
          <a:extLst>
            <a:ext uri="{FF2B5EF4-FFF2-40B4-BE49-F238E27FC236}">
              <a16:creationId xmlns:a16="http://schemas.microsoft.com/office/drawing/2014/main" id="{48BDEC8E-6572-4A42-8638-7A11941DE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bi patel" refreshedDate="46245.340063310185" createdVersion="8" refreshedVersion="8" minRefreshableVersion="3" recordCount="360" xr:uid="{8163C10D-96BA-4ED6-AA6D-F83D6598513B}">
  <cacheSource type="worksheet">
    <worksheetSource name="Orders"/>
  </cacheSource>
  <cacheFields count="17">
    <cacheField name="OrderID" numFmtId="0">
      <sharedItems/>
    </cacheField>
    <cacheField name="OrderDateTime" numFmtId="164">
      <sharedItems containsSemiMixedTypes="0" containsNonDate="0" containsDate="1" containsString="0" minDate="2025-07-01T09:56:27" maxDate="2025-08-29T12:47:25" count="360">
        <d v="2025-07-14T02:18:32"/>
        <d v="2025-07-24T20:13:28"/>
        <d v="2025-07-10T15:51:54"/>
        <d v="2025-08-10T03:56:15"/>
        <d v="2025-07-07T03:14:15"/>
        <d v="2025-07-25T09:24:40"/>
        <d v="2025-07-14T20:38:54"/>
        <d v="2025-07-25T12:05:28"/>
        <d v="2025-07-06T03:52:45"/>
        <d v="2025-07-24T04:48:14"/>
        <d v="2025-07-22T00:04:02"/>
        <d v="2025-07-01T11:01:20"/>
        <d v="2025-08-11T07:40:43"/>
        <d v="2025-07-16T06:42:09"/>
        <d v="2025-08-26T11:35:16"/>
        <d v="2025-07-06T19:12:17"/>
        <d v="2025-08-21T19:36:48"/>
        <d v="2025-07-19T07:00:12"/>
        <d v="2025-08-09T10:51:54"/>
        <d v="2025-07-09T05:02:06"/>
        <d v="2025-07-31T23:11:42"/>
        <d v="2025-07-24T10:10:42"/>
        <d v="2025-08-14T15:24:37"/>
        <d v="2025-08-24T21:52:12"/>
        <d v="2025-08-19T08:47:48"/>
        <d v="2025-07-24T23:13:26"/>
        <d v="2025-08-22T23:47:22"/>
        <d v="2025-07-02T00:13:44"/>
        <d v="2025-07-14T06:55:15"/>
        <d v="2025-07-16T08:13:11"/>
        <d v="2025-08-03T12:58:08"/>
        <d v="2025-08-19T07:41:18"/>
        <d v="2025-08-11T09:00:11"/>
        <d v="2025-07-13T22:49:54"/>
        <d v="2025-08-23T19:30:30"/>
        <d v="2025-07-12T02:41:06"/>
        <d v="2025-07-04T17:57:05"/>
        <d v="2025-08-11T23:28:32"/>
        <d v="2025-07-05T02:57:42"/>
        <d v="2025-07-11T05:31:35"/>
        <d v="2025-07-24T05:38:16"/>
        <d v="2025-07-18T15:56:26"/>
        <d v="2025-07-27T03:42:08"/>
        <d v="2025-07-05T00:14:05"/>
        <d v="2025-08-04T04:45:47"/>
        <d v="2025-07-20T00:01:30"/>
        <d v="2025-07-28T08:24:30"/>
        <d v="2025-08-22T07:28:23"/>
        <d v="2025-07-18T14:05:35"/>
        <d v="2025-08-28T04:06:42"/>
        <d v="2025-08-12T14:52:17"/>
        <d v="2025-08-26T05:32:51"/>
        <d v="2025-07-01T09:56:27"/>
        <d v="2025-08-05T14:41:51"/>
        <d v="2025-07-31T17:28:35"/>
        <d v="2025-08-19T11:40:51"/>
        <d v="2025-08-09T07:39:39"/>
        <d v="2025-07-19T21:01:11"/>
        <d v="2025-08-25T12:06:40"/>
        <d v="2025-07-30T18:04:47"/>
        <d v="2025-08-15T09:30:03"/>
        <d v="2025-08-19T21:07:18"/>
        <d v="2025-07-28T19:16:12"/>
        <d v="2025-07-10T07:36:28"/>
        <d v="2025-07-20T14:00:22"/>
        <d v="2025-08-16T09:08:52"/>
        <d v="2025-08-26T03:24:37"/>
        <d v="2025-08-18T05:58:56"/>
        <d v="2025-07-11T14:21:59"/>
        <d v="2025-08-15T08:28:46"/>
        <d v="2025-08-14T13:37:59"/>
        <d v="2025-08-24T12:23:25"/>
        <d v="2025-08-11T16:22:40"/>
        <d v="2025-08-13T22:44:18"/>
        <d v="2025-08-20T20:42:59"/>
        <d v="2025-08-12T22:58:38"/>
        <d v="2025-07-27T15:08:31"/>
        <d v="2025-07-14T16:26:05"/>
        <d v="2025-07-22T00:32:46"/>
        <d v="2025-08-22T22:22:32"/>
        <d v="2025-08-11T01:00:19"/>
        <d v="2025-08-26T03:27:20"/>
        <d v="2025-07-30T05:49:04"/>
        <d v="2025-08-28T19:40:49"/>
        <d v="2025-08-12T13:34:17"/>
        <d v="2025-08-09T12:07:34"/>
        <d v="2025-08-22T02:35:53"/>
        <d v="2025-07-09T09:36:42"/>
        <d v="2025-07-18T21:27:33"/>
        <d v="2025-07-21T19:12:15"/>
        <d v="2025-07-28T06:23:05"/>
        <d v="2025-07-03T03:09:58"/>
        <d v="2025-07-23T00:28:31"/>
        <d v="2025-07-04T06:18:18"/>
        <d v="2025-07-24T09:51:00"/>
        <d v="2025-08-25T00:08:39"/>
        <d v="2025-08-06T01:35:17"/>
        <d v="2025-07-17T03:36:07"/>
        <d v="2025-07-31T12:54:47"/>
        <d v="2025-07-20T12:08:30"/>
        <d v="2025-07-11T03:26:50"/>
        <d v="2025-08-25T04:43:06"/>
        <d v="2025-08-06T05:29:33"/>
        <d v="2025-07-02T11:28:53"/>
        <d v="2025-08-05T09:57:33"/>
        <d v="2025-08-12T12:45:30"/>
        <d v="2025-08-22T12:02:01"/>
        <d v="2025-08-01T13:01:26"/>
        <d v="2025-07-24T22:14:34"/>
        <d v="2025-08-02T21:51:39"/>
        <d v="2025-08-17T14:04:25"/>
        <d v="2025-07-28T09:39:05"/>
        <d v="2025-07-02T05:39:13"/>
        <d v="2025-08-09T17:02:46"/>
        <d v="2025-08-17T21:41:47"/>
        <d v="2025-07-22T18:21:25"/>
        <d v="2025-08-26T17:07:21"/>
        <d v="2025-08-03T15:00:46"/>
        <d v="2025-08-04T09:46:40"/>
        <d v="2025-07-25T15:48:46"/>
        <d v="2025-07-31T21:16:48"/>
        <d v="2025-07-19T20:19:22"/>
        <d v="2025-08-27T11:50:13"/>
        <d v="2025-07-20T02:19:36"/>
        <d v="2025-07-30T14:20:04"/>
        <d v="2025-07-27T21:11:30"/>
        <d v="2025-07-13T12:15:09"/>
        <d v="2025-08-25T23:39:59"/>
        <d v="2025-08-03T07:54:08"/>
        <d v="2025-07-12T07:50:32"/>
        <d v="2025-08-26T06:33:24"/>
        <d v="2025-07-15T17:39:20"/>
        <d v="2025-07-12T18:00:43"/>
        <d v="2025-08-20T23:40:56"/>
        <d v="2025-08-27T09:21:46"/>
        <d v="2025-08-29T10:32:34"/>
        <d v="2025-07-26T22:40:12"/>
        <d v="2025-07-18T03:00:53"/>
        <d v="2025-08-09T21:54:53"/>
        <d v="2025-07-29T12:41:00"/>
        <d v="2025-08-14T07:58:10"/>
        <d v="2025-08-27T12:18:33"/>
        <d v="2025-08-23T02:55:20"/>
        <d v="2025-07-15T01:26:04"/>
        <d v="2025-08-28T00:33:11"/>
        <d v="2025-07-13T07:45:54"/>
        <d v="2025-07-27T16:22:46"/>
        <d v="2025-07-09T01:26:35"/>
        <d v="2025-08-28T20:45:17"/>
        <d v="2025-08-26T02:18:39"/>
        <d v="2025-08-26T04:45:10"/>
        <d v="2025-08-13T04:28:09"/>
        <d v="2025-08-17T23:48:14"/>
        <d v="2025-08-02T14:39:53"/>
        <d v="2025-08-02T06:29:53"/>
        <d v="2025-08-09T03:07:16"/>
        <d v="2025-07-31T18:52:41"/>
        <d v="2025-08-20T05:05:46"/>
        <d v="2025-08-10T08:56:11"/>
        <d v="2025-08-18T15:34:23"/>
        <d v="2025-07-27T04:17:10"/>
        <d v="2025-08-17T07:27:37"/>
        <d v="2025-07-16T15:02:52"/>
        <d v="2025-08-09T20:41:13"/>
        <d v="2025-07-12T15:42:57"/>
        <d v="2025-08-19T15:45:27"/>
        <d v="2025-08-16T02:21:06"/>
        <d v="2025-08-07T11:49:12"/>
        <d v="2025-07-08T00:40:09"/>
        <d v="2025-07-27T04:33:26"/>
        <d v="2025-08-27T05:39:50"/>
        <d v="2025-08-13T14:31:51"/>
        <d v="2025-08-23T20:03:38"/>
        <d v="2025-07-19T13:35:30"/>
        <d v="2025-07-23T22:14:23"/>
        <d v="2025-08-07T06:19:58"/>
        <d v="2025-08-18T08:11:57"/>
        <d v="2025-07-10T23:51:59"/>
        <d v="2025-07-02T17:45:44"/>
        <d v="2025-07-08T12:21:44"/>
        <d v="2025-07-09T01:08:53"/>
        <d v="2025-07-31T23:52:26"/>
        <d v="2025-07-04T17:39:03"/>
        <d v="2025-07-23T08:04:53"/>
        <d v="2025-07-11T00:11:55"/>
        <d v="2025-07-04T01:27:07"/>
        <d v="2025-08-05T01:16:48"/>
        <d v="2025-08-21T19:42:26"/>
        <d v="2025-07-17T18:05:26"/>
        <d v="2025-07-24T15:10:26"/>
        <d v="2025-08-15T00:33:25"/>
        <d v="2025-07-02T03:53:51"/>
        <d v="2025-07-16T14:06:35"/>
        <d v="2025-08-11T10:42:41"/>
        <d v="2025-07-20T14:12:33"/>
        <d v="2025-08-07T06:38:35"/>
        <d v="2025-07-29T21:56:15"/>
        <d v="2025-07-02T00:52:10"/>
        <d v="2025-08-29T03:01:46"/>
        <d v="2025-08-29T04:33:50"/>
        <d v="2025-07-25T14:00:09"/>
        <d v="2025-07-10T16:24:30"/>
        <d v="2025-08-13T01:11:32"/>
        <d v="2025-07-10T00:01:33"/>
        <d v="2025-07-18T07:16:15"/>
        <d v="2025-08-21T18:58:32"/>
        <d v="2025-08-17T00:47:12"/>
        <d v="2025-08-15T17:17:28"/>
        <d v="2025-08-24T08:37:57"/>
        <d v="2025-07-26T22:13:59"/>
        <d v="2025-07-26T16:52:49"/>
        <d v="2025-07-11T18:27:52"/>
        <d v="2025-08-24T18:10:26"/>
        <d v="2025-08-15T07:49:18"/>
        <d v="2025-07-12T13:52:28"/>
        <d v="2025-08-18T01:53:54"/>
        <d v="2025-07-14T10:07:12"/>
        <d v="2025-08-10T22:38:10"/>
        <d v="2025-08-10T12:45:03"/>
        <d v="2025-07-28T09:50:30"/>
        <d v="2025-08-13T07:09:26"/>
        <d v="2025-08-05T21:57:08"/>
        <d v="2025-08-08T21:43:57"/>
        <d v="2025-07-10T03:36:52"/>
        <d v="2025-07-06T03:51:23"/>
        <d v="2025-07-07T21:52:23"/>
        <d v="2025-07-23T20:55:34"/>
        <d v="2025-07-28T04:05:49"/>
        <d v="2025-07-18T04:36:27"/>
        <d v="2025-07-02T16:37:37"/>
        <d v="2025-07-02T18:46:21"/>
        <d v="2025-08-11T02:54:33"/>
        <d v="2025-08-16T11:44:00"/>
        <d v="2025-08-14T03:14:56"/>
        <d v="2025-08-20T21:04:09"/>
        <d v="2025-07-07T03:44:00"/>
        <d v="2025-08-17T20:24:33"/>
        <d v="2025-08-01T12:34:29"/>
        <d v="2025-07-27T22:50:01"/>
        <d v="2025-08-01T19:44:13"/>
        <d v="2025-08-14T07:14:00"/>
        <d v="2025-07-12T08:36:14"/>
        <d v="2025-08-12T00:08:08"/>
        <d v="2025-08-14T06:43:44"/>
        <d v="2025-07-31T14:17:25"/>
        <d v="2025-08-06T14:11:04"/>
        <d v="2025-07-10T02:34:08"/>
        <d v="2025-08-06T10:19:48"/>
        <d v="2025-08-24T18:49:01"/>
        <d v="2025-08-04T13:56:35"/>
        <d v="2025-07-29T04:13:30"/>
        <d v="2025-08-26T08:38:51"/>
        <d v="2025-07-23T00:31:42"/>
        <d v="2025-07-12T09:42:07"/>
        <d v="2025-08-24T17:08:41"/>
        <d v="2025-07-03T19:10:33"/>
        <d v="2025-07-04T01:27:56"/>
        <d v="2025-08-03T05:50:55"/>
        <d v="2025-08-25T05:37:25"/>
        <d v="2025-07-04T05:26:10"/>
        <d v="2025-08-06T18:35:47"/>
        <d v="2025-08-06T04:17:10"/>
        <d v="2025-07-06T08:35:14"/>
        <d v="2025-07-09T04:05:55"/>
        <d v="2025-08-17T09:40:25"/>
        <d v="2025-07-22T04:18:43"/>
        <d v="2025-07-12T00:23:30"/>
        <d v="2025-08-21T09:50:43"/>
        <d v="2025-08-08T15:01:49"/>
        <d v="2025-07-30T12:21:28"/>
        <d v="2025-08-02T02:34:49"/>
        <d v="2025-07-18T07:23:54"/>
        <d v="2025-08-18T19:41:44"/>
        <d v="2025-08-08T19:14:34"/>
        <d v="2025-08-14T21:18:18"/>
        <d v="2025-08-25T22:07:05"/>
        <d v="2025-07-29T08:37:09"/>
        <d v="2025-07-17T22:29:36"/>
        <d v="2025-07-09T19:21:27"/>
        <d v="2025-08-27T10:10:10"/>
        <d v="2025-07-31T08:59:31"/>
        <d v="2025-07-17T13:46:39"/>
        <d v="2025-08-21T18:23:55"/>
        <d v="2025-07-15T14:08:32"/>
        <d v="2025-07-20T09:40:35"/>
        <d v="2025-07-18T10:46:49"/>
        <d v="2025-08-25T01:21:40"/>
        <d v="2025-07-31T22:39:25"/>
        <d v="2025-08-13T04:25:10"/>
        <d v="2025-08-04T10:05:05"/>
        <d v="2025-08-14T03:02:08"/>
        <d v="2025-07-08T16:47:46"/>
        <d v="2025-08-07T13:54:32"/>
        <d v="2025-08-13T21:57:19"/>
        <d v="2025-08-28T23:45:56"/>
        <d v="2025-08-13T23:47:41"/>
        <d v="2025-08-19T05:41:03"/>
        <d v="2025-08-12T18:03:02"/>
        <d v="2025-08-05T13:56:37"/>
        <d v="2025-08-03T02:27:09"/>
        <d v="2025-07-07T15:35:08"/>
        <d v="2025-07-28T20:06:37"/>
        <d v="2025-08-02T14:47:23"/>
        <d v="2025-08-04T05:08:29"/>
        <d v="2025-07-13T18:28:44"/>
        <d v="2025-08-24T12:22:58"/>
        <d v="2025-08-21T08:35:07"/>
        <d v="2025-08-19T14:51:50"/>
        <d v="2025-07-18T18:02:34"/>
        <d v="2025-07-23T05:53:00"/>
        <d v="2025-07-11T01:40:30"/>
        <d v="2025-07-04T21:57:28"/>
        <d v="2025-08-28T05:41:06"/>
        <d v="2025-07-17T07:44:03"/>
        <d v="2025-08-05T14:52:44"/>
        <d v="2025-08-29T12:47:25"/>
        <d v="2025-08-22T02:20:10"/>
        <d v="2025-08-05T23:07:53"/>
        <d v="2025-07-28T14:34:32"/>
        <d v="2025-07-16T23:37:22"/>
        <d v="2025-07-06T07:35:15"/>
        <d v="2025-07-11T05:03:05"/>
        <d v="2025-07-09T09:26:35"/>
        <d v="2025-07-15T13:20:50"/>
        <d v="2025-08-04T04:35:32"/>
        <d v="2025-08-18T23:45:40"/>
        <d v="2025-08-06T15:36:35"/>
        <d v="2025-08-02T19:16:59"/>
        <d v="2025-08-16T02:53:59"/>
        <d v="2025-08-13T19:19:01"/>
        <d v="2025-07-26T02:20:45"/>
        <d v="2025-08-11T08:15:18"/>
        <d v="2025-07-13T01:55:38"/>
        <d v="2025-07-07T08:21:04"/>
        <d v="2025-07-02T20:17:49"/>
        <d v="2025-07-15T04:33:29"/>
        <d v="2025-07-24T14:33:19"/>
        <d v="2025-08-21T01:48:26"/>
        <d v="2025-08-19T12:09:33"/>
        <d v="2025-08-15T21:29:38"/>
        <d v="2025-07-25T21:02:52"/>
        <d v="2025-08-03T17:26:52"/>
        <d v="2025-08-26T17:55:58"/>
        <d v="2025-08-04T10:54:58"/>
        <d v="2025-08-15T08:38:59"/>
        <d v="2025-07-14T08:13:45"/>
        <d v="2025-07-29T17:46:14"/>
        <d v="2025-07-31T21:23:29"/>
        <d v="2025-08-16T05:06:05"/>
        <d v="2025-07-29T00:41:12"/>
        <d v="2025-07-27T18:38:27"/>
        <d v="2025-08-12T22:39:38"/>
        <d v="2025-08-18T13:18:48"/>
        <d v="2025-08-11T11:09:21"/>
        <d v="2025-08-23T05:02:50"/>
        <d v="2025-08-02T02:06:31"/>
        <d v="2025-08-28T18:12:36"/>
        <d v="2025-08-04T09:09:49"/>
        <d v="2025-08-12T11:29:05"/>
        <d v="2025-08-09T16:32:18"/>
      </sharedItems>
      <fieldGroup par="15"/>
    </cacheField>
    <cacheField name="Branch" numFmtId="0">
      <sharedItems count="3">
        <s v="Head Office Café"/>
        <s v="Plant 2 Canteen"/>
        <s v="Plant 1 Canteen"/>
      </sharedItems>
    </cacheField>
    <cacheField name="CustomerType" numFmtId="0">
      <sharedItems/>
    </cacheField>
    <cacheField name="PaymentType" numFmtId="0">
      <sharedItems count="3">
        <s v="UPI"/>
        <s v="Cash"/>
        <s v="Card"/>
      </sharedItems>
    </cacheField>
    <cacheField name="Shift" numFmtId="0">
      <sharedItems count="3">
        <s v="Breakfast"/>
        <s v="Dinner"/>
        <s v="Lunch"/>
      </sharedItems>
    </cacheField>
    <cacheField name="DiscountPct" numFmtId="0">
      <sharedItems containsSemiMixedTypes="0" containsString="0" containsNumber="1" minValue="0" maxValue="0.21"/>
    </cacheField>
    <cacheField name="Revenue" numFmtId="2">
      <sharedItems containsSemiMixedTypes="0" containsString="0" containsNumber="1" minValue="18.501200000000001" maxValue="1569.9879999999998"/>
    </cacheField>
    <cacheField name="has beverage" numFmtId="0">
      <sharedItems count="2">
        <s v="no"/>
        <s v="yes"/>
      </sharedItems>
    </cacheField>
    <cacheField name="combo flag" numFmtId="0">
      <sharedItems count="2">
        <s v="single"/>
        <s v="combo"/>
      </sharedItems>
    </cacheField>
    <cacheField name="disc" numFmtId="2">
      <sharedItems/>
    </cacheField>
    <cacheField name="total cost" numFmtId="0">
      <sharedItems containsSemiMixedTypes="0" containsString="0" containsNumber="1" minValue="8" maxValue="771.58"/>
    </cacheField>
    <cacheField name="profit" numFmtId="2">
      <sharedItems containsSemiMixedTypes="0" containsString="0" containsNumber="1" minValue="10.501200000000001" maxValue="808.31000000000017"/>
    </cacheField>
    <cacheField name="Item list" numFmtId="0">
      <sharedItems count="15">
        <s v="Snack"/>
        <s v="Beverage+Dessert"/>
        <s v="Beverage+Hot Meal+Snack"/>
        <s v="Hot Meal"/>
        <s v="Beverage+Snack"/>
        <s v="Beverage"/>
        <s v="Beverage+Hot Meal"/>
        <s v="Dessert+Hot Meal+Snack"/>
        <s v="Beverage+Dessert+Hot Meal+Snack"/>
        <s v="Dessert+Snack"/>
        <s v="Beverage+Dessert+Hot Meal"/>
        <s v="Hot Meal+Snack"/>
        <s v="Beverage+Dessert+Snack"/>
        <s v="Dessert+Hot Meal"/>
        <s v="Dessert"/>
      </sharedItems>
    </cacheField>
    <cacheField name="Days (OrderDateTime)" numFmtId="0" databaseField="0">
      <fieldGroup base="1">
        <rangePr groupBy="days" startDate="2025-07-01T09:56:27" endDate="2025-08-29T12:47:25"/>
        <groupItems count="368">
          <s v="&lt;01/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8/2025"/>
        </groupItems>
      </fieldGroup>
    </cacheField>
    <cacheField name="Months (OrderDateTime)" numFmtId="0" databaseField="0">
      <fieldGroup base="1">
        <rangePr groupBy="months" startDate="2025-07-01T09:56:27" endDate="2025-08-29T12:47:25"/>
        <groupItems count="14">
          <s v="&lt;01/07/2025"/>
          <s v="Jan"/>
          <s v="Feb"/>
          <s v="Mar"/>
          <s v="Apr"/>
          <s v="May"/>
          <s v="Jun"/>
          <s v="Jul"/>
          <s v="Aug"/>
          <s v="Sep"/>
          <s v="Oct"/>
          <s v="Nov"/>
          <s v="Dec"/>
          <s v="&gt;29/08/2025"/>
        </groupItems>
      </fieldGroup>
    </cacheField>
    <cacheField name="gm%" numFmtId="0" formula="(Revenue-'total cost') /Revenue" databaseField="0"/>
  </cacheFields>
  <extLst>
    <ext xmlns:x14="http://schemas.microsoft.com/office/spreadsheetml/2009/9/main" uri="{725AE2AE-9491-48be-B2B4-4EB974FC3084}">
      <x14:pivotCacheDefinition pivotCacheId="465092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bi patel" refreshedDate="46245.34006678241" createdVersion="8" refreshedVersion="8" minRefreshableVersion="3" recordCount="924" xr:uid="{8AC1C52A-4F22-410E-A7A3-55754B3259E6}">
  <cacheSource type="worksheet">
    <worksheetSource name="OrderLines"/>
  </cacheSource>
  <cacheFields count="20">
    <cacheField name="OrderID" numFmtId="0">
      <sharedItems/>
    </cacheField>
    <cacheField name="SKU" numFmtId="0">
      <sharedItems count="19">
        <s v="SHJ7XV"/>
        <s v="BTIQJ7"/>
        <s v="DH9SDB"/>
        <s v="BOC6UZ"/>
        <s v="H3A3ZM"/>
        <s v="SZBIKC"/>
        <s v="HH1DNM"/>
        <s v="SCKW5N"/>
        <s v="B0T0PV"/>
        <s v="BXO6QJ"/>
        <s v="BHL1C3"/>
        <s v="DYTJXE"/>
        <s v="DFFYVN"/>
        <s v="D9T84A"/>
        <s v="HDPBHS"/>
        <s v="HXAJI0"/>
        <s v="HUZZPQ"/>
        <s v="SV30T9"/>
        <s v="S5NQ4F"/>
      </sharedItems>
    </cacheField>
    <cacheField name="Qty" numFmtId="0">
      <sharedItems containsSemiMixedTypes="0" containsString="0" containsNumber="1" containsInteger="1" minValue="1" maxValue="3"/>
    </cacheField>
    <cacheField name="UnitPrice" numFmtId="0">
      <sharedItems containsSemiMixedTypes="0" containsString="0" containsNumber="1" minValue="20.11" maxValue="256.91000000000003"/>
    </cacheField>
    <cacheField name="UnitCost" numFmtId="0">
      <sharedItems containsSemiMixedTypes="0" containsString="0" containsNumber="1" minValue="8" maxValue="121.24"/>
    </cacheField>
    <cacheField name="Category" numFmtId="0">
      <sharedItems count="4">
        <s v="Snack"/>
        <s v="Beverage"/>
        <s v="Dessert"/>
        <s v="Hot Meal"/>
      </sharedItems>
    </cacheField>
    <cacheField name="Item category" numFmtId="0">
      <sharedItems/>
    </cacheField>
    <cacheField name="OrderDateTime" numFmtId="165">
      <sharedItems containsSemiMixedTypes="0" containsNonDate="0" containsDate="1" containsString="0" minDate="2025-07-01T00:00:00" maxDate="2025-08-30T00:00:00" count="60">
        <d v="2025-07-14T00:00:00"/>
        <d v="2025-07-24T00:00:00"/>
        <d v="2025-07-10T00:00:00"/>
        <d v="2025-08-10T00:00:00"/>
        <d v="2025-07-07T00:00:00"/>
        <d v="2025-07-25T00:00:00"/>
        <d v="2025-07-06T00:00:00"/>
        <d v="2025-07-22T00:00:00"/>
        <d v="2025-07-01T00:00:00"/>
        <d v="2025-08-11T00:00:00"/>
        <d v="2025-07-16T00:00:00"/>
        <d v="2025-08-26T00:00:00"/>
        <d v="2025-08-21T00:00:00"/>
        <d v="2025-07-19T00:00:00"/>
        <d v="2025-08-09T00:00:00"/>
        <d v="2025-07-09T00:00:00"/>
        <d v="2025-07-31T00:00:00"/>
        <d v="2025-08-14T00:00:00"/>
        <d v="2025-08-24T00:00:00"/>
        <d v="2025-08-19T00:00:00"/>
        <d v="2025-08-22T00:00:00"/>
        <d v="2025-07-02T00:00:00"/>
        <d v="2025-08-03T00:00:00"/>
        <d v="2025-07-13T00:00:00"/>
        <d v="2025-08-23T00:00:00"/>
        <d v="2025-07-12T00:00:00"/>
        <d v="2025-07-04T00:00:00"/>
        <d v="2025-07-05T00:00:00"/>
        <d v="2025-07-11T00:00:00"/>
        <d v="2025-07-18T00:00:00"/>
        <d v="2025-07-27T00:00:00"/>
        <d v="2025-08-04T00:00:00"/>
        <d v="2025-07-20T00:00:00"/>
        <d v="2025-07-28T00:00:00"/>
        <d v="2025-08-28T00:00:00"/>
        <d v="2025-08-12T00:00:00"/>
        <d v="2025-08-05T00:00:00"/>
        <d v="2025-08-25T00:00:00"/>
        <d v="2025-07-30T00:00:00"/>
        <d v="2025-08-15T00:00:00"/>
        <d v="2025-08-16T00:00:00"/>
        <d v="2025-08-18T00:00:00"/>
        <d v="2025-08-13T00:00:00"/>
        <d v="2025-08-20T00:00:00"/>
        <d v="2025-07-21T00:00:00"/>
        <d v="2025-07-03T00:00:00"/>
        <d v="2025-07-23T00:00:00"/>
        <d v="2025-08-06T00:00:00"/>
        <d v="2025-07-17T00:00:00"/>
        <d v="2025-08-01T00:00:00"/>
        <d v="2025-08-02T00:00:00"/>
        <d v="2025-08-17T00:00:00"/>
        <d v="2025-08-27T00:00:00"/>
        <d v="2025-07-15T00:00:00"/>
        <d v="2025-08-29T00:00:00"/>
        <d v="2025-07-26T00:00:00"/>
        <d v="2025-07-29T00:00:00"/>
        <d v="2025-08-07T00:00:00"/>
        <d v="2025-07-08T00:00:00"/>
        <d v="2025-08-08T00:00:00"/>
      </sharedItems>
      <fieldGroup par="18"/>
    </cacheField>
    <cacheField name="Branch" numFmtId="0">
      <sharedItems count="3">
        <s v="Head Office Café"/>
        <s v="Plant 2 Canteen"/>
        <s v="Plant 1 Canteen"/>
      </sharedItems>
    </cacheField>
    <cacheField name="DiscountPct" numFmtId="0">
      <sharedItems containsSemiMixedTypes="0" containsString="0" containsNumber="1" minValue="0" maxValue="0.21"/>
    </cacheField>
    <cacheField name="PaymentType" numFmtId="0">
      <sharedItems/>
    </cacheField>
    <cacheField name="Shift" numFmtId="0">
      <sharedItems/>
    </cacheField>
    <cacheField name="LineNetAmount" numFmtId="2">
      <sharedItems containsSemiMixedTypes="0" containsString="0" containsNumber="1" minValue="17.093499999999999" maxValue="739.9008"/>
    </cacheField>
    <cacheField name="Combo Flag" numFmtId="0">
      <sharedItems/>
    </cacheField>
    <cacheField name="DiscountFlag" numFmtId="2">
      <sharedItems/>
    </cacheField>
    <cacheField name="Food Cost" numFmtId="0">
      <sharedItems containsSemiMixedTypes="0" containsString="0" containsNumber="1" minValue="8" maxValue="363.71999999999997"/>
    </cacheField>
    <cacheField name="Gross Profit" numFmtId="2">
      <sharedItems containsSemiMixedTypes="0" containsString="0" containsNumber="1" minValue="9.0934999999999988" maxValue="402.03"/>
    </cacheField>
    <cacheField name="Days (OrderDateTime)" numFmtId="0" databaseField="0">
      <fieldGroup base="7">
        <rangePr groupBy="days" startDate="2025-07-01T00:00:00" endDate="2025-08-30T00:00:00"/>
        <groupItems count="368">
          <s v="&lt;01/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8/2025"/>
        </groupItems>
      </fieldGroup>
    </cacheField>
    <cacheField name="Months (OrderDateTime)" numFmtId="0" databaseField="0">
      <fieldGroup base="7">
        <rangePr groupBy="months" startDate="2025-07-01T00:00:00" endDate="2025-08-30T00:00:00"/>
        <groupItems count="14">
          <s v="&lt;01/07/2025"/>
          <s v="Jan"/>
          <s v="Feb"/>
          <s v="Mar"/>
          <s v="Apr"/>
          <s v="May"/>
          <s v="Jun"/>
          <s v="Jul"/>
          <s v="Aug"/>
          <s v="Sep"/>
          <s v="Oct"/>
          <s v="Nov"/>
          <s v="Dec"/>
          <s v="&gt;30/08/2025"/>
        </groupItems>
      </fieldGroup>
    </cacheField>
    <cacheField name="gross margin %" numFmtId="0" formula="(LineNetAmount-'Food Cost')/LineNetAmoun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i patel" refreshedDate="46245.458676041664" backgroundQuery="1" createdVersion="8" refreshedVersion="8" minRefreshableVersion="3" recordCount="0" supportSubquery="1" supportAdvancedDrill="1" xr:uid="{501B5F5B-540E-4A12-877D-827A1121FC42}">
  <cacheSource type="external" connectionId="1"/>
  <cacheFields count="4">
    <cacheField name="[OrderLines].[Branch].[Branch]" caption="Branch" numFmtId="0" hierarchy="8" level="1">
      <sharedItems count="3">
        <s v="Head Office Café"/>
        <s v="Plant 1 Canteen"/>
        <s v="Plant 2 Canteen"/>
      </sharedItems>
    </cacheField>
    <cacheField name="[OrderLines].[Combo Flag].[Combo Flag]" caption="Combo Flag" numFmtId="0" hierarchy="13" level="1">
      <sharedItems count="1">
        <s v="Combo"/>
      </sharedItems>
    </cacheField>
    <cacheField name="[Measures].[Distinct Count of OrderID]" caption="Distinct Count of OrderID" numFmtId="0" hierarchy="20" level="32767"/>
    <cacheField name="[OrderLines].[Shift].[Shift]" caption="Shift" numFmtId="0" hierarchy="11" level="1">
      <sharedItems containsSemiMixedTypes="0" containsNonDate="0" containsString="0"/>
    </cacheField>
  </cacheFields>
  <cacheHierarchies count="24">
    <cacheHierarchy uniqueName="[OrderLines].[OrderID]" caption="OrderID" attribute="1" defaultMemberUniqueName="[OrderLines].[OrderID].[All]" allUniqueName="[OrderLines].[OrderID].[All]" dimensionUniqueName="[OrderLines]" displayFolder="" count="0" memberValueDatatype="130" unbalanced="0"/>
    <cacheHierarchy uniqueName="[OrderLines].[SKU]" caption="SKU" attribute="1" defaultMemberUniqueName="[OrderLines].[SKU].[All]" allUniqueName="[OrderLines].[SKU].[All]" dimensionUniqueName="[OrderLines]" displayFolder="" count="0" memberValueDatatype="130" unbalanced="0"/>
    <cacheHierarchy uniqueName="[OrderLines].[Qty]" caption="Qty" attribute="1" defaultMemberUniqueName="[OrderLines].[Qty].[All]" allUniqueName="[OrderLines].[Qty].[All]" dimensionUniqueName="[OrderLines]" displayFolder="" count="0" memberValueDatatype="20" unbalanced="0"/>
    <cacheHierarchy uniqueName="[OrderLines].[UnitPrice]" caption="UnitPrice" attribute="1" defaultMemberUniqueName="[OrderLines].[UnitPrice].[All]" allUniqueName="[OrderLines].[UnitPrice].[All]" dimensionUniqueName="[OrderLines]" displayFolder="" count="0" memberValueDatatype="5" unbalanced="0"/>
    <cacheHierarchy uniqueName="[OrderLines].[UnitCost]" caption="UnitCost" attribute="1" defaultMemberUniqueName="[OrderLines].[UnitCost].[All]" allUniqueName="[OrderLines].[UnitCost].[All]" dimensionUniqueName="[OrderLines]" displayFolder="" count="0" memberValueDatatype="5" unbalanced="0"/>
    <cacheHierarchy uniqueName="[OrderLines].[Category]" caption="Category" attribute="1" defaultMemberUniqueName="[OrderLines].[Category].[All]" allUniqueName="[OrderLines].[Category].[All]" dimensionUniqueName="[OrderLines]" displayFolder="" count="0" memberValueDatatype="130" unbalanced="0"/>
    <cacheHierarchy uniqueName="[OrderLines].[Item category]" caption="Item category" attribute="1" defaultMemberUniqueName="[OrderLines].[Item category].[All]" allUniqueName="[OrderLines].[Item category].[All]" dimensionUniqueName="[OrderLines]" displayFolder="" count="0" memberValueDatatype="130" unbalanced="0"/>
    <cacheHierarchy uniqueName="[OrderLines].[OrderDateTime]" caption="OrderDateTime" attribute="1" time="1" defaultMemberUniqueName="[OrderLines].[OrderDateTime].[All]" allUniqueName="[OrderLines].[OrderDateTime].[All]" dimensionUniqueName="[OrderLines]" displayFolder="" count="0" memberValueDatatype="7" unbalanced="0"/>
    <cacheHierarchy uniqueName="[OrderLines].[Branch]" caption="Branch" attribute="1" defaultMemberUniqueName="[OrderLines].[Branch].[All]" allUniqueName="[OrderLines].[Branch].[All]" dimensionUniqueName="[OrderLines]" displayFolder="" count="2" memberValueDatatype="130" unbalanced="0">
      <fieldsUsage count="2">
        <fieldUsage x="-1"/>
        <fieldUsage x="0"/>
      </fieldsUsage>
    </cacheHierarchy>
    <cacheHierarchy uniqueName="[OrderLines].[DiscountPct]" caption="DiscountPct" attribute="1" defaultMemberUniqueName="[OrderLines].[DiscountPct].[All]" allUniqueName="[OrderLines].[DiscountPct].[All]" dimensionUniqueName="[OrderLines]" displayFolder="" count="0" memberValueDatatype="5" unbalanced="0"/>
    <cacheHierarchy uniqueName="[OrderLines].[PaymentType]" caption="PaymentType" attribute="1" defaultMemberUniqueName="[OrderLines].[PaymentType].[All]" allUniqueName="[OrderLines].[PaymentType].[All]" dimensionUniqueName="[OrderLines]" displayFolder="" count="0" memberValueDatatype="130" unbalanced="0"/>
    <cacheHierarchy uniqueName="[OrderLines].[Shift]" caption="Shift" attribute="1" defaultMemberUniqueName="[OrderLines].[Shift].[All]" allUniqueName="[OrderLines].[Shift].[All]" dimensionUniqueName="[OrderLines]" displayFolder="" count="2" memberValueDatatype="130" unbalanced="0">
      <fieldsUsage count="2">
        <fieldUsage x="-1"/>
        <fieldUsage x="3"/>
      </fieldsUsage>
    </cacheHierarchy>
    <cacheHierarchy uniqueName="[OrderLines].[LineNetAmount]" caption="LineNetAmount" attribute="1" defaultMemberUniqueName="[OrderLines].[LineNetAmount].[All]" allUniqueName="[OrderLines].[LineNetAmount].[All]" dimensionUniqueName="[OrderLines]" displayFolder="" count="0" memberValueDatatype="5" unbalanced="0"/>
    <cacheHierarchy uniqueName="[OrderLines].[Combo Flag]" caption="Combo Flag" attribute="1" defaultMemberUniqueName="[OrderLines].[Combo Flag].[All]" allUniqueName="[OrderLines].[Combo Flag].[All]" dimensionUniqueName="[OrderLines]" displayFolder="" count="2" memberValueDatatype="130" unbalanced="0">
      <fieldsUsage count="2">
        <fieldUsage x="-1"/>
        <fieldUsage x="1"/>
      </fieldsUsage>
    </cacheHierarchy>
    <cacheHierarchy uniqueName="[OrderLines].[DiscountFlag]" caption="DiscountFlag" attribute="1" defaultMemberUniqueName="[OrderLines].[DiscountFlag].[All]" allUniqueName="[OrderLines].[DiscountFlag].[All]" dimensionUniqueName="[OrderLines]" displayFolder="" count="0" memberValueDatatype="130" unbalanced="0"/>
    <cacheHierarchy uniqueName="[OrderLines].[Food Cost]" caption="Food Cost" attribute="1" defaultMemberUniqueName="[OrderLines].[Food Cost].[All]" allUniqueName="[OrderLines].[Food Cost].[All]" dimensionUniqueName="[OrderLines]" displayFolder="" count="0" memberValueDatatype="5" unbalanced="0"/>
    <cacheHierarchy uniqueName="[OrderLines].[Gross Profit]" caption="Gross Profit" attribute="1" defaultMemberUniqueName="[OrderLines].[Gross Profit].[All]" allUniqueName="[OrderLines].[Gross Profit].[All]" dimensionUniqueName="[OrderLines]" displayFolder="" count="0" memberValueDatatype="5" unbalanced="0"/>
    <cacheHierarchy uniqueName="[Measures].[__XL_Count OrderLines]" caption="__XL_Count OrderLines" measure="1" displayFolder="" measureGroup="OrderLines" count="0" hidden="1"/>
    <cacheHierarchy uniqueName="[Measures].[__No measures defined]" caption="__No measures defined" measure="1" displayFolder="" count="0" hidden="1"/>
    <cacheHierarchy uniqueName="[Measures].[Count of OrderID]" caption="Count of OrderID" measure="1" displayFolder="" measureGroup="OrderLin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Line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LineNetAmount]" caption="Sum of LineNetAmount" measure="1" displayFolder="" measureGroup="OrderLines" count="0" hidden="1">
      <extLst>
        <ext xmlns:x15="http://schemas.microsoft.com/office/spreadsheetml/2010/11/main" uri="{B97F6D7D-B522-45F9-BDA1-12C45D357490}">
          <x15:cacheHierarchy aggregatedColumn="12"/>
        </ext>
      </extLst>
    </cacheHierarchy>
    <cacheHierarchy uniqueName="[Measures].[Sum of Food Cost]" caption="Sum of Food Cost" measure="1" displayFolder="" measureGroup="OrderLines" count="0" hidden="1">
      <extLst>
        <ext xmlns:x15="http://schemas.microsoft.com/office/spreadsheetml/2010/11/main" uri="{B97F6D7D-B522-45F9-BDA1-12C45D357490}">
          <x15:cacheHierarchy aggregatedColumn="15"/>
        </ext>
      </extLst>
    </cacheHierarchy>
    <cacheHierarchy uniqueName="[Measures].[Sum of Gross Profit]" caption="Sum of Gross Profit" measure="1" displayFolder="" measureGroup="OrderLin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Lines" uniqueName="[OrderLines]" caption="OrderLines"/>
  </dimensions>
  <measureGroups count="1">
    <measureGroup name="OrderLines" caption="OrderLin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i patel" refreshedDate="46245.458676736111" backgroundQuery="1" createdVersion="8" refreshedVersion="8" minRefreshableVersion="3" recordCount="0" supportSubquery="1" supportAdvancedDrill="1" xr:uid="{4B645FFB-A97C-4FA2-93A6-EFCAE697C834}">
  <cacheSource type="external" connectionId="1"/>
  <cacheFields count="3">
    <cacheField name="[OrderLines].[Shift].[Shift]" caption="Shift" numFmtId="0" hierarchy="11" level="1">
      <sharedItems count="3">
        <s v="Breakfast"/>
        <s v="Dinner" u="1"/>
        <s v="Lunch" u="1"/>
      </sharedItems>
    </cacheField>
    <cacheField name="[OrderLines].[Combo Flag].[Combo Flag]" caption="Combo Flag" numFmtId="0" hierarchy="13" level="1">
      <sharedItems count="1">
        <s v="Combo"/>
      </sharedItems>
    </cacheField>
    <cacheField name="[Measures].[Distinct Count of OrderID]" caption="Distinct Count of OrderID" numFmtId="0" hierarchy="20" level="32767"/>
  </cacheFields>
  <cacheHierarchies count="24">
    <cacheHierarchy uniqueName="[OrderLines].[OrderID]" caption="OrderID" attribute="1" defaultMemberUniqueName="[OrderLines].[OrderID].[All]" allUniqueName="[OrderLines].[OrderID].[All]" dimensionUniqueName="[OrderLines]" displayFolder="" count="0" memberValueDatatype="130" unbalanced="0"/>
    <cacheHierarchy uniqueName="[OrderLines].[SKU]" caption="SKU" attribute="1" defaultMemberUniqueName="[OrderLines].[SKU].[All]" allUniqueName="[OrderLines].[SKU].[All]" dimensionUniqueName="[OrderLines]" displayFolder="" count="0" memberValueDatatype="130" unbalanced="0"/>
    <cacheHierarchy uniqueName="[OrderLines].[Qty]" caption="Qty" attribute="1" defaultMemberUniqueName="[OrderLines].[Qty].[All]" allUniqueName="[OrderLines].[Qty].[All]" dimensionUniqueName="[OrderLines]" displayFolder="" count="0" memberValueDatatype="20" unbalanced="0"/>
    <cacheHierarchy uniqueName="[OrderLines].[UnitPrice]" caption="UnitPrice" attribute="1" defaultMemberUniqueName="[OrderLines].[UnitPrice].[All]" allUniqueName="[OrderLines].[UnitPrice].[All]" dimensionUniqueName="[OrderLines]" displayFolder="" count="0" memberValueDatatype="5" unbalanced="0"/>
    <cacheHierarchy uniqueName="[OrderLines].[UnitCost]" caption="UnitCost" attribute="1" defaultMemberUniqueName="[OrderLines].[UnitCost].[All]" allUniqueName="[OrderLines].[UnitCost].[All]" dimensionUniqueName="[OrderLines]" displayFolder="" count="0" memberValueDatatype="5" unbalanced="0"/>
    <cacheHierarchy uniqueName="[OrderLines].[Category]" caption="Category" attribute="1" defaultMemberUniqueName="[OrderLines].[Category].[All]" allUniqueName="[OrderLines].[Category].[All]" dimensionUniqueName="[OrderLines]" displayFolder="" count="0" memberValueDatatype="130" unbalanced="0"/>
    <cacheHierarchy uniqueName="[OrderLines].[Item category]" caption="Item category" attribute="1" defaultMemberUniqueName="[OrderLines].[Item category].[All]" allUniqueName="[OrderLines].[Item category].[All]" dimensionUniqueName="[OrderLines]" displayFolder="" count="0" memberValueDatatype="130" unbalanced="0"/>
    <cacheHierarchy uniqueName="[OrderLines].[OrderDateTime]" caption="OrderDateTime" attribute="1" time="1" defaultMemberUniqueName="[OrderLines].[OrderDateTime].[All]" allUniqueName="[OrderLines].[OrderDateTime].[All]" dimensionUniqueName="[OrderLines]" displayFolder="" count="0" memberValueDatatype="7" unbalanced="0"/>
    <cacheHierarchy uniqueName="[OrderLines].[Branch]" caption="Branch" attribute="1" defaultMemberUniqueName="[OrderLines].[Branch].[All]" allUniqueName="[OrderLines].[Branch].[All]" dimensionUniqueName="[OrderLines]" displayFolder="" count="2" memberValueDatatype="130" unbalanced="0"/>
    <cacheHierarchy uniqueName="[OrderLines].[DiscountPct]" caption="DiscountPct" attribute="1" defaultMemberUniqueName="[OrderLines].[DiscountPct].[All]" allUniqueName="[OrderLines].[DiscountPct].[All]" dimensionUniqueName="[OrderLines]" displayFolder="" count="0" memberValueDatatype="5" unbalanced="0"/>
    <cacheHierarchy uniqueName="[OrderLines].[PaymentType]" caption="PaymentType" attribute="1" defaultMemberUniqueName="[OrderLines].[PaymentType].[All]" allUniqueName="[OrderLines].[PaymentType].[All]" dimensionUniqueName="[OrderLines]" displayFolder="" count="0" memberValueDatatype="130" unbalanced="0"/>
    <cacheHierarchy uniqueName="[OrderLines].[Shift]" caption="Shift" attribute="1" defaultMemberUniqueName="[OrderLines].[Shift].[All]" allUniqueName="[OrderLines].[Shift].[All]" dimensionUniqueName="[OrderLines]" displayFolder="" count="2" memberValueDatatype="130" unbalanced="0">
      <fieldsUsage count="2">
        <fieldUsage x="-1"/>
        <fieldUsage x="0"/>
      </fieldsUsage>
    </cacheHierarchy>
    <cacheHierarchy uniqueName="[OrderLines].[LineNetAmount]" caption="LineNetAmount" attribute="1" defaultMemberUniqueName="[OrderLines].[LineNetAmount].[All]" allUniqueName="[OrderLines].[LineNetAmount].[All]" dimensionUniqueName="[OrderLines]" displayFolder="" count="0" memberValueDatatype="5" unbalanced="0"/>
    <cacheHierarchy uniqueName="[OrderLines].[Combo Flag]" caption="Combo Flag" attribute="1" defaultMemberUniqueName="[OrderLines].[Combo Flag].[All]" allUniqueName="[OrderLines].[Combo Flag].[All]" dimensionUniqueName="[OrderLines]" displayFolder="" count="2" memberValueDatatype="130" unbalanced="0">
      <fieldsUsage count="2">
        <fieldUsage x="-1"/>
        <fieldUsage x="1"/>
      </fieldsUsage>
    </cacheHierarchy>
    <cacheHierarchy uniqueName="[OrderLines].[DiscountFlag]" caption="DiscountFlag" attribute="1" defaultMemberUniqueName="[OrderLines].[DiscountFlag].[All]" allUniqueName="[OrderLines].[DiscountFlag].[All]" dimensionUniqueName="[OrderLines]" displayFolder="" count="0" memberValueDatatype="130" unbalanced="0"/>
    <cacheHierarchy uniqueName="[OrderLines].[Food Cost]" caption="Food Cost" attribute="1" defaultMemberUniqueName="[OrderLines].[Food Cost].[All]" allUniqueName="[OrderLines].[Food Cost].[All]" dimensionUniqueName="[OrderLines]" displayFolder="" count="0" memberValueDatatype="5" unbalanced="0"/>
    <cacheHierarchy uniqueName="[OrderLines].[Gross Profit]" caption="Gross Profit" attribute="1" defaultMemberUniqueName="[OrderLines].[Gross Profit].[All]" allUniqueName="[OrderLines].[Gross Profit].[All]" dimensionUniqueName="[OrderLines]" displayFolder="" count="0" memberValueDatatype="5" unbalanced="0"/>
    <cacheHierarchy uniqueName="[Measures].[__XL_Count OrderLines]" caption="__XL_Count OrderLines" measure="1" displayFolder="" measureGroup="OrderLines" count="0" hidden="1"/>
    <cacheHierarchy uniqueName="[Measures].[__No measures defined]" caption="__No measures defined" measure="1" displayFolder="" count="0" hidden="1"/>
    <cacheHierarchy uniqueName="[Measures].[Count of OrderID]" caption="Count of OrderID" measure="1" displayFolder="" measureGroup="OrderLin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Line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LineNetAmount]" caption="Sum of LineNetAmount" measure="1" displayFolder="" measureGroup="OrderLines" count="0" hidden="1">
      <extLst>
        <ext xmlns:x15="http://schemas.microsoft.com/office/spreadsheetml/2010/11/main" uri="{B97F6D7D-B522-45F9-BDA1-12C45D357490}">
          <x15:cacheHierarchy aggregatedColumn="12"/>
        </ext>
      </extLst>
    </cacheHierarchy>
    <cacheHierarchy uniqueName="[Measures].[Sum of Food Cost]" caption="Sum of Food Cost" measure="1" displayFolder="" measureGroup="OrderLines" count="0" hidden="1">
      <extLst>
        <ext xmlns:x15="http://schemas.microsoft.com/office/spreadsheetml/2010/11/main" uri="{B97F6D7D-B522-45F9-BDA1-12C45D357490}">
          <x15:cacheHierarchy aggregatedColumn="15"/>
        </ext>
      </extLst>
    </cacheHierarchy>
    <cacheHierarchy uniqueName="[Measures].[Sum of Gross Profit]" caption="Sum of Gross Profit" measure="1" displayFolder="" measureGroup="OrderLin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Lines" uniqueName="[OrderLines]" caption="OrderLines"/>
  </dimensions>
  <measureGroups count="1">
    <measureGroup name="OrderLines" caption="OrderLin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i patel" refreshedDate="46245.458677199073" backgroundQuery="1" createdVersion="8" refreshedVersion="8" minRefreshableVersion="3" recordCount="0" supportSubquery="1" supportAdvancedDrill="1" xr:uid="{C764CC19-AAE7-4BE1-B369-1EDD4A75E5B5}">
  <cacheSource type="external" connectionId="1"/>
  <cacheFields count="6">
    <cacheField name="[OrderLines].[Combo Flag].[Combo Flag]" caption="Combo Flag" numFmtId="0" hierarchy="13" level="1">
      <sharedItems count="2">
        <s v="Combo"/>
        <s v="Single"/>
      </sharedItems>
    </cacheField>
    <cacheField name="[Measures].[Sum of LineNetAmount]" caption="Sum of LineNetAmount" numFmtId="0" hierarchy="21" level="32767"/>
    <cacheField name="[Measures].[Distinct Count of OrderID]" caption="Distinct Count of OrderID" numFmtId="0" hierarchy="20" level="32767"/>
    <cacheField name="[Measures].[Sum of Food Cost]" caption="Sum of Food Cost" numFmtId="0" hierarchy="22" level="32767"/>
    <cacheField name="[Measures].[Sum of Gross Profit]" caption="Sum of Gross Profit" numFmtId="0" hierarchy="23" level="32767"/>
    <cacheField name="[OrderLines].[Shift].[Shift]" caption="Shift" numFmtId="0" hierarchy="11" level="1">
      <sharedItems containsSemiMixedTypes="0" containsNonDate="0" containsString="0"/>
    </cacheField>
  </cacheFields>
  <cacheHierarchies count="24">
    <cacheHierarchy uniqueName="[OrderLines].[OrderID]" caption="OrderID" attribute="1" defaultMemberUniqueName="[OrderLines].[OrderID].[All]" allUniqueName="[OrderLines].[OrderID].[All]" dimensionUniqueName="[OrderLines]" displayFolder="" count="0" memberValueDatatype="130" unbalanced="0"/>
    <cacheHierarchy uniqueName="[OrderLines].[SKU]" caption="SKU" attribute="1" defaultMemberUniqueName="[OrderLines].[SKU].[All]" allUniqueName="[OrderLines].[SKU].[All]" dimensionUniqueName="[OrderLines]" displayFolder="" count="0" memberValueDatatype="130" unbalanced="0"/>
    <cacheHierarchy uniqueName="[OrderLines].[Qty]" caption="Qty" attribute="1" defaultMemberUniqueName="[OrderLines].[Qty].[All]" allUniqueName="[OrderLines].[Qty].[All]" dimensionUniqueName="[OrderLines]" displayFolder="" count="0" memberValueDatatype="20" unbalanced="0"/>
    <cacheHierarchy uniqueName="[OrderLines].[UnitPrice]" caption="UnitPrice" attribute="1" defaultMemberUniqueName="[OrderLines].[UnitPrice].[All]" allUniqueName="[OrderLines].[UnitPrice].[All]" dimensionUniqueName="[OrderLines]" displayFolder="" count="0" memberValueDatatype="5" unbalanced="0"/>
    <cacheHierarchy uniqueName="[OrderLines].[UnitCost]" caption="UnitCost" attribute="1" defaultMemberUniqueName="[OrderLines].[UnitCost].[All]" allUniqueName="[OrderLines].[UnitCost].[All]" dimensionUniqueName="[OrderLines]" displayFolder="" count="0" memberValueDatatype="5" unbalanced="0"/>
    <cacheHierarchy uniqueName="[OrderLines].[Category]" caption="Category" attribute="1" defaultMemberUniqueName="[OrderLines].[Category].[All]" allUniqueName="[OrderLines].[Category].[All]" dimensionUniqueName="[OrderLines]" displayFolder="" count="0" memberValueDatatype="130" unbalanced="0"/>
    <cacheHierarchy uniqueName="[OrderLines].[Item category]" caption="Item category" attribute="1" defaultMemberUniqueName="[OrderLines].[Item category].[All]" allUniqueName="[OrderLines].[Item category].[All]" dimensionUniqueName="[OrderLines]" displayFolder="" count="0" memberValueDatatype="130" unbalanced="0"/>
    <cacheHierarchy uniqueName="[OrderLines].[OrderDateTime]" caption="OrderDateTime" attribute="1" time="1" defaultMemberUniqueName="[OrderLines].[OrderDateTime].[All]" allUniqueName="[OrderLines].[OrderDateTime].[All]" dimensionUniqueName="[OrderLines]" displayFolder="" count="0" memberValueDatatype="7" unbalanced="0"/>
    <cacheHierarchy uniqueName="[OrderLines].[Branch]" caption="Branch" attribute="1" defaultMemberUniqueName="[OrderLines].[Branch].[All]" allUniqueName="[OrderLines].[Branch].[All]" dimensionUniqueName="[OrderLines]" displayFolder="" count="2" memberValueDatatype="130" unbalanced="0"/>
    <cacheHierarchy uniqueName="[OrderLines].[DiscountPct]" caption="DiscountPct" attribute="1" defaultMemberUniqueName="[OrderLines].[DiscountPct].[All]" allUniqueName="[OrderLines].[DiscountPct].[All]" dimensionUniqueName="[OrderLines]" displayFolder="" count="0" memberValueDatatype="5" unbalanced="0"/>
    <cacheHierarchy uniqueName="[OrderLines].[PaymentType]" caption="PaymentType" attribute="1" defaultMemberUniqueName="[OrderLines].[PaymentType].[All]" allUniqueName="[OrderLines].[PaymentType].[All]" dimensionUniqueName="[OrderLines]" displayFolder="" count="0" memberValueDatatype="130" unbalanced="0"/>
    <cacheHierarchy uniqueName="[OrderLines].[Shift]" caption="Shift" attribute="1" defaultMemberUniqueName="[OrderLines].[Shift].[All]" allUniqueName="[OrderLines].[Shift].[All]" dimensionUniqueName="[OrderLines]" displayFolder="" count="2" memberValueDatatype="130" unbalanced="0">
      <fieldsUsage count="2">
        <fieldUsage x="-1"/>
        <fieldUsage x="5"/>
      </fieldsUsage>
    </cacheHierarchy>
    <cacheHierarchy uniqueName="[OrderLines].[LineNetAmount]" caption="LineNetAmount" attribute="1" defaultMemberUniqueName="[OrderLines].[LineNetAmount].[All]" allUniqueName="[OrderLines].[LineNetAmount].[All]" dimensionUniqueName="[OrderLines]" displayFolder="" count="0" memberValueDatatype="5" unbalanced="0"/>
    <cacheHierarchy uniqueName="[OrderLines].[Combo Flag]" caption="Combo Flag" attribute="1" defaultMemberUniqueName="[OrderLines].[Combo Flag].[All]" allUniqueName="[OrderLines].[Combo Flag].[All]" dimensionUniqueName="[OrderLines]" displayFolder="" count="2" memberValueDatatype="130" unbalanced="0">
      <fieldsUsage count="2">
        <fieldUsage x="-1"/>
        <fieldUsage x="0"/>
      </fieldsUsage>
    </cacheHierarchy>
    <cacheHierarchy uniqueName="[OrderLines].[DiscountFlag]" caption="DiscountFlag" attribute="1" defaultMemberUniqueName="[OrderLines].[DiscountFlag].[All]" allUniqueName="[OrderLines].[DiscountFlag].[All]" dimensionUniqueName="[OrderLines]" displayFolder="" count="0" memberValueDatatype="130" unbalanced="0"/>
    <cacheHierarchy uniqueName="[OrderLines].[Food Cost]" caption="Food Cost" attribute="1" defaultMemberUniqueName="[OrderLines].[Food Cost].[All]" allUniqueName="[OrderLines].[Food Cost].[All]" dimensionUniqueName="[OrderLines]" displayFolder="" count="0" memberValueDatatype="5" unbalanced="0"/>
    <cacheHierarchy uniqueName="[OrderLines].[Gross Profit]" caption="Gross Profit" attribute="1" defaultMemberUniqueName="[OrderLines].[Gross Profit].[All]" allUniqueName="[OrderLines].[Gross Profit].[All]" dimensionUniqueName="[OrderLines]" displayFolder="" count="0" memberValueDatatype="5" unbalanced="0"/>
    <cacheHierarchy uniqueName="[Measures].[__XL_Count OrderLines]" caption="__XL_Count OrderLines" measure="1" displayFolder="" measureGroup="OrderLines" count="0" hidden="1"/>
    <cacheHierarchy uniqueName="[Measures].[__No measures defined]" caption="__No measures defined" measure="1" displayFolder="" count="0" hidden="1"/>
    <cacheHierarchy uniqueName="[Measures].[Count of OrderID]" caption="Count of OrderID" measure="1" displayFolder="" measureGroup="OrderLin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Line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LineNetAmount]" caption="Sum of LineNetAmount" measure="1" displayFolder="" measureGroup="OrderLin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Food Cost]" caption="Sum of Food Cost" measure="1" displayFolder="" measureGroup="OrderLin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Gross Profit]" caption="Sum of Gross Profit" measure="1" displayFolder="" measureGroup="OrderLines" count="0" oneField="1" hidden="1">
      <fieldsUsage count="1">
        <fieldUsage x="4"/>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Lines" uniqueName="[OrderLines]" caption="OrderLines"/>
  </dimensions>
  <measureGroups count="1">
    <measureGroup name="OrderLines" caption="OrderLin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i patel" refreshedDate="46245.458678009258" backgroundQuery="1" createdVersion="8" refreshedVersion="8" minRefreshableVersion="3" recordCount="0" supportSubquery="1" supportAdvancedDrill="1" xr:uid="{A2105087-BC01-462E-95F2-E526E0F8DBA6}">
  <cacheSource type="external" connectionId="1"/>
  <cacheFields count="3">
    <cacheField name="[OrderLines].[Item category].[Item category]" caption="Item category" numFmtId="0" hierarchy="6" level="1">
      <sharedItems count="15">
        <s v="Beverage"/>
        <s v="Beverage+Dessert"/>
        <s v="Beverage+Dessert+Hot Meal"/>
        <s v="Beverage+Dessert+Hot Meal+Snack"/>
        <s v="Beverage+Dessert+Snack"/>
        <s v="Beverage+Hot Meal"/>
        <s v="Beverage+Hot Meal+Snack"/>
        <s v="Beverage+Snack"/>
        <s v="Dessert"/>
        <s v="Dessert+Hot Meal"/>
        <s v="Dessert+Hot Meal+Snack"/>
        <s v="Dessert+Snack"/>
        <s v="Hot Meal"/>
        <s v="Hot Meal+Snack"/>
        <s v="Snack"/>
      </sharedItems>
    </cacheField>
    <cacheField name="[Measures].[Distinct Count of OrderID]" caption="Distinct Count of OrderID" numFmtId="0" hierarchy="20" level="32767"/>
    <cacheField name="[OrderLines].[Shift].[Shift]" caption="Shift" numFmtId="0" hierarchy="11" level="1">
      <sharedItems containsSemiMixedTypes="0" containsNonDate="0" containsString="0"/>
    </cacheField>
  </cacheFields>
  <cacheHierarchies count="24">
    <cacheHierarchy uniqueName="[OrderLines].[OrderID]" caption="OrderID" attribute="1" defaultMemberUniqueName="[OrderLines].[OrderID].[All]" allUniqueName="[OrderLines].[OrderID].[All]" dimensionUniqueName="[OrderLines]" displayFolder="" count="0" memberValueDatatype="130" unbalanced="0"/>
    <cacheHierarchy uniqueName="[OrderLines].[SKU]" caption="SKU" attribute="1" defaultMemberUniqueName="[OrderLines].[SKU].[All]" allUniqueName="[OrderLines].[SKU].[All]" dimensionUniqueName="[OrderLines]" displayFolder="" count="0" memberValueDatatype="130" unbalanced="0"/>
    <cacheHierarchy uniqueName="[OrderLines].[Qty]" caption="Qty" attribute="1" defaultMemberUniqueName="[OrderLines].[Qty].[All]" allUniqueName="[OrderLines].[Qty].[All]" dimensionUniqueName="[OrderLines]" displayFolder="" count="0" memberValueDatatype="20" unbalanced="0"/>
    <cacheHierarchy uniqueName="[OrderLines].[UnitPrice]" caption="UnitPrice" attribute="1" defaultMemberUniqueName="[OrderLines].[UnitPrice].[All]" allUniqueName="[OrderLines].[UnitPrice].[All]" dimensionUniqueName="[OrderLines]" displayFolder="" count="0" memberValueDatatype="5" unbalanced="0"/>
    <cacheHierarchy uniqueName="[OrderLines].[UnitCost]" caption="UnitCost" attribute="1" defaultMemberUniqueName="[OrderLines].[UnitCost].[All]" allUniqueName="[OrderLines].[UnitCost].[All]" dimensionUniqueName="[OrderLines]" displayFolder="" count="0" memberValueDatatype="5" unbalanced="0"/>
    <cacheHierarchy uniqueName="[OrderLines].[Category]" caption="Category" attribute="1" defaultMemberUniqueName="[OrderLines].[Category].[All]" allUniqueName="[OrderLines].[Category].[All]" dimensionUniqueName="[OrderLines]" displayFolder="" count="0" memberValueDatatype="130" unbalanced="0"/>
    <cacheHierarchy uniqueName="[OrderLines].[Item category]" caption="Item category" attribute="1" defaultMemberUniqueName="[OrderLines].[Item category].[All]" allUniqueName="[OrderLines].[Item category].[All]" dimensionUniqueName="[OrderLines]" displayFolder="" count="2" memberValueDatatype="130" unbalanced="0">
      <fieldsUsage count="2">
        <fieldUsage x="-1"/>
        <fieldUsage x="0"/>
      </fieldsUsage>
    </cacheHierarchy>
    <cacheHierarchy uniqueName="[OrderLines].[OrderDateTime]" caption="OrderDateTime" attribute="1" time="1" defaultMemberUniqueName="[OrderLines].[OrderDateTime].[All]" allUniqueName="[OrderLines].[OrderDateTime].[All]" dimensionUniqueName="[OrderLines]" displayFolder="" count="0" memberValueDatatype="7" unbalanced="0"/>
    <cacheHierarchy uniqueName="[OrderLines].[Branch]" caption="Branch" attribute="1" defaultMemberUniqueName="[OrderLines].[Branch].[All]" allUniqueName="[OrderLines].[Branch].[All]" dimensionUniqueName="[OrderLines]" displayFolder="" count="2" memberValueDatatype="130" unbalanced="0"/>
    <cacheHierarchy uniqueName="[OrderLines].[DiscountPct]" caption="DiscountPct" attribute="1" defaultMemberUniqueName="[OrderLines].[DiscountPct].[All]" allUniqueName="[OrderLines].[DiscountPct].[All]" dimensionUniqueName="[OrderLines]" displayFolder="" count="0" memberValueDatatype="5" unbalanced="0"/>
    <cacheHierarchy uniqueName="[OrderLines].[PaymentType]" caption="PaymentType" attribute="1" defaultMemberUniqueName="[OrderLines].[PaymentType].[All]" allUniqueName="[OrderLines].[PaymentType].[All]" dimensionUniqueName="[OrderLines]" displayFolder="" count="0" memberValueDatatype="130" unbalanced="0"/>
    <cacheHierarchy uniqueName="[OrderLines].[Shift]" caption="Shift" attribute="1" defaultMemberUniqueName="[OrderLines].[Shift].[All]" allUniqueName="[OrderLines].[Shift].[All]" dimensionUniqueName="[OrderLines]" displayFolder="" count="2" memberValueDatatype="130" unbalanced="0">
      <fieldsUsage count="2">
        <fieldUsage x="-1"/>
        <fieldUsage x="2"/>
      </fieldsUsage>
    </cacheHierarchy>
    <cacheHierarchy uniqueName="[OrderLines].[LineNetAmount]" caption="LineNetAmount" attribute="1" defaultMemberUniqueName="[OrderLines].[LineNetAmount].[All]" allUniqueName="[OrderLines].[LineNetAmount].[All]" dimensionUniqueName="[OrderLines]" displayFolder="" count="0" memberValueDatatype="5" unbalanced="0"/>
    <cacheHierarchy uniqueName="[OrderLines].[Combo Flag]" caption="Combo Flag" attribute="1" defaultMemberUniqueName="[OrderLines].[Combo Flag].[All]" allUniqueName="[OrderLines].[Combo Flag].[All]" dimensionUniqueName="[OrderLines]" displayFolder="" count="0" memberValueDatatype="130" unbalanced="0"/>
    <cacheHierarchy uniqueName="[OrderLines].[DiscountFlag]" caption="DiscountFlag" attribute="1" defaultMemberUniqueName="[OrderLines].[DiscountFlag].[All]" allUniqueName="[OrderLines].[DiscountFlag].[All]" dimensionUniqueName="[OrderLines]" displayFolder="" count="0" memberValueDatatype="130" unbalanced="0"/>
    <cacheHierarchy uniqueName="[OrderLines].[Food Cost]" caption="Food Cost" attribute="1" defaultMemberUniqueName="[OrderLines].[Food Cost].[All]" allUniqueName="[OrderLines].[Food Cost].[All]" dimensionUniqueName="[OrderLines]" displayFolder="" count="0" memberValueDatatype="5" unbalanced="0"/>
    <cacheHierarchy uniqueName="[OrderLines].[Gross Profit]" caption="Gross Profit" attribute="1" defaultMemberUniqueName="[OrderLines].[Gross Profit].[All]" allUniqueName="[OrderLines].[Gross Profit].[All]" dimensionUniqueName="[OrderLines]" displayFolder="" count="0" memberValueDatatype="5" unbalanced="0"/>
    <cacheHierarchy uniqueName="[Measures].[__XL_Count OrderLines]" caption="__XL_Count OrderLines" measure="1" displayFolder="" measureGroup="OrderLines" count="0" hidden="1"/>
    <cacheHierarchy uniqueName="[Measures].[__No measures defined]" caption="__No measures defined" measure="1" displayFolder="" count="0" hidden="1"/>
    <cacheHierarchy uniqueName="[Measures].[Count of OrderID]" caption="Count of OrderID" measure="1" displayFolder="" measureGroup="OrderLin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Lin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LineNetAmount]" caption="Sum of LineNetAmount" measure="1" displayFolder="" measureGroup="OrderLines" count="0" hidden="1">
      <extLst>
        <ext xmlns:x15="http://schemas.microsoft.com/office/spreadsheetml/2010/11/main" uri="{B97F6D7D-B522-45F9-BDA1-12C45D357490}">
          <x15:cacheHierarchy aggregatedColumn="12"/>
        </ext>
      </extLst>
    </cacheHierarchy>
    <cacheHierarchy uniqueName="[Measures].[Sum of Food Cost]" caption="Sum of Food Cost" measure="1" displayFolder="" measureGroup="OrderLines" count="0" hidden="1">
      <extLst>
        <ext xmlns:x15="http://schemas.microsoft.com/office/spreadsheetml/2010/11/main" uri="{B97F6D7D-B522-45F9-BDA1-12C45D357490}">
          <x15:cacheHierarchy aggregatedColumn="15"/>
        </ext>
      </extLst>
    </cacheHierarchy>
    <cacheHierarchy uniqueName="[Measures].[Sum of Gross Profit]" caption="Sum of Gross Profit" measure="1" displayFolder="" measureGroup="OrderLin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OrderLines" uniqueName="[OrderLines]" caption="OrderLines"/>
  </dimensions>
  <measureGroups count="1">
    <measureGroup name="OrderLines" caption="OrderLin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s v="O00001"/>
    <x v="0"/>
    <x v="0"/>
    <s v="Visitor"/>
    <x v="0"/>
    <x v="0"/>
    <n v="0.06"/>
    <n v="147.90900000000002"/>
    <x v="0"/>
    <x v="0"/>
    <s v="ok"/>
    <n v="77.400000000000006"/>
    <n v="70.509000000000015"/>
    <x v="0"/>
  </r>
  <r>
    <s v="O00002"/>
    <x v="1"/>
    <x v="1"/>
    <s v="Staff"/>
    <x v="1"/>
    <x v="1"/>
    <n v="0.05"/>
    <n v="101.54549999999999"/>
    <x v="1"/>
    <x v="0"/>
    <s v="ok"/>
    <n v="52.41"/>
    <n v="49.135499999999993"/>
    <x v="1"/>
  </r>
  <r>
    <s v="O00003"/>
    <x v="2"/>
    <x v="0"/>
    <s v="Staff"/>
    <x v="2"/>
    <x v="2"/>
    <n v="0"/>
    <n v="668.96"/>
    <x v="1"/>
    <x v="1"/>
    <s v="ok"/>
    <n v="291.24"/>
    <n v="377.72"/>
    <x v="2"/>
  </r>
  <r>
    <s v="O00004"/>
    <x v="3"/>
    <x v="1"/>
    <s v="Visitor"/>
    <x v="1"/>
    <x v="0"/>
    <n v="0.03"/>
    <n v="477.41460000000001"/>
    <x v="0"/>
    <x v="0"/>
    <s v="ok"/>
    <n v="224.16"/>
    <n v="253.25460000000001"/>
    <x v="3"/>
  </r>
  <r>
    <s v="O00005"/>
    <x v="4"/>
    <x v="1"/>
    <s v="Visitor"/>
    <x v="2"/>
    <x v="0"/>
    <n v="0.04"/>
    <n v="95.011200000000002"/>
    <x v="1"/>
    <x v="0"/>
    <s v="ok"/>
    <n v="49.7"/>
    <n v="45.311199999999999"/>
    <x v="4"/>
  </r>
  <r>
    <s v="O00006"/>
    <x v="5"/>
    <x v="2"/>
    <s v="Worker"/>
    <x v="0"/>
    <x v="0"/>
    <n v="0.1"/>
    <n v="54.296999999999997"/>
    <x v="1"/>
    <x v="0"/>
    <s v="ok"/>
    <n v="24"/>
    <n v="30.296999999999997"/>
    <x v="5"/>
  </r>
  <r>
    <s v="O00007"/>
    <x v="6"/>
    <x v="1"/>
    <s v="Worker"/>
    <x v="2"/>
    <x v="1"/>
    <n v="7.0000000000000007E-2"/>
    <n v="348.41520000000003"/>
    <x v="1"/>
    <x v="1"/>
    <s v="ok"/>
    <n v="159.97999999999999"/>
    <n v="188.43520000000004"/>
    <x v="6"/>
  </r>
  <r>
    <s v="O00008"/>
    <x v="7"/>
    <x v="2"/>
    <s v="Staff"/>
    <x v="0"/>
    <x v="2"/>
    <n v="0"/>
    <n v="223.75"/>
    <x v="1"/>
    <x v="0"/>
    <s v="ok"/>
    <n v="110.97999999999999"/>
    <n v="112.77000000000001"/>
    <x v="1"/>
  </r>
  <r>
    <s v="O00009"/>
    <x v="8"/>
    <x v="0"/>
    <s v="Visitor"/>
    <x v="1"/>
    <x v="0"/>
    <n v="7.0000000000000007E-2"/>
    <n v="459.28980000000001"/>
    <x v="0"/>
    <x v="0"/>
    <s v="ok"/>
    <n v="225.97"/>
    <n v="233.31980000000001"/>
    <x v="7"/>
  </r>
  <r>
    <s v="O00010"/>
    <x v="9"/>
    <x v="2"/>
    <s v="Staff"/>
    <x v="2"/>
    <x v="0"/>
    <n v="0.04"/>
    <n v="420.07679999999999"/>
    <x v="1"/>
    <x v="1"/>
    <s v="ok"/>
    <n v="204.88"/>
    <n v="215.1968"/>
    <x v="8"/>
  </r>
  <r>
    <s v="O00011"/>
    <x v="10"/>
    <x v="1"/>
    <s v="Worker"/>
    <x v="1"/>
    <x v="0"/>
    <n v="0.03"/>
    <n v="27.577099999999998"/>
    <x v="1"/>
    <x v="0"/>
    <s v="ok"/>
    <n v="13.89"/>
    <n v="13.687099999999997"/>
    <x v="5"/>
  </r>
  <r>
    <s v="O00012"/>
    <x v="11"/>
    <x v="1"/>
    <s v="Staff"/>
    <x v="2"/>
    <x v="2"/>
    <n v="0.08"/>
    <n v="98.118000000000009"/>
    <x v="0"/>
    <x v="0"/>
    <s v="ok"/>
    <n v="47.75"/>
    <n v="50.368000000000009"/>
    <x v="9"/>
  </r>
  <r>
    <s v="O00013"/>
    <x v="12"/>
    <x v="0"/>
    <s v="Visitor"/>
    <x v="0"/>
    <x v="0"/>
    <n v="0.1"/>
    <n v="807.87599999999998"/>
    <x v="1"/>
    <x v="1"/>
    <s v="high disc"/>
    <n v="411.20000000000005"/>
    <n v="396.67599999999993"/>
    <x v="10"/>
  </r>
  <r>
    <s v="O00014"/>
    <x v="13"/>
    <x v="2"/>
    <s v="Staff"/>
    <x v="1"/>
    <x v="0"/>
    <n v="0.1"/>
    <n v="181.47599999999997"/>
    <x v="1"/>
    <x v="0"/>
    <s v="ok"/>
    <n v="98.35"/>
    <n v="83.125999999999976"/>
    <x v="1"/>
  </r>
  <r>
    <s v="O00015"/>
    <x v="14"/>
    <x v="0"/>
    <s v="Visitor"/>
    <x v="1"/>
    <x v="2"/>
    <n v="0.03"/>
    <n v="410.18389999999999"/>
    <x v="1"/>
    <x v="1"/>
    <s v="ok"/>
    <n v="186.04999999999998"/>
    <n v="224.13390000000001"/>
    <x v="10"/>
  </r>
  <r>
    <s v="O00016"/>
    <x v="15"/>
    <x v="2"/>
    <s v="Visitor"/>
    <x v="2"/>
    <x v="1"/>
    <n v="0.05"/>
    <n v="486.94150000000002"/>
    <x v="0"/>
    <x v="0"/>
    <s v="ok"/>
    <n v="238.57000000000002"/>
    <n v="248.3715"/>
    <x v="7"/>
  </r>
  <r>
    <s v="O00017"/>
    <x v="16"/>
    <x v="2"/>
    <s v="Worker"/>
    <x v="0"/>
    <x v="1"/>
    <n v="7.0000000000000007E-2"/>
    <n v="30.671399999999995"/>
    <x v="1"/>
    <x v="0"/>
    <s v="ok"/>
    <n v="11.84"/>
    <n v="18.831399999999995"/>
    <x v="5"/>
  </r>
  <r>
    <s v="O00018"/>
    <x v="17"/>
    <x v="2"/>
    <s v="Visitor"/>
    <x v="1"/>
    <x v="0"/>
    <n v="0.1"/>
    <n v="164.48400000000001"/>
    <x v="1"/>
    <x v="0"/>
    <s v="ok"/>
    <n v="72.650000000000006"/>
    <n v="91.834000000000003"/>
    <x v="1"/>
  </r>
  <r>
    <s v="O00019"/>
    <x v="18"/>
    <x v="2"/>
    <s v="Visitor"/>
    <x v="1"/>
    <x v="0"/>
    <n v="0.04"/>
    <n v="701.52960000000007"/>
    <x v="0"/>
    <x v="0"/>
    <s v="ok"/>
    <n v="359.21"/>
    <n v="342.31960000000009"/>
    <x v="11"/>
  </r>
  <r>
    <s v="O00020"/>
    <x v="19"/>
    <x v="1"/>
    <s v="Visitor"/>
    <x v="0"/>
    <x v="0"/>
    <n v="0.05"/>
    <n v="474.75300000000004"/>
    <x v="1"/>
    <x v="1"/>
    <s v="ok"/>
    <n v="212.14"/>
    <n v="262.61300000000006"/>
    <x v="10"/>
  </r>
  <r>
    <s v="O00021"/>
    <x v="20"/>
    <x v="1"/>
    <s v="Worker"/>
    <x v="0"/>
    <x v="1"/>
    <n v="0.02"/>
    <n v="291.72640000000001"/>
    <x v="0"/>
    <x v="0"/>
    <s v="ok"/>
    <n v="138.13"/>
    <n v="153.59640000000002"/>
    <x v="0"/>
  </r>
  <r>
    <s v="O00022"/>
    <x v="21"/>
    <x v="1"/>
    <s v="Staff"/>
    <x v="1"/>
    <x v="0"/>
    <n v="0.01"/>
    <n v="364.2903"/>
    <x v="1"/>
    <x v="1"/>
    <s v="ok"/>
    <n v="170.97"/>
    <n v="193.3203"/>
    <x v="10"/>
  </r>
  <r>
    <s v="O00023"/>
    <x v="22"/>
    <x v="1"/>
    <s v="Worker"/>
    <x v="1"/>
    <x v="2"/>
    <n v="0.09"/>
    <n v="242.24200000000002"/>
    <x v="1"/>
    <x v="1"/>
    <s v="ok"/>
    <n v="120.08"/>
    <n v="122.16200000000002"/>
    <x v="6"/>
  </r>
  <r>
    <s v="O00024"/>
    <x v="23"/>
    <x v="2"/>
    <s v="Worker"/>
    <x v="0"/>
    <x v="1"/>
    <n v="0.11"/>
    <n v="390.88800000000003"/>
    <x v="0"/>
    <x v="0"/>
    <s v="high disc"/>
    <n v="242.76"/>
    <n v="148.12800000000004"/>
    <x v="3"/>
  </r>
  <r>
    <s v="O00025"/>
    <x v="24"/>
    <x v="1"/>
    <s v="Worker"/>
    <x v="2"/>
    <x v="0"/>
    <n v="0.06"/>
    <n v="47.178599999999996"/>
    <x v="0"/>
    <x v="0"/>
    <s v="ok"/>
    <n v="22.61"/>
    <n v="24.568599999999996"/>
    <x v="0"/>
  </r>
  <r>
    <s v="O00026"/>
    <x v="25"/>
    <x v="1"/>
    <s v="Staff"/>
    <x v="1"/>
    <x v="1"/>
    <n v="0.1"/>
    <n v="81.459000000000003"/>
    <x v="0"/>
    <x v="0"/>
    <s v="ok"/>
    <n v="45.35"/>
    <n v="36.109000000000002"/>
    <x v="0"/>
  </r>
  <r>
    <s v="O00027"/>
    <x v="26"/>
    <x v="0"/>
    <s v="Staff"/>
    <x v="0"/>
    <x v="1"/>
    <n v="7.0000000000000007E-2"/>
    <n v="839.84580000000005"/>
    <x v="1"/>
    <x v="1"/>
    <s v="high disc"/>
    <n v="406.74999999999994"/>
    <n v="433.09580000000011"/>
    <x v="10"/>
  </r>
  <r>
    <s v="O00028"/>
    <x v="27"/>
    <x v="0"/>
    <s v="Visitor"/>
    <x v="2"/>
    <x v="0"/>
    <n v="0.03"/>
    <n v="382.71350000000001"/>
    <x v="1"/>
    <x v="0"/>
    <s v="ok"/>
    <n v="172.36"/>
    <n v="210.3535"/>
    <x v="12"/>
  </r>
  <r>
    <s v="O00029"/>
    <x v="28"/>
    <x v="1"/>
    <s v="Worker"/>
    <x v="1"/>
    <x v="0"/>
    <n v="7.0000000000000007E-2"/>
    <n v="140.03009999999998"/>
    <x v="0"/>
    <x v="0"/>
    <s v="ok"/>
    <n v="67.83"/>
    <n v="72.200099999999978"/>
    <x v="0"/>
  </r>
  <r>
    <s v="O00030"/>
    <x v="29"/>
    <x v="1"/>
    <s v="Staff"/>
    <x v="0"/>
    <x v="0"/>
    <n v="0.12"/>
    <n v="365.72800000000001"/>
    <x v="1"/>
    <x v="1"/>
    <s v="high disc"/>
    <n v="197.59"/>
    <n v="168.13800000000001"/>
    <x v="2"/>
  </r>
  <r>
    <s v="O00031"/>
    <x v="30"/>
    <x v="2"/>
    <s v="Visitor"/>
    <x v="0"/>
    <x v="2"/>
    <n v="0.06"/>
    <n v="435.97199999999992"/>
    <x v="0"/>
    <x v="0"/>
    <s v="ok"/>
    <n v="232.76"/>
    <n v="203.21199999999993"/>
    <x v="13"/>
  </r>
  <r>
    <s v="O00032"/>
    <x v="31"/>
    <x v="1"/>
    <s v="Staff"/>
    <x v="1"/>
    <x v="0"/>
    <n v="0.12"/>
    <n v="466.18879999999996"/>
    <x v="1"/>
    <x v="1"/>
    <s v="high disc"/>
    <n v="256.44"/>
    <n v="209.74879999999996"/>
    <x v="10"/>
  </r>
  <r>
    <s v="O00033"/>
    <x v="32"/>
    <x v="1"/>
    <s v="Worker"/>
    <x v="1"/>
    <x v="0"/>
    <n v="0"/>
    <n v="390.34999999999997"/>
    <x v="0"/>
    <x v="0"/>
    <s v="ok"/>
    <n v="162.41999999999999"/>
    <n v="227.92999999999998"/>
    <x v="9"/>
  </r>
  <r>
    <s v="O00034"/>
    <x v="33"/>
    <x v="0"/>
    <s v="Staff"/>
    <x v="1"/>
    <x v="1"/>
    <n v="0.09"/>
    <n v="86.568299999999994"/>
    <x v="1"/>
    <x v="0"/>
    <s v="ok"/>
    <n v="36.730000000000004"/>
    <n v="49.83829999999999"/>
    <x v="4"/>
  </r>
  <r>
    <s v="O00035"/>
    <x v="34"/>
    <x v="0"/>
    <s v="Staff"/>
    <x v="0"/>
    <x v="1"/>
    <n v="0.06"/>
    <n v="636.38"/>
    <x v="1"/>
    <x v="1"/>
    <s v="high disc"/>
    <n v="293.52999999999997"/>
    <n v="342.85"/>
    <x v="10"/>
  </r>
  <r>
    <s v="O00036"/>
    <x v="35"/>
    <x v="2"/>
    <s v="Visitor"/>
    <x v="1"/>
    <x v="0"/>
    <n v="0.05"/>
    <n v="209.96899999999999"/>
    <x v="0"/>
    <x v="0"/>
    <s v="ok"/>
    <n v="96.679999999999993"/>
    <n v="113.289"/>
    <x v="11"/>
  </r>
  <r>
    <s v="O00037"/>
    <x v="36"/>
    <x v="1"/>
    <s v="Visitor"/>
    <x v="0"/>
    <x v="1"/>
    <n v="0.06"/>
    <n v="321.16039999999998"/>
    <x v="0"/>
    <x v="0"/>
    <s v="ok"/>
    <n v="148.13999999999999"/>
    <n v="173.0204"/>
    <x v="3"/>
  </r>
  <r>
    <s v="O00038"/>
    <x v="37"/>
    <x v="2"/>
    <s v="Worker"/>
    <x v="2"/>
    <x v="1"/>
    <n v="0"/>
    <n v="88.16"/>
    <x v="1"/>
    <x v="0"/>
    <s v="ok"/>
    <n v="33.06"/>
    <n v="55.099999999999994"/>
    <x v="5"/>
  </r>
  <r>
    <s v="O00039"/>
    <x v="38"/>
    <x v="1"/>
    <s v="Worker"/>
    <x v="0"/>
    <x v="0"/>
    <n v="0.05"/>
    <n v="486.8655"/>
    <x v="0"/>
    <x v="0"/>
    <s v="ok"/>
    <n v="222.20999999999998"/>
    <n v="264.65550000000002"/>
    <x v="3"/>
  </r>
  <r>
    <s v="O00040"/>
    <x v="39"/>
    <x v="1"/>
    <s v="Visitor"/>
    <x v="2"/>
    <x v="0"/>
    <n v="7.0000000000000007E-2"/>
    <n v="624.52289999999994"/>
    <x v="1"/>
    <x v="1"/>
    <s v="high disc"/>
    <n v="306.07"/>
    <n v="318.45289999999994"/>
    <x v="6"/>
  </r>
  <r>
    <s v="O00041"/>
    <x v="40"/>
    <x v="2"/>
    <s v="Worker"/>
    <x v="2"/>
    <x v="0"/>
    <n v="0.12"/>
    <n v="149.14240000000001"/>
    <x v="1"/>
    <x v="0"/>
    <s v="ok"/>
    <n v="71.33"/>
    <n v="77.812400000000011"/>
    <x v="4"/>
  </r>
  <r>
    <s v="O00042"/>
    <x v="41"/>
    <x v="0"/>
    <s v="Staff"/>
    <x v="2"/>
    <x v="2"/>
    <n v="0.04"/>
    <n v="346.63679999999999"/>
    <x v="1"/>
    <x v="1"/>
    <s v="ok"/>
    <n v="156.69"/>
    <n v="189.9468"/>
    <x v="10"/>
  </r>
  <r>
    <s v="O00043"/>
    <x v="42"/>
    <x v="2"/>
    <s v="Visitor"/>
    <x v="1"/>
    <x v="0"/>
    <n v="0.03"/>
    <n v="21.533999999999999"/>
    <x v="1"/>
    <x v="0"/>
    <s v="ok"/>
    <n v="9.3800000000000008"/>
    <n v="12.153999999999998"/>
    <x v="5"/>
  </r>
  <r>
    <s v="O00044"/>
    <x v="43"/>
    <x v="1"/>
    <s v="Worker"/>
    <x v="1"/>
    <x v="0"/>
    <n v="0.04"/>
    <n v="139.38240000000002"/>
    <x v="1"/>
    <x v="0"/>
    <s v="ok"/>
    <n v="70.990000000000009"/>
    <n v="68.392400000000009"/>
    <x v="4"/>
  </r>
  <r>
    <s v="O00045"/>
    <x v="44"/>
    <x v="1"/>
    <s v="Worker"/>
    <x v="1"/>
    <x v="0"/>
    <n v="0.1"/>
    <n v="323.90100000000001"/>
    <x v="1"/>
    <x v="0"/>
    <s v="ok"/>
    <n v="145.62"/>
    <n v="178.28100000000001"/>
    <x v="1"/>
  </r>
  <r>
    <s v="O00046"/>
    <x v="45"/>
    <x v="1"/>
    <s v="Staff"/>
    <x v="2"/>
    <x v="0"/>
    <n v="7.0000000000000007E-2"/>
    <n v="37.153500000000001"/>
    <x v="0"/>
    <x v="0"/>
    <s v="ok"/>
    <n v="15.51"/>
    <n v="21.643500000000003"/>
    <x v="0"/>
  </r>
  <r>
    <s v="O00047"/>
    <x v="46"/>
    <x v="1"/>
    <s v="Visitor"/>
    <x v="0"/>
    <x v="0"/>
    <n v="0.04"/>
    <n v="595.65120000000002"/>
    <x v="0"/>
    <x v="0"/>
    <s v="ok"/>
    <n v="290.22999999999996"/>
    <n v="305.42120000000006"/>
    <x v="7"/>
  </r>
  <r>
    <s v="O00048"/>
    <x v="47"/>
    <x v="1"/>
    <s v="Worker"/>
    <x v="1"/>
    <x v="0"/>
    <n v="0.08"/>
    <n v="179.67599999999999"/>
    <x v="1"/>
    <x v="0"/>
    <s v="ok"/>
    <n v="92.55"/>
    <n v="87.125999999999991"/>
    <x v="4"/>
  </r>
  <r>
    <s v="O00049"/>
    <x v="48"/>
    <x v="0"/>
    <s v="Staff"/>
    <x v="1"/>
    <x v="2"/>
    <n v="0.06"/>
    <n v="275.95579999999995"/>
    <x v="1"/>
    <x v="1"/>
    <s v="ok"/>
    <n v="119.9"/>
    <n v="156.05579999999995"/>
    <x v="6"/>
  </r>
  <r>
    <s v="O00050"/>
    <x v="49"/>
    <x v="1"/>
    <s v="Staff"/>
    <x v="0"/>
    <x v="0"/>
    <n v="0.1"/>
    <n v="98.576999999999998"/>
    <x v="1"/>
    <x v="0"/>
    <s v="ok"/>
    <n v="50.069999999999993"/>
    <n v="48.507000000000005"/>
    <x v="1"/>
  </r>
  <r>
    <s v="O00051"/>
    <x v="50"/>
    <x v="0"/>
    <s v="Visitor"/>
    <x v="1"/>
    <x v="2"/>
    <n v="0.03"/>
    <n v="574.76379999999995"/>
    <x v="0"/>
    <x v="0"/>
    <s v="ok"/>
    <n v="275.74"/>
    <n v="299.02379999999994"/>
    <x v="13"/>
  </r>
  <r>
    <s v="O00052"/>
    <x v="51"/>
    <x v="2"/>
    <s v="Staff"/>
    <x v="1"/>
    <x v="0"/>
    <n v="0.05"/>
    <n v="183.8535"/>
    <x v="0"/>
    <x v="0"/>
    <s v="ok"/>
    <n v="97.42"/>
    <n v="86.433499999999995"/>
    <x v="0"/>
  </r>
  <r>
    <s v="O00053"/>
    <x v="52"/>
    <x v="0"/>
    <s v="Visitor"/>
    <x v="0"/>
    <x v="0"/>
    <n v="0.04"/>
    <n v="100.70400000000001"/>
    <x v="0"/>
    <x v="0"/>
    <s v="ok"/>
    <n v="51.6"/>
    <n v="49.104000000000006"/>
    <x v="0"/>
  </r>
  <r>
    <s v="O00054"/>
    <x v="53"/>
    <x v="1"/>
    <s v="Worker"/>
    <x v="0"/>
    <x v="2"/>
    <n v="0"/>
    <n v="271.65999999999997"/>
    <x v="0"/>
    <x v="0"/>
    <s v="ok"/>
    <n v="117.49"/>
    <n v="154.16999999999996"/>
    <x v="9"/>
  </r>
  <r>
    <s v="O00055"/>
    <x v="54"/>
    <x v="0"/>
    <s v="Worker"/>
    <x v="0"/>
    <x v="1"/>
    <n v="7.0000000000000007E-2"/>
    <n v="706.71630000000005"/>
    <x v="0"/>
    <x v="0"/>
    <s v="high disc"/>
    <n v="354.56"/>
    <n v="352.15630000000004"/>
    <x v="3"/>
  </r>
  <r>
    <s v="O00056"/>
    <x v="55"/>
    <x v="1"/>
    <s v="Visitor"/>
    <x v="2"/>
    <x v="2"/>
    <n v="7.0000000000000007E-2"/>
    <n v="462.02399999999994"/>
    <x v="0"/>
    <x v="0"/>
    <s v="ok"/>
    <n v="227.82999999999998"/>
    <n v="234.19399999999996"/>
    <x v="13"/>
  </r>
  <r>
    <s v="O00057"/>
    <x v="56"/>
    <x v="0"/>
    <s v="Staff"/>
    <x v="0"/>
    <x v="0"/>
    <n v="0.06"/>
    <n v="240.47079999999997"/>
    <x v="1"/>
    <x v="0"/>
    <s v="ok"/>
    <n v="122.93"/>
    <n v="117.54079999999996"/>
    <x v="12"/>
  </r>
  <r>
    <s v="O00058"/>
    <x v="57"/>
    <x v="1"/>
    <s v="Visitor"/>
    <x v="2"/>
    <x v="1"/>
    <n v="0.05"/>
    <n v="233.78549999999998"/>
    <x v="0"/>
    <x v="0"/>
    <s v="ok"/>
    <n v="112.08"/>
    <n v="121.70549999999999"/>
    <x v="3"/>
  </r>
  <r>
    <s v="O00059"/>
    <x v="58"/>
    <x v="1"/>
    <s v="Staff"/>
    <x v="0"/>
    <x v="2"/>
    <n v="0"/>
    <n v="662.52"/>
    <x v="0"/>
    <x v="0"/>
    <s v="ok"/>
    <n v="290.85000000000002"/>
    <n v="371.66999999999996"/>
    <x v="13"/>
  </r>
  <r>
    <s v="O00060"/>
    <x v="59"/>
    <x v="1"/>
    <s v="Worker"/>
    <x v="2"/>
    <x v="1"/>
    <n v="0.04"/>
    <n v="710.06400000000008"/>
    <x v="0"/>
    <x v="0"/>
    <s v="ok"/>
    <n v="341"/>
    <n v="369.06400000000008"/>
    <x v="11"/>
  </r>
  <r>
    <s v="O00061"/>
    <x v="60"/>
    <x v="1"/>
    <s v="Staff"/>
    <x v="0"/>
    <x v="0"/>
    <n v="0.05"/>
    <n v="252.66200000000001"/>
    <x v="1"/>
    <x v="0"/>
    <s v="ok"/>
    <n v="112.53"/>
    <n v="140.13200000000001"/>
    <x v="4"/>
  </r>
  <r>
    <s v="O00062"/>
    <x v="61"/>
    <x v="1"/>
    <s v="Visitor"/>
    <x v="1"/>
    <x v="1"/>
    <n v="0.03"/>
    <n v="285.45159999999998"/>
    <x v="1"/>
    <x v="0"/>
    <s v="ok"/>
    <n v="126.3"/>
    <n v="159.15159999999997"/>
    <x v="1"/>
  </r>
  <r>
    <s v="O00063"/>
    <x v="62"/>
    <x v="0"/>
    <s v="Visitor"/>
    <x v="0"/>
    <x v="1"/>
    <n v="0.05"/>
    <n v="145.44499999999999"/>
    <x v="0"/>
    <x v="0"/>
    <s v="ok"/>
    <n v="76.459999999999994"/>
    <n v="68.984999999999999"/>
    <x v="14"/>
  </r>
  <r>
    <s v="O00064"/>
    <x v="63"/>
    <x v="2"/>
    <s v="Visitor"/>
    <x v="2"/>
    <x v="0"/>
    <n v="0.08"/>
    <n v="18.501200000000001"/>
    <x v="1"/>
    <x v="0"/>
    <s v="ok"/>
    <n v="8"/>
    <n v="10.501200000000001"/>
    <x v="5"/>
  </r>
  <r>
    <s v="O00065"/>
    <x v="64"/>
    <x v="2"/>
    <s v="Worker"/>
    <x v="1"/>
    <x v="2"/>
    <n v="0.14000000000000001"/>
    <n v="587.66380000000004"/>
    <x v="1"/>
    <x v="1"/>
    <s v="high disc"/>
    <n v="327.99"/>
    <n v="259.67380000000003"/>
    <x v="2"/>
  </r>
  <r>
    <s v="O00066"/>
    <x v="65"/>
    <x v="0"/>
    <s v="Worker"/>
    <x v="2"/>
    <x v="0"/>
    <n v="7.0000000000000007E-2"/>
    <n v="1009.5894"/>
    <x v="0"/>
    <x v="0"/>
    <s v="high disc"/>
    <n v="531.21"/>
    <n v="478.37939999999992"/>
    <x v="7"/>
  </r>
  <r>
    <s v="O00067"/>
    <x v="66"/>
    <x v="2"/>
    <s v="Visitor"/>
    <x v="0"/>
    <x v="0"/>
    <n v="7.0000000000000007E-2"/>
    <n v="337.50630000000001"/>
    <x v="1"/>
    <x v="0"/>
    <s v="ok"/>
    <n v="161.82"/>
    <n v="175.68630000000002"/>
    <x v="12"/>
  </r>
  <r>
    <s v="O00068"/>
    <x v="67"/>
    <x v="1"/>
    <s v="Worker"/>
    <x v="1"/>
    <x v="0"/>
    <n v="0.06"/>
    <n v="373.89439999999996"/>
    <x v="1"/>
    <x v="1"/>
    <s v="ok"/>
    <n v="191.77999999999997"/>
    <n v="182.11439999999999"/>
    <x v="2"/>
  </r>
  <r>
    <s v="O00069"/>
    <x v="68"/>
    <x v="1"/>
    <s v="Worker"/>
    <x v="1"/>
    <x v="2"/>
    <n v="0"/>
    <n v="1539.5700000000002"/>
    <x v="0"/>
    <x v="0"/>
    <s v="ok"/>
    <n v="731.26"/>
    <n v="808.31000000000017"/>
    <x v="11"/>
  </r>
  <r>
    <s v="O00070"/>
    <x v="69"/>
    <x v="2"/>
    <s v="Visitor"/>
    <x v="1"/>
    <x v="0"/>
    <n v="0.06"/>
    <n v="56.710199999999993"/>
    <x v="1"/>
    <x v="0"/>
    <s v="ok"/>
    <n v="24"/>
    <n v="32.710199999999993"/>
    <x v="5"/>
  </r>
  <r>
    <s v="O00071"/>
    <x v="70"/>
    <x v="2"/>
    <s v="Staff"/>
    <x v="0"/>
    <x v="2"/>
    <n v="0.06"/>
    <n v="304.49419999999998"/>
    <x v="0"/>
    <x v="0"/>
    <s v="ok"/>
    <n v="150.52999999999997"/>
    <n v="153.96420000000001"/>
    <x v="13"/>
  </r>
  <r>
    <s v="O00072"/>
    <x v="71"/>
    <x v="0"/>
    <s v="Staff"/>
    <x v="2"/>
    <x v="2"/>
    <n v="0.16"/>
    <n v="336.36119999999994"/>
    <x v="1"/>
    <x v="1"/>
    <s v="high disc"/>
    <n v="176.20999999999998"/>
    <n v="160.15119999999996"/>
    <x v="6"/>
  </r>
  <r>
    <s v="O00073"/>
    <x v="72"/>
    <x v="0"/>
    <s v="Staff"/>
    <x v="1"/>
    <x v="1"/>
    <n v="0.05"/>
    <n v="95.36099999999999"/>
    <x v="0"/>
    <x v="0"/>
    <s v="ok"/>
    <n v="45.22"/>
    <n v="50.140999999999991"/>
    <x v="0"/>
  </r>
  <r>
    <s v="O00074"/>
    <x v="73"/>
    <x v="1"/>
    <s v="Worker"/>
    <x v="0"/>
    <x v="1"/>
    <n v="7.0000000000000007E-2"/>
    <n v="835.66079999999988"/>
    <x v="1"/>
    <x v="1"/>
    <s v="high disc"/>
    <n v="395.46"/>
    <n v="440.2007999999999"/>
    <x v="2"/>
  </r>
  <r>
    <s v="O00075"/>
    <x v="74"/>
    <x v="1"/>
    <s v="Visitor"/>
    <x v="1"/>
    <x v="1"/>
    <n v="0.06"/>
    <n v="512.8922"/>
    <x v="1"/>
    <x v="1"/>
    <s v="ok"/>
    <n v="275.25"/>
    <n v="237.6422"/>
    <x v="2"/>
  </r>
  <r>
    <s v="O00076"/>
    <x v="75"/>
    <x v="2"/>
    <s v="Visitor"/>
    <x v="2"/>
    <x v="1"/>
    <n v="0.01"/>
    <n v="393.21810000000005"/>
    <x v="0"/>
    <x v="0"/>
    <s v="ok"/>
    <n v="206.4"/>
    <n v="186.81810000000004"/>
    <x v="7"/>
  </r>
  <r>
    <s v="O00077"/>
    <x v="76"/>
    <x v="1"/>
    <s v="Staff"/>
    <x v="0"/>
    <x v="2"/>
    <n v="0.11"/>
    <n v="92.132800000000003"/>
    <x v="1"/>
    <x v="0"/>
    <s v="ok"/>
    <n v="47.650000000000006"/>
    <n v="44.482799999999997"/>
    <x v="4"/>
  </r>
  <r>
    <s v="O00078"/>
    <x v="77"/>
    <x v="2"/>
    <s v="Worker"/>
    <x v="2"/>
    <x v="1"/>
    <n v="0.09"/>
    <n v="135.70830000000001"/>
    <x v="1"/>
    <x v="0"/>
    <s v="ok"/>
    <n v="58.129999999999995"/>
    <n v="77.578300000000013"/>
    <x v="4"/>
  </r>
  <r>
    <s v="O00079"/>
    <x v="78"/>
    <x v="2"/>
    <s v="Staff"/>
    <x v="2"/>
    <x v="0"/>
    <n v="0.09"/>
    <n v="86.377200000000016"/>
    <x v="1"/>
    <x v="0"/>
    <s v="ok"/>
    <n v="47.33"/>
    <n v="39.047200000000018"/>
    <x v="4"/>
  </r>
  <r>
    <s v="O00080"/>
    <x v="79"/>
    <x v="1"/>
    <s v="Staff"/>
    <x v="1"/>
    <x v="1"/>
    <n v="0.02"/>
    <n v="419.39100000000002"/>
    <x v="1"/>
    <x v="1"/>
    <s v="ok"/>
    <n v="192.04000000000002"/>
    <n v="227.351"/>
    <x v="6"/>
  </r>
  <r>
    <s v="O00081"/>
    <x v="80"/>
    <x v="1"/>
    <s v="Visitor"/>
    <x v="0"/>
    <x v="0"/>
    <n v="0.12"/>
    <n v="44.167200000000001"/>
    <x v="0"/>
    <x v="0"/>
    <s v="ok"/>
    <n v="22.61"/>
    <n v="21.557200000000002"/>
    <x v="0"/>
  </r>
  <r>
    <s v="O00082"/>
    <x v="81"/>
    <x v="1"/>
    <s v="Staff"/>
    <x v="1"/>
    <x v="0"/>
    <n v="0"/>
    <n v="119.85000000000001"/>
    <x v="0"/>
    <x v="0"/>
    <s v="ok"/>
    <n v="46.53"/>
    <n v="73.320000000000007"/>
    <x v="0"/>
  </r>
  <r>
    <s v="O00083"/>
    <x v="82"/>
    <x v="1"/>
    <s v="Staff"/>
    <x v="0"/>
    <x v="0"/>
    <n v="0.08"/>
    <n v="297.28880000000004"/>
    <x v="1"/>
    <x v="1"/>
    <s v="ok"/>
    <n v="176.02"/>
    <n v="121.26880000000003"/>
    <x v="6"/>
  </r>
  <r>
    <s v="O00084"/>
    <x v="83"/>
    <x v="2"/>
    <s v="Staff"/>
    <x v="1"/>
    <x v="1"/>
    <n v="0.15"/>
    <n v="200.50649999999999"/>
    <x v="1"/>
    <x v="0"/>
    <s v="ok"/>
    <n v="116.43999999999998"/>
    <n v="84.066500000000005"/>
    <x v="12"/>
  </r>
  <r>
    <s v="O00085"/>
    <x v="84"/>
    <x v="1"/>
    <s v="Worker"/>
    <x v="2"/>
    <x v="2"/>
    <n v="0.02"/>
    <n v="151.48840000000001"/>
    <x v="0"/>
    <x v="0"/>
    <s v="ok"/>
    <n v="67.17"/>
    <n v="84.318400000000011"/>
    <x v="9"/>
  </r>
  <r>
    <s v="O00086"/>
    <x v="85"/>
    <x v="0"/>
    <s v="Worker"/>
    <x v="2"/>
    <x v="2"/>
    <n v="0.04"/>
    <n v="178.63679999999999"/>
    <x v="1"/>
    <x v="0"/>
    <s v="ok"/>
    <n v="88.3"/>
    <n v="90.336799999999997"/>
    <x v="1"/>
  </r>
  <r>
    <s v="O00087"/>
    <x v="86"/>
    <x v="2"/>
    <s v="Staff"/>
    <x v="0"/>
    <x v="0"/>
    <n v="0.06"/>
    <n v="252.08920000000001"/>
    <x v="1"/>
    <x v="0"/>
    <s v="ok"/>
    <n v="132.60000000000002"/>
    <n v="119.48919999999998"/>
    <x v="4"/>
  </r>
  <r>
    <s v="O00088"/>
    <x v="87"/>
    <x v="0"/>
    <s v="Staff"/>
    <x v="1"/>
    <x v="0"/>
    <n v="0.04"/>
    <n v="291.99360000000001"/>
    <x v="0"/>
    <x v="0"/>
    <s v="ok"/>
    <n v="134.44999999999999"/>
    <n v="157.54360000000003"/>
    <x v="13"/>
  </r>
  <r>
    <s v="O00089"/>
    <x v="88"/>
    <x v="2"/>
    <s v="Staff"/>
    <x v="2"/>
    <x v="1"/>
    <n v="0"/>
    <n v="658.67000000000007"/>
    <x v="0"/>
    <x v="0"/>
    <s v="ok"/>
    <n v="309.59000000000003"/>
    <n v="349.08000000000004"/>
    <x v="11"/>
  </r>
  <r>
    <s v="O00090"/>
    <x v="89"/>
    <x v="1"/>
    <s v="Staff"/>
    <x v="2"/>
    <x v="1"/>
    <n v="0.06"/>
    <n v="714.59739999999999"/>
    <x v="1"/>
    <x v="1"/>
    <s v="high disc"/>
    <n v="319.25999999999993"/>
    <n v="395.33740000000006"/>
    <x v="6"/>
  </r>
  <r>
    <s v="O00091"/>
    <x v="90"/>
    <x v="1"/>
    <s v="Staff"/>
    <x v="1"/>
    <x v="0"/>
    <n v="0.02"/>
    <n v="286.94400000000002"/>
    <x v="0"/>
    <x v="0"/>
    <s v="ok"/>
    <n v="161.84"/>
    <n v="125.10400000000001"/>
    <x v="3"/>
  </r>
  <r>
    <s v="O00092"/>
    <x v="91"/>
    <x v="0"/>
    <s v="Visitor"/>
    <x v="1"/>
    <x v="0"/>
    <n v="0.08"/>
    <n v="686.02560000000005"/>
    <x v="1"/>
    <x v="1"/>
    <s v="high disc"/>
    <n v="318.15999999999997"/>
    <n v="367.86560000000009"/>
    <x v="10"/>
  </r>
  <r>
    <s v="O00093"/>
    <x v="92"/>
    <x v="0"/>
    <s v="Worker"/>
    <x v="0"/>
    <x v="0"/>
    <n v="0.02"/>
    <n v="398.80119999999999"/>
    <x v="0"/>
    <x v="0"/>
    <s v="ok"/>
    <n v="220.12"/>
    <n v="178.68119999999999"/>
    <x v="13"/>
  </r>
  <r>
    <s v="O00094"/>
    <x v="93"/>
    <x v="2"/>
    <s v="Worker"/>
    <x v="1"/>
    <x v="0"/>
    <n v="0.12"/>
    <n v="171.96960000000001"/>
    <x v="1"/>
    <x v="0"/>
    <s v="ok"/>
    <n v="85.47"/>
    <n v="86.499600000000015"/>
    <x v="12"/>
  </r>
  <r>
    <s v="O00095"/>
    <x v="94"/>
    <x v="2"/>
    <s v="Staff"/>
    <x v="0"/>
    <x v="0"/>
    <n v="0.03"/>
    <n v="739.84810000000004"/>
    <x v="0"/>
    <x v="0"/>
    <s v="ok"/>
    <n v="319.67999999999995"/>
    <n v="420.16810000000009"/>
    <x v="11"/>
  </r>
  <r>
    <s v="O00096"/>
    <x v="95"/>
    <x v="2"/>
    <s v="Staff"/>
    <x v="0"/>
    <x v="0"/>
    <n v="0.05"/>
    <n v="825.56899999999996"/>
    <x v="0"/>
    <x v="0"/>
    <s v="high disc"/>
    <n v="396.42"/>
    <n v="429.14899999999994"/>
    <x v="13"/>
  </r>
  <r>
    <s v="O00097"/>
    <x v="96"/>
    <x v="2"/>
    <s v="Visitor"/>
    <x v="0"/>
    <x v="0"/>
    <n v="0.09"/>
    <n v="51.742600000000003"/>
    <x v="1"/>
    <x v="0"/>
    <s v="ok"/>
    <n v="27.78"/>
    <n v="23.962600000000002"/>
    <x v="5"/>
  </r>
  <r>
    <s v="O00098"/>
    <x v="97"/>
    <x v="1"/>
    <s v="Worker"/>
    <x v="0"/>
    <x v="0"/>
    <n v="0.01"/>
    <n v="182.3877"/>
    <x v="1"/>
    <x v="0"/>
    <s v="ok"/>
    <n v="77.19"/>
    <n v="105.1977"/>
    <x v="5"/>
  </r>
  <r>
    <s v="O00099"/>
    <x v="98"/>
    <x v="0"/>
    <s v="Visitor"/>
    <x v="2"/>
    <x v="2"/>
    <n v="7.0000000000000007E-2"/>
    <n v="242.30219999999997"/>
    <x v="0"/>
    <x v="0"/>
    <s v="ok"/>
    <n v="139.19999999999999"/>
    <n v="103.10219999999998"/>
    <x v="13"/>
  </r>
  <r>
    <s v="O00100"/>
    <x v="99"/>
    <x v="2"/>
    <s v="Visitor"/>
    <x v="0"/>
    <x v="2"/>
    <n v="0.11"/>
    <n v="317.98810000000003"/>
    <x v="0"/>
    <x v="0"/>
    <s v="ok"/>
    <n v="166.45999999999998"/>
    <n v="151.52810000000005"/>
    <x v="11"/>
  </r>
  <r>
    <s v="O00101"/>
    <x v="100"/>
    <x v="0"/>
    <s v="Staff"/>
    <x v="0"/>
    <x v="0"/>
    <n v="0"/>
    <n v="140.83000000000001"/>
    <x v="1"/>
    <x v="0"/>
    <s v="ok"/>
    <n v="65.5"/>
    <n v="75.330000000000013"/>
    <x v="4"/>
  </r>
  <r>
    <s v="O00102"/>
    <x v="101"/>
    <x v="2"/>
    <s v="Staff"/>
    <x v="0"/>
    <x v="0"/>
    <n v="7.0000000000000007E-2"/>
    <n v="70.791600000000003"/>
    <x v="0"/>
    <x v="0"/>
    <s v="ok"/>
    <n v="39.1"/>
    <n v="31.691600000000001"/>
    <x v="0"/>
  </r>
  <r>
    <s v="O00103"/>
    <x v="102"/>
    <x v="2"/>
    <s v="Visitor"/>
    <x v="0"/>
    <x v="0"/>
    <n v="7.0000000000000007E-2"/>
    <n v="131.20439999999999"/>
    <x v="0"/>
    <x v="0"/>
    <s v="ok"/>
    <n v="71.62"/>
    <n v="59.584399999999988"/>
    <x v="0"/>
  </r>
  <r>
    <s v="O00104"/>
    <x v="103"/>
    <x v="1"/>
    <s v="Staff"/>
    <x v="1"/>
    <x v="2"/>
    <n v="0.09"/>
    <n v="49.322000000000003"/>
    <x v="0"/>
    <x v="0"/>
    <s v="ok"/>
    <n v="21.95"/>
    <n v="27.372000000000003"/>
    <x v="14"/>
  </r>
  <r>
    <s v="O00105"/>
    <x v="104"/>
    <x v="0"/>
    <s v="Staff"/>
    <x v="0"/>
    <x v="0"/>
    <n v="0.01"/>
    <n v="30.0366"/>
    <x v="1"/>
    <x v="0"/>
    <s v="ok"/>
    <n v="14.18"/>
    <n v="15.8566"/>
    <x v="5"/>
  </r>
  <r>
    <s v="O00106"/>
    <x v="105"/>
    <x v="2"/>
    <s v="Visitor"/>
    <x v="0"/>
    <x v="2"/>
    <n v="0.01"/>
    <n v="423.67050000000006"/>
    <x v="1"/>
    <x v="1"/>
    <s v="ok"/>
    <n v="207.67000000000002"/>
    <n v="216.00050000000005"/>
    <x v="2"/>
  </r>
  <r>
    <s v="O00107"/>
    <x v="106"/>
    <x v="1"/>
    <s v="Staff"/>
    <x v="2"/>
    <x v="2"/>
    <n v="0.08"/>
    <n v="57.426400000000001"/>
    <x v="1"/>
    <x v="0"/>
    <s v="ok"/>
    <n v="25.380000000000003"/>
    <n v="32.046399999999998"/>
    <x v="5"/>
  </r>
  <r>
    <s v="O00108"/>
    <x v="107"/>
    <x v="2"/>
    <s v="Worker"/>
    <x v="2"/>
    <x v="2"/>
    <n v="7.0000000000000007E-2"/>
    <n v="200.38709999999998"/>
    <x v="1"/>
    <x v="0"/>
    <s v="ok"/>
    <n v="103.44000000000001"/>
    <n v="96.947099999999963"/>
    <x v="12"/>
  </r>
  <r>
    <s v="O00109"/>
    <x v="108"/>
    <x v="1"/>
    <s v="Visitor"/>
    <x v="0"/>
    <x v="1"/>
    <n v="7.0000000000000007E-2"/>
    <n v="56.432399999999994"/>
    <x v="1"/>
    <x v="0"/>
    <s v="ok"/>
    <n v="28.36"/>
    <n v="28.072399999999995"/>
    <x v="5"/>
  </r>
  <r>
    <s v="O00110"/>
    <x v="109"/>
    <x v="2"/>
    <s v="Staff"/>
    <x v="2"/>
    <x v="1"/>
    <n v="7.0000000000000007E-2"/>
    <n v="761.72579999999994"/>
    <x v="1"/>
    <x v="1"/>
    <s v="high disc"/>
    <n v="362.02"/>
    <n v="399.70579999999995"/>
    <x v="10"/>
  </r>
  <r>
    <s v="O00111"/>
    <x v="110"/>
    <x v="2"/>
    <s v="Staff"/>
    <x v="2"/>
    <x v="2"/>
    <n v="0.03"/>
    <n v="335.51330000000002"/>
    <x v="1"/>
    <x v="1"/>
    <s v="ok"/>
    <n v="181.68"/>
    <n v="153.83330000000001"/>
    <x v="6"/>
  </r>
  <r>
    <s v="O00112"/>
    <x v="111"/>
    <x v="0"/>
    <s v="Visitor"/>
    <x v="2"/>
    <x v="0"/>
    <n v="7.0000000000000007E-2"/>
    <n v="409.14420000000001"/>
    <x v="1"/>
    <x v="1"/>
    <s v="ok"/>
    <n v="224.99"/>
    <n v="184.1542"/>
    <x v="10"/>
  </r>
  <r>
    <s v="O00113"/>
    <x v="112"/>
    <x v="0"/>
    <s v="Worker"/>
    <x v="1"/>
    <x v="0"/>
    <n v="7.0000000000000007E-2"/>
    <n v="509.79810000000003"/>
    <x v="0"/>
    <x v="0"/>
    <s v="ok"/>
    <n v="262.24"/>
    <n v="247.55810000000002"/>
    <x v="13"/>
  </r>
  <r>
    <s v="O00114"/>
    <x v="113"/>
    <x v="1"/>
    <s v="Visitor"/>
    <x v="1"/>
    <x v="1"/>
    <n v="0.03"/>
    <n v="251.20089999999999"/>
    <x v="0"/>
    <x v="0"/>
    <s v="ok"/>
    <n v="111.72999999999999"/>
    <n v="139.4709"/>
    <x v="9"/>
  </r>
  <r>
    <s v="O00115"/>
    <x v="114"/>
    <x v="1"/>
    <s v="Worker"/>
    <x v="1"/>
    <x v="1"/>
    <n v="0.13"/>
    <n v="750.9926999999999"/>
    <x v="1"/>
    <x v="1"/>
    <s v="high disc"/>
    <n v="394.59"/>
    <n v="356.40269999999992"/>
    <x v="10"/>
  </r>
  <r>
    <s v="O00116"/>
    <x v="115"/>
    <x v="1"/>
    <s v="Visitor"/>
    <x v="1"/>
    <x v="1"/>
    <n v="0.08"/>
    <n v="376.96080000000006"/>
    <x v="1"/>
    <x v="1"/>
    <s v="ok"/>
    <n v="179.60999999999999"/>
    <n v="197.35080000000008"/>
    <x v="2"/>
  </r>
  <r>
    <s v="O00117"/>
    <x v="116"/>
    <x v="1"/>
    <s v="Staff"/>
    <x v="0"/>
    <x v="1"/>
    <n v="0.01"/>
    <n v="667.4085"/>
    <x v="1"/>
    <x v="0"/>
    <s v="ok"/>
    <n v="304.45999999999998"/>
    <n v="362.94850000000002"/>
    <x v="12"/>
  </r>
  <r>
    <s v="O00118"/>
    <x v="117"/>
    <x v="1"/>
    <s v="Visitor"/>
    <x v="0"/>
    <x v="2"/>
    <n v="0.09"/>
    <n v="47.729500000000002"/>
    <x v="0"/>
    <x v="0"/>
    <s v="ok"/>
    <n v="25.8"/>
    <n v="21.929500000000001"/>
    <x v="0"/>
  </r>
  <r>
    <s v="O00119"/>
    <x v="118"/>
    <x v="0"/>
    <s v="Staff"/>
    <x v="2"/>
    <x v="0"/>
    <n v="0.02"/>
    <n v="69.129200000000012"/>
    <x v="0"/>
    <x v="0"/>
    <s v="ok"/>
    <n v="35.81"/>
    <n v="33.319200000000009"/>
    <x v="0"/>
  </r>
  <r>
    <s v="O00120"/>
    <x v="119"/>
    <x v="2"/>
    <s v="Worker"/>
    <x v="0"/>
    <x v="2"/>
    <n v="0.09"/>
    <n v="82.491500000000002"/>
    <x v="1"/>
    <x v="0"/>
    <s v="ok"/>
    <n v="43.81"/>
    <n v="38.6815"/>
    <x v="4"/>
  </r>
  <r>
    <s v="O00121"/>
    <x v="120"/>
    <x v="2"/>
    <s v="Visitor"/>
    <x v="0"/>
    <x v="1"/>
    <n v="0.11"/>
    <n v="541.0933"/>
    <x v="0"/>
    <x v="0"/>
    <s v="high disc"/>
    <n v="275.83999999999997"/>
    <n v="265.25330000000002"/>
    <x v="9"/>
  </r>
  <r>
    <s v="O00122"/>
    <x v="121"/>
    <x v="2"/>
    <s v="Visitor"/>
    <x v="2"/>
    <x v="1"/>
    <n v="0.03"/>
    <n v="615.94029999999998"/>
    <x v="1"/>
    <x v="1"/>
    <s v="ok"/>
    <n v="291.64"/>
    <n v="324.30029999999999"/>
    <x v="10"/>
  </r>
  <r>
    <s v="O00123"/>
    <x v="122"/>
    <x v="0"/>
    <s v="Visitor"/>
    <x v="2"/>
    <x v="2"/>
    <n v="0.1"/>
    <n v="986.59799999999996"/>
    <x v="0"/>
    <x v="0"/>
    <s v="high disc"/>
    <n v="516.5100000000001"/>
    <n v="470.08799999999985"/>
    <x v="7"/>
  </r>
  <r>
    <s v="O00124"/>
    <x v="123"/>
    <x v="1"/>
    <s v="Worker"/>
    <x v="2"/>
    <x v="0"/>
    <n v="0.08"/>
    <n v="858.01959999999997"/>
    <x v="1"/>
    <x v="1"/>
    <s v="high disc"/>
    <n v="412.05"/>
    <n v="445.96959999999996"/>
    <x v="10"/>
  </r>
  <r>
    <s v="O00125"/>
    <x v="124"/>
    <x v="2"/>
    <s v="Visitor"/>
    <x v="0"/>
    <x v="2"/>
    <n v="0.09"/>
    <n v="155.61000000000001"/>
    <x v="0"/>
    <x v="0"/>
    <s v="ok"/>
    <n v="70.92"/>
    <n v="84.690000000000012"/>
    <x v="14"/>
  </r>
  <r>
    <s v="O00126"/>
    <x v="125"/>
    <x v="2"/>
    <s v="Worker"/>
    <x v="0"/>
    <x v="1"/>
    <n v="0.14000000000000001"/>
    <n v="318.2516"/>
    <x v="0"/>
    <x v="0"/>
    <s v="high disc"/>
    <n v="194.14"/>
    <n v="124.11160000000001"/>
    <x v="7"/>
  </r>
  <r>
    <s v="O00127"/>
    <x v="126"/>
    <x v="0"/>
    <s v="Staff"/>
    <x v="1"/>
    <x v="2"/>
    <n v="0.05"/>
    <n v="191.672"/>
    <x v="1"/>
    <x v="0"/>
    <s v="ok"/>
    <n v="99.98"/>
    <n v="91.691999999999993"/>
    <x v="4"/>
  </r>
  <r>
    <s v="O00128"/>
    <x v="127"/>
    <x v="1"/>
    <s v="Staff"/>
    <x v="2"/>
    <x v="1"/>
    <n v="0.03"/>
    <n v="699.23419999999999"/>
    <x v="1"/>
    <x v="1"/>
    <s v="ok"/>
    <n v="337.78000000000003"/>
    <n v="361.45419999999996"/>
    <x v="2"/>
  </r>
  <r>
    <s v="O00129"/>
    <x v="128"/>
    <x v="2"/>
    <s v="Worker"/>
    <x v="2"/>
    <x v="0"/>
    <n v="0.02"/>
    <n v="735.34300000000007"/>
    <x v="0"/>
    <x v="0"/>
    <s v="ok"/>
    <n v="326.07"/>
    <n v="409.27300000000008"/>
    <x v="13"/>
  </r>
  <r>
    <s v="O00130"/>
    <x v="129"/>
    <x v="2"/>
    <s v="Staff"/>
    <x v="2"/>
    <x v="0"/>
    <n v="0.03"/>
    <n v="404.48029999999994"/>
    <x v="0"/>
    <x v="0"/>
    <s v="ok"/>
    <n v="199.47"/>
    <n v="205.01029999999994"/>
    <x v="9"/>
  </r>
  <r>
    <s v="O00131"/>
    <x v="130"/>
    <x v="0"/>
    <s v="Visitor"/>
    <x v="1"/>
    <x v="0"/>
    <n v="0.06"/>
    <n v="593.14"/>
    <x v="1"/>
    <x v="1"/>
    <s v="ok"/>
    <n v="304.01"/>
    <n v="289.13"/>
    <x v="6"/>
  </r>
  <r>
    <s v="O00132"/>
    <x v="131"/>
    <x v="0"/>
    <s v="Staff"/>
    <x v="1"/>
    <x v="1"/>
    <n v="7.0000000000000007E-2"/>
    <n v="456.17430000000002"/>
    <x v="0"/>
    <x v="0"/>
    <s v="ok"/>
    <n v="219.18"/>
    <n v="236.99430000000001"/>
    <x v="13"/>
  </r>
  <r>
    <s v="O00133"/>
    <x v="132"/>
    <x v="0"/>
    <s v="Staff"/>
    <x v="0"/>
    <x v="1"/>
    <n v="7.0000000000000007E-2"/>
    <n v="349.8381"/>
    <x v="1"/>
    <x v="0"/>
    <s v="ok"/>
    <n v="170.11"/>
    <n v="179.72809999999998"/>
    <x v="1"/>
  </r>
  <r>
    <s v="O00134"/>
    <x v="133"/>
    <x v="1"/>
    <s v="Staff"/>
    <x v="2"/>
    <x v="1"/>
    <n v="0.09"/>
    <n v="90.035399999999996"/>
    <x v="1"/>
    <x v="0"/>
    <s v="ok"/>
    <n v="35.519999999999996"/>
    <n v="54.5154"/>
    <x v="5"/>
  </r>
  <r>
    <s v="O00135"/>
    <x v="134"/>
    <x v="1"/>
    <s v="Staff"/>
    <x v="0"/>
    <x v="0"/>
    <n v="0.06"/>
    <n v="188.19739999999999"/>
    <x v="1"/>
    <x v="0"/>
    <s v="ok"/>
    <n v="89.960000000000008"/>
    <n v="98.23739999999998"/>
    <x v="1"/>
  </r>
  <r>
    <s v="O00136"/>
    <x v="135"/>
    <x v="0"/>
    <s v="Worker"/>
    <x v="1"/>
    <x v="0"/>
    <n v="0.12"/>
    <n v="492.90560000000005"/>
    <x v="0"/>
    <x v="0"/>
    <s v="high disc"/>
    <n v="244.04"/>
    <n v="248.86560000000006"/>
    <x v="11"/>
  </r>
  <r>
    <s v="O00137"/>
    <x v="136"/>
    <x v="0"/>
    <s v="Worker"/>
    <x v="1"/>
    <x v="1"/>
    <n v="0.05"/>
    <n v="299.93399999999997"/>
    <x v="1"/>
    <x v="1"/>
    <s v="ok"/>
    <n v="160.42000000000002"/>
    <n v="139.51399999999995"/>
    <x v="10"/>
  </r>
  <r>
    <s v="O00138"/>
    <x v="137"/>
    <x v="0"/>
    <s v="Worker"/>
    <x v="1"/>
    <x v="0"/>
    <n v="0.17"/>
    <n v="83.315399999999997"/>
    <x v="0"/>
    <x v="0"/>
    <s v="ok"/>
    <n v="45.22"/>
    <n v="38.095399999999998"/>
    <x v="0"/>
  </r>
  <r>
    <s v="O00139"/>
    <x v="138"/>
    <x v="1"/>
    <s v="Visitor"/>
    <x v="0"/>
    <x v="1"/>
    <n v="0.09"/>
    <n v="661.30610000000001"/>
    <x v="0"/>
    <x v="0"/>
    <s v="high disc"/>
    <n v="328.12"/>
    <n v="333.18610000000001"/>
    <x v="7"/>
  </r>
  <r>
    <s v="O00140"/>
    <x v="139"/>
    <x v="2"/>
    <s v="Worker"/>
    <x v="2"/>
    <x v="2"/>
    <n v="0.03"/>
    <n v="310.73950000000002"/>
    <x v="1"/>
    <x v="0"/>
    <s v="ok"/>
    <n v="147.13"/>
    <n v="163.60950000000003"/>
    <x v="4"/>
  </r>
  <r>
    <s v="O00141"/>
    <x v="140"/>
    <x v="2"/>
    <s v="Visitor"/>
    <x v="1"/>
    <x v="0"/>
    <n v="0.02"/>
    <n v="79.2624"/>
    <x v="1"/>
    <x v="0"/>
    <s v="ok"/>
    <n v="39.69"/>
    <n v="39.572400000000002"/>
    <x v="4"/>
  </r>
  <r>
    <s v="O00142"/>
    <x v="141"/>
    <x v="0"/>
    <s v="Worker"/>
    <x v="2"/>
    <x v="2"/>
    <n v="0.08"/>
    <n v="164.67999999999998"/>
    <x v="1"/>
    <x v="0"/>
    <s v="ok"/>
    <n v="81.72"/>
    <n v="82.95999999999998"/>
    <x v="4"/>
  </r>
  <r>
    <s v="O00143"/>
    <x v="142"/>
    <x v="2"/>
    <s v="Visitor"/>
    <x v="1"/>
    <x v="0"/>
    <n v="0.05"/>
    <n v="38.208999999999996"/>
    <x v="1"/>
    <x v="0"/>
    <s v="ok"/>
    <n v="16"/>
    <n v="22.208999999999996"/>
    <x v="5"/>
  </r>
  <r>
    <s v="O00144"/>
    <x v="143"/>
    <x v="2"/>
    <s v="Worker"/>
    <x v="1"/>
    <x v="0"/>
    <n v="0.09"/>
    <n v="47.729500000000002"/>
    <x v="0"/>
    <x v="0"/>
    <s v="ok"/>
    <n v="25.8"/>
    <n v="21.929500000000001"/>
    <x v="0"/>
  </r>
  <r>
    <s v="O00145"/>
    <x v="144"/>
    <x v="0"/>
    <s v="Visitor"/>
    <x v="2"/>
    <x v="0"/>
    <n v="0.08"/>
    <n v="328.09960000000001"/>
    <x v="1"/>
    <x v="0"/>
    <s v="ok"/>
    <n v="150.76"/>
    <n v="177.33960000000002"/>
    <x v="1"/>
  </r>
  <r>
    <s v="O00146"/>
    <x v="145"/>
    <x v="1"/>
    <s v="Visitor"/>
    <x v="2"/>
    <x v="0"/>
    <n v="0.06"/>
    <n v="1569.9879999999998"/>
    <x v="1"/>
    <x v="1"/>
    <s v="high disc"/>
    <n v="767.68999999999994"/>
    <n v="802.29799999999989"/>
    <x v="10"/>
  </r>
  <r>
    <s v="O00147"/>
    <x v="146"/>
    <x v="0"/>
    <s v="Visitor"/>
    <x v="2"/>
    <x v="1"/>
    <n v="0.03"/>
    <n v="357.67779999999999"/>
    <x v="1"/>
    <x v="1"/>
    <s v="ok"/>
    <n v="159.28999999999996"/>
    <n v="198.38780000000003"/>
    <x v="2"/>
  </r>
  <r>
    <s v="O00148"/>
    <x v="147"/>
    <x v="0"/>
    <s v="Worker"/>
    <x v="2"/>
    <x v="0"/>
    <n v="0"/>
    <n v="70.290000000000006"/>
    <x v="1"/>
    <x v="0"/>
    <s v="ok"/>
    <n v="29.689999999999998"/>
    <n v="40.600000000000009"/>
    <x v="4"/>
  </r>
  <r>
    <s v="O00149"/>
    <x v="148"/>
    <x v="1"/>
    <s v="Worker"/>
    <x v="1"/>
    <x v="1"/>
    <n v="0.04"/>
    <n v="286.22400000000005"/>
    <x v="0"/>
    <x v="0"/>
    <s v="ok"/>
    <n v="132.03"/>
    <n v="154.19400000000005"/>
    <x v="11"/>
  </r>
  <r>
    <s v="O00150"/>
    <x v="149"/>
    <x v="0"/>
    <s v="Worker"/>
    <x v="0"/>
    <x v="0"/>
    <n v="0.09"/>
    <n v="741.97760000000017"/>
    <x v="0"/>
    <x v="0"/>
    <s v="high disc"/>
    <n v="356.43999999999994"/>
    <n v="385.53760000000023"/>
    <x v="3"/>
  </r>
  <r>
    <s v="O00151"/>
    <x v="150"/>
    <x v="2"/>
    <s v="Worker"/>
    <x v="2"/>
    <x v="0"/>
    <n v="7.0000000000000007E-2"/>
    <n v="1518.4016999999999"/>
    <x v="0"/>
    <x v="0"/>
    <s v="high disc"/>
    <n v="771.44"/>
    <n v="746.96169999999984"/>
    <x v="3"/>
  </r>
  <r>
    <s v="O00152"/>
    <x v="151"/>
    <x v="1"/>
    <s v="Worker"/>
    <x v="0"/>
    <x v="0"/>
    <n v="0.01"/>
    <n v="235.04579999999999"/>
    <x v="1"/>
    <x v="1"/>
    <s v="ok"/>
    <n v="123.46000000000001"/>
    <n v="111.58579999999998"/>
    <x v="6"/>
  </r>
  <r>
    <s v="O00153"/>
    <x v="152"/>
    <x v="2"/>
    <s v="Staff"/>
    <x v="2"/>
    <x v="1"/>
    <n v="7.0000000000000007E-2"/>
    <n v="71.582099999999997"/>
    <x v="1"/>
    <x v="0"/>
    <s v="ok"/>
    <n v="35.78"/>
    <n v="35.802099999999996"/>
    <x v="5"/>
  </r>
  <r>
    <s v="O00154"/>
    <x v="153"/>
    <x v="1"/>
    <s v="Visitor"/>
    <x v="1"/>
    <x v="2"/>
    <n v="0.08"/>
    <n v="343.7396"/>
    <x v="1"/>
    <x v="0"/>
    <s v="ok"/>
    <n v="160.16999999999999"/>
    <n v="183.56960000000001"/>
    <x v="12"/>
  </r>
  <r>
    <s v="O00155"/>
    <x v="154"/>
    <x v="1"/>
    <s v="Visitor"/>
    <x v="2"/>
    <x v="0"/>
    <n v="0.02"/>
    <n v="791.97720000000004"/>
    <x v="0"/>
    <x v="0"/>
    <s v="ok"/>
    <n v="380.03999999999996"/>
    <n v="411.93720000000008"/>
    <x v="7"/>
  </r>
  <r>
    <s v="O00156"/>
    <x v="155"/>
    <x v="0"/>
    <s v="Worker"/>
    <x v="2"/>
    <x v="0"/>
    <n v="7.0000000000000007E-2"/>
    <n v="939.76499999999999"/>
    <x v="1"/>
    <x v="1"/>
    <s v="high disc"/>
    <n v="426.69999999999993"/>
    <n v="513.06500000000005"/>
    <x v="8"/>
  </r>
  <r>
    <s v="O00157"/>
    <x v="156"/>
    <x v="1"/>
    <s v="Staff"/>
    <x v="1"/>
    <x v="1"/>
    <n v="0.06"/>
    <n v="860.27859999999998"/>
    <x v="0"/>
    <x v="0"/>
    <s v="high disc"/>
    <n v="411.90999999999997"/>
    <n v="448.36860000000001"/>
    <x v="7"/>
  </r>
  <r>
    <s v="O00158"/>
    <x v="157"/>
    <x v="2"/>
    <s v="Visitor"/>
    <x v="0"/>
    <x v="0"/>
    <n v="0.01"/>
    <n v="334.40219999999999"/>
    <x v="1"/>
    <x v="0"/>
    <s v="ok"/>
    <n v="158.87"/>
    <n v="175.53219999999999"/>
    <x v="12"/>
  </r>
  <r>
    <s v="O00159"/>
    <x v="158"/>
    <x v="2"/>
    <s v="Worker"/>
    <x v="0"/>
    <x v="0"/>
    <n v="7.0000000000000007E-2"/>
    <n v="228.86369999999999"/>
    <x v="0"/>
    <x v="0"/>
    <s v="ok"/>
    <n v="112.08"/>
    <n v="116.7837"/>
    <x v="3"/>
  </r>
  <r>
    <s v="O00160"/>
    <x v="159"/>
    <x v="0"/>
    <s v="Staff"/>
    <x v="1"/>
    <x v="2"/>
    <n v="0.08"/>
    <n v="314.32720000000006"/>
    <x v="0"/>
    <x v="0"/>
    <s v="ok"/>
    <n v="148.13999999999999"/>
    <n v="166.18720000000008"/>
    <x v="3"/>
  </r>
  <r>
    <s v="O00161"/>
    <x v="160"/>
    <x v="0"/>
    <s v="Worker"/>
    <x v="2"/>
    <x v="0"/>
    <n v="0.1"/>
    <n v="636.94800000000009"/>
    <x v="1"/>
    <x v="1"/>
    <s v="high disc"/>
    <n v="329.40999999999997"/>
    <n v="307.53800000000012"/>
    <x v="10"/>
  </r>
  <r>
    <s v="O00162"/>
    <x v="161"/>
    <x v="2"/>
    <s v="Worker"/>
    <x v="0"/>
    <x v="0"/>
    <n v="0.1"/>
    <n v="406.53899999999999"/>
    <x v="0"/>
    <x v="0"/>
    <s v="high disc"/>
    <n v="221.31"/>
    <n v="185.22899999999998"/>
    <x v="7"/>
  </r>
  <r>
    <s v="O00163"/>
    <x v="162"/>
    <x v="1"/>
    <s v="Visitor"/>
    <x v="1"/>
    <x v="2"/>
    <n v="0"/>
    <n v="633.67000000000007"/>
    <x v="0"/>
    <x v="0"/>
    <s v="ok"/>
    <n v="289.01"/>
    <n v="344.66000000000008"/>
    <x v="11"/>
  </r>
  <r>
    <s v="O00164"/>
    <x v="163"/>
    <x v="2"/>
    <s v="Worker"/>
    <x v="1"/>
    <x v="1"/>
    <n v="0.02"/>
    <n v="194.18700000000001"/>
    <x v="0"/>
    <x v="0"/>
    <s v="ok"/>
    <n v="100.76"/>
    <n v="93.427000000000007"/>
    <x v="9"/>
  </r>
  <r>
    <s v="O00165"/>
    <x v="164"/>
    <x v="0"/>
    <s v="Worker"/>
    <x v="2"/>
    <x v="2"/>
    <n v="0.08"/>
    <n v="146.00400000000002"/>
    <x v="1"/>
    <x v="0"/>
    <s v="ok"/>
    <n v="68.87"/>
    <n v="77.134000000000015"/>
    <x v="4"/>
  </r>
  <r>
    <s v="O00166"/>
    <x v="165"/>
    <x v="0"/>
    <s v="Staff"/>
    <x v="2"/>
    <x v="2"/>
    <n v="0.08"/>
    <n v="91.024799999999999"/>
    <x v="1"/>
    <x v="0"/>
    <s v="ok"/>
    <n v="35.519999999999996"/>
    <n v="55.504800000000003"/>
    <x v="5"/>
  </r>
  <r>
    <s v="O00167"/>
    <x v="166"/>
    <x v="2"/>
    <s v="Staff"/>
    <x v="0"/>
    <x v="0"/>
    <n v="0.08"/>
    <n v="37.002400000000002"/>
    <x v="1"/>
    <x v="0"/>
    <s v="ok"/>
    <n v="16"/>
    <n v="21.002400000000002"/>
    <x v="5"/>
  </r>
  <r>
    <s v="O00168"/>
    <x v="167"/>
    <x v="2"/>
    <s v="Visitor"/>
    <x v="0"/>
    <x v="2"/>
    <n v="0.21"/>
    <n v="331.4366"/>
    <x v="0"/>
    <x v="0"/>
    <s v="high disc"/>
    <n v="222.67999999999998"/>
    <n v="108.75660000000002"/>
    <x v="7"/>
  </r>
  <r>
    <s v="O00169"/>
    <x v="168"/>
    <x v="1"/>
    <s v="Staff"/>
    <x v="2"/>
    <x v="0"/>
    <n v="0.08"/>
    <n v="318.40280000000001"/>
    <x v="1"/>
    <x v="1"/>
    <s v="ok"/>
    <n v="151.08999999999997"/>
    <n v="167.31280000000004"/>
    <x v="10"/>
  </r>
  <r>
    <s v="O00170"/>
    <x v="169"/>
    <x v="2"/>
    <s v="Staff"/>
    <x v="0"/>
    <x v="0"/>
    <n v="0.11"/>
    <n v="153.614"/>
    <x v="1"/>
    <x v="0"/>
    <s v="ok"/>
    <n v="76.430000000000007"/>
    <n v="77.183999999999997"/>
    <x v="4"/>
  </r>
  <r>
    <s v="O00171"/>
    <x v="170"/>
    <x v="0"/>
    <s v="Visitor"/>
    <x v="2"/>
    <x v="0"/>
    <n v="0.1"/>
    <n v="502.74000000000007"/>
    <x v="0"/>
    <x v="0"/>
    <s v="high disc"/>
    <n v="264.87"/>
    <n v="237.87000000000006"/>
    <x v="11"/>
  </r>
  <r>
    <s v="O00172"/>
    <x v="171"/>
    <x v="0"/>
    <s v="Staff"/>
    <x v="2"/>
    <x v="2"/>
    <n v="0.09"/>
    <n v="414.25020000000006"/>
    <x v="0"/>
    <x v="0"/>
    <s v="high disc"/>
    <n v="192.44"/>
    <n v="221.81020000000007"/>
    <x v="3"/>
  </r>
  <r>
    <s v="O00173"/>
    <x v="172"/>
    <x v="0"/>
    <s v="Staff"/>
    <x v="2"/>
    <x v="1"/>
    <n v="0.05"/>
    <n v="488.12900000000002"/>
    <x v="0"/>
    <x v="0"/>
    <s v="ok"/>
    <n v="242.48"/>
    <n v="245.64900000000003"/>
    <x v="3"/>
  </r>
  <r>
    <s v="O00174"/>
    <x v="173"/>
    <x v="0"/>
    <s v="Worker"/>
    <x v="0"/>
    <x v="2"/>
    <n v="0.09"/>
    <n v="243.8982"/>
    <x v="1"/>
    <x v="0"/>
    <s v="ok"/>
    <n v="119.58"/>
    <n v="124.3182"/>
    <x v="1"/>
  </r>
  <r>
    <s v="O00175"/>
    <x v="174"/>
    <x v="1"/>
    <s v="Worker"/>
    <x v="2"/>
    <x v="1"/>
    <n v="0.03"/>
    <n v="318.15030000000002"/>
    <x v="0"/>
    <x v="0"/>
    <s v="ok"/>
    <n v="141.44"/>
    <n v="176.71030000000002"/>
    <x v="11"/>
  </r>
  <r>
    <s v="O00176"/>
    <x v="175"/>
    <x v="1"/>
    <s v="Visitor"/>
    <x v="0"/>
    <x v="0"/>
    <n v="0.05"/>
    <n v="479.39850000000001"/>
    <x v="1"/>
    <x v="1"/>
    <s v="ok"/>
    <n v="225.46"/>
    <n v="253.9385"/>
    <x v="6"/>
  </r>
  <r>
    <s v="O00177"/>
    <x v="176"/>
    <x v="2"/>
    <s v="Worker"/>
    <x v="0"/>
    <x v="0"/>
    <n v="0.04"/>
    <n v="145.91039999999998"/>
    <x v="1"/>
    <x v="0"/>
    <s v="ok"/>
    <n v="76.47"/>
    <n v="69.440399999999983"/>
    <x v="12"/>
  </r>
  <r>
    <s v="O00178"/>
    <x v="177"/>
    <x v="1"/>
    <s v="Worker"/>
    <x v="0"/>
    <x v="1"/>
    <n v="0.06"/>
    <n v="976.71639999999991"/>
    <x v="0"/>
    <x v="0"/>
    <s v="high disc"/>
    <n v="478.83999999999992"/>
    <n v="497.87639999999999"/>
    <x v="13"/>
  </r>
  <r>
    <s v="O00179"/>
    <x v="178"/>
    <x v="0"/>
    <s v="Worker"/>
    <x v="2"/>
    <x v="1"/>
    <n v="0.15"/>
    <n v="339.08199999999999"/>
    <x v="0"/>
    <x v="0"/>
    <s v="high disc"/>
    <n v="183.10000000000002"/>
    <n v="155.98199999999997"/>
    <x v="11"/>
  </r>
  <r>
    <s v="O00180"/>
    <x v="179"/>
    <x v="1"/>
    <s v="Staff"/>
    <x v="2"/>
    <x v="2"/>
    <n v="0"/>
    <n v="28.43"/>
    <x v="1"/>
    <x v="0"/>
    <s v="ok"/>
    <n v="13.89"/>
    <n v="14.54"/>
    <x v="5"/>
  </r>
  <r>
    <s v="O00181"/>
    <x v="180"/>
    <x v="1"/>
    <s v="Visitor"/>
    <x v="0"/>
    <x v="0"/>
    <n v="0.09"/>
    <n v="1182.9727000000003"/>
    <x v="0"/>
    <x v="0"/>
    <s v="high disc"/>
    <n v="580.25999999999988"/>
    <n v="602.71270000000038"/>
    <x v="13"/>
  </r>
  <r>
    <s v="O00182"/>
    <x v="181"/>
    <x v="0"/>
    <s v="Visitor"/>
    <x v="2"/>
    <x v="1"/>
    <n v="0"/>
    <n v="52.45"/>
    <x v="0"/>
    <x v="0"/>
    <s v="ok"/>
    <n v="25.8"/>
    <n v="26.650000000000002"/>
    <x v="0"/>
  </r>
  <r>
    <s v="O00183"/>
    <x v="182"/>
    <x v="0"/>
    <s v="Worker"/>
    <x v="1"/>
    <x v="1"/>
    <n v="0.04"/>
    <n v="150.70079999999999"/>
    <x v="1"/>
    <x v="0"/>
    <s v="ok"/>
    <n v="66.22"/>
    <n v="84.480799999999988"/>
    <x v="5"/>
  </r>
  <r>
    <s v="O00184"/>
    <x v="183"/>
    <x v="0"/>
    <s v="Worker"/>
    <x v="2"/>
    <x v="0"/>
    <n v="0.1"/>
    <n v="130.78800000000001"/>
    <x v="0"/>
    <x v="0"/>
    <s v="ok"/>
    <n v="71.3"/>
    <n v="59.488000000000014"/>
    <x v="9"/>
  </r>
  <r>
    <s v="O00185"/>
    <x v="184"/>
    <x v="1"/>
    <s v="Worker"/>
    <x v="0"/>
    <x v="0"/>
    <n v="0.06"/>
    <n v="138.85679999999999"/>
    <x v="1"/>
    <x v="0"/>
    <s v="ok"/>
    <n v="72.95"/>
    <n v="65.90679999999999"/>
    <x v="12"/>
  </r>
  <r>
    <s v="O00186"/>
    <x v="185"/>
    <x v="2"/>
    <s v="Staff"/>
    <x v="1"/>
    <x v="0"/>
    <n v="0.02"/>
    <n v="59.4664"/>
    <x v="1"/>
    <x v="0"/>
    <s v="ok"/>
    <n v="28.36"/>
    <n v="31.106400000000001"/>
    <x v="5"/>
  </r>
  <r>
    <s v="O00187"/>
    <x v="186"/>
    <x v="1"/>
    <s v="Staff"/>
    <x v="1"/>
    <x v="0"/>
    <n v="0.03"/>
    <n v="403.25810000000001"/>
    <x v="1"/>
    <x v="1"/>
    <s v="ok"/>
    <n v="177.45999999999998"/>
    <n v="225.79810000000003"/>
    <x v="8"/>
  </r>
  <r>
    <s v="O00188"/>
    <x v="187"/>
    <x v="1"/>
    <s v="Visitor"/>
    <x v="0"/>
    <x v="1"/>
    <n v="0.09"/>
    <n v="186.86850000000001"/>
    <x v="1"/>
    <x v="0"/>
    <s v="ok"/>
    <n v="93.18"/>
    <n v="93.688500000000005"/>
    <x v="4"/>
  </r>
  <r>
    <s v="O00189"/>
    <x v="188"/>
    <x v="2"/>
    <s v="Worker"/>
    <x v="0"/>
    <x v="1"/>
    <n v="0.03"/>
    <n v="584.85180000000003"/>
    <x v="1"/>
    <x v="1"/>
    <s v="ok"/>
    <n v="275.97000000000003"/>
    <n v="308.8818"/>
    <x v="2"/>
  </r>
  <r>
    <s v="O00190"/>
    <x v="189"/>
    <x v="1"/>
    <s v="Visitor"/>
    <x v="1"/>
    <x v="2"/>
    <n v="7.0000000000000007E-2"/>
    <n v="136.15199999999999"/>
    <x v="0"/>
    <x v="0"/>
    <s v="ok"/>
    <n v="80.92"/>
    <n v="55.231999999999985"/>
    <x v="3"/>
  </r>
  <r>
    <s v="O00191"/>
    <x v="190"/>
    <x v="0"/>
    <s v="Staff"/>
    <x v="2"/>
    <x v="0"/>
    <n v="0.06"/>
    <n v="255.2946"/>
    <x v="0"/>
    <x v="0"/>
    <s v="ok"/>
    <n v="132.63999999999999"/>
    <n v="122.65460000000002"/>
    <x v="9"/>
  </r>
  <r>
    <s v="O00192"/>
    <x v="191"/>
    <x v="1"/>
    <s v="Staff"/>
    <x v="0"/>
    <x v="0"/>
    <n v="0.03"/>
    <n v="498.40540000000004"/>
    <x v="0"/>
    <x v="0"/>
    <s v="ok"/>
    <n v="242.48"/>
    <n v="255.92540000000005"/>
    <x v="3"/>
  </r>
  <r>
    <s v="O00193"/>
    <x v="192"/>
    <x v="2"/>
    <s v="Staff"/>
    <x v="2"/>
    <x v="2"/>
    <n v="0.15"/>
    <n v="209.661"/>
    <x v="1"/>
    <x v="0"/>
    <s v="ok"/>
    <n v="108.47"/>
    <n v="101.191"/>
    <x v="12"/>
  </r>
  <r>
    <s v="O00194"/>
    <x v="193"/>
    <x v="0"/>
    <s v="Staff"/>
    <x v="2"/>
    <x v="0"/>
    <n v="0.09"/>
    <n v="227.2088"/>
    <x v="1"/>
    <x v="0"/>
    <s v="ok"/>
    <n v="115.58000000000001"/>
    <n v="111.62879999999998"/>
    <x v="4"/>
  </r>
  <r>
    <s v="O00195"/>
    <x v="194"/>
    <x v="1"/>
    <s v="Staff"/>
    <x v="1"/>
    <x v="2"/>
    <n v="0"/>
    <n v="731"/>
    <x v="0"/>
    <x v="0"/>
    <s v="ok"/>
    <n v="336.66999999999996"/>
    <n v="394.33000000000004"/>
    <x v="7"/>
  </r>
  <r>
    <s v="O00196"/>
    <x v="195"/>
    <x v="0"/>
    <s v="Staff"/>
    <x v="0"/>
    <x v="0"/>
    <n v="7.0000000000000007E-2"/>
    <n v="318.80399999999997"/>
    <x v="0"/>
    <x v="0"/>
    <s v="ok"/>
    <n v="165.68"/>
    <n v="153.12399999999997"/>
    <x v="7"/>
  </r>
  <r>
    <s v="O00197"/>
    <x v="196"/>
    <x v="2"/>
    <s v="Visitor"/>
    <x v="2"/>
    <x v="1"/>
    <n v="0.03"/>
    <n v="308.06230000000005"/>
    <x v="1"/>
    <x v="1"/>
    <s v="ok"/>
    <n v="149.6"/>
    <n v="158.46230000000006"/>
    <x v="6"/>
  </r>
  <r>
    <s v="O00198"/>
    <x v="197"/>
    <x v="0"/>
    <s v="Visitor"/>
    <x v="0"/>
    <x v="0"/>
    <n v="0.09"/>
    <n v="107.1525"/>
    <x v="1"/>
    <x v="0"/>
    <s v="ok"/>
    <n v="57.5"/>
    <n v="49.652500000000003"/>
    <x v="1"/>
  </r>
  <r>
    <s v="O00199"/>
    <x v="198"/>
    <x v="0"/>
    <s v="Staff"/>
    <x v="2"/>
    <x v="0"/>
    <n v="0.03"/>
    <n v="851.31080000000009"/>
    <x v="1"/>
    <x v="1"/>
    <s v="ok"/>
    <n v="393.29999999999995"/>
    <n v="458.01080000000013"/>
    <x v="6"/>
  </r>
  <r>
    <s v="O00200"/>
    <x v="199"/>
    <x v="1"/>
    <s v="Worker"/>
    <x v="0"/>
    <x v="0"/>
    <n v="0.06"/>
    <n v="37.552999999999997"/>
    <x v="0"/>
    <x v="0"/>
    <s v="ok"/>
    <n v="15.51"/>
    <n v="22.042999999999999"/>
    <x v="0"/>
  </r>
  <r>
    <s v="O00201"/>
    <x v="200"/>
    <x v="0"/>
    <s v="Visitor"/>
    <x v="0"/>
    <x v="2"/>
    <n v="0.08"/>
    <n v="35.0152"/>
    <x v="0"/>
    <x v="0"/>
    <s v="ok"/>
    <n v="19.55"/>
    <n v="15.465199999999999"/>
    <x v="0"/>
  </r>
  <r>
    <s v="O00202"/>
    <x v="201"/>
    <x v="0"/>
    <s v="Visitor"/>
    <x v="1"/>
    <x v="1"/>
    <n v="0.09"/>
    <n v="155.45530000000002"/>
    <x v="0"/>
    <x v="0"/>
    <s v="ok"/>
    <n v="74.069999999999993"/>
    <n v="81.385300000000029"/>
    <x v="3"/>
  </r>
  <r>
    <s v="O00203"/>
    <x v="202"/>
    <x v="2"/>
    <s v="Visitor"/>
    <x v="2"/>
    <x v="0"/>
    <n v="0.01"/>
    <n v="252.25200000000001"/>
    <x v="0"/>
    <x v="0"/>
    <s v="ok"/>
    <n v="124.82"/>
    <n v="127.43200000000002"/>
    <x v="13"/>
  </r>
  <r>
    <s v="O00204"/>
    <x v="203"/>
    <x v="1"/>
    <s v="Staff"/>
    <x v="0"/>
    <x v="0"/>
    <n v="0.05"/>
    <n v="903.56399999999996"/>
    <x v="1"/>
    <x v="1"/>
    <s v="high disc"/>
    <n v="410.11999999999995"/>
    <n v="493.44400000000002"/>
    <x v="6"/>
  </r>
  <r>
    <s v="O00205"/>
    <x v="204"/>
    <x v="2"/>
    <s v="Worker"/>
    <x v="0"/>
    <x v="0"/>
    <n v="0.04"/>
    <n v="296.72640000000001"/>
    <x v="1"/>
    <x v="1"/>
    <s v="ok"/>
    <n v="151.92000000000002"/>
    <n v="144.8064"/>
    <x v="2"/>
  </r>
  <r>
    <s v="O00206"/>
    <x v="205"/>
    <x v="0"/>
    <s v="Staff"/>
    <x v="1"/>
    <x v="1"/>
    <n v="0.03"/>
    <n v="213.06049999999999"/>
    <x v="1"/>
    <x v="0"/>
    <s v="ok"/>
    <n v="99.080000000000013"/>
    <n v="113.98049999999998"/>
    <x v="4"/>
  </r>
  <r>
    <s v="O00207"/>
    <x v="206"/>
    <x v="1"/>
    <s v="Visitor"/>
    <x v="2"/>
    <x v="0"/>
    <n v="0.13"/>
    <n v="363.05099999999999"/>
    <x v="0"/>
    <x v="0"/>
    <s v="high disc"/>
    <n v="199.5"/>
    <n v="163.55099999999999"/>
    <x v="13"/>
  </r>
  <r>
    <s v="O00208"/>
    <x v="207"/>
    <x v="2"/>
    <s v="Worker"/>
    <x v="1"/>
    <x v="1"/>
    <n v="0.08"/>
    <n v="131.30240000000001"/>
    <x v="1"/>
    <x v="0"/>
    <s v="ok"/>
    <n v="67.240000000000009"/>
    <n v="64.062399999999997"/>
    <x v="4"/>
  </r>
  <r>
    <s v="O00209"/>
    <x v="208"/>
    <x v="1"/>
    <s v="Worker"/>
    <x v="2"/>
    <x v="0"/>
    <n v="0.01"/>
    <n v="225.26459999999997"/>
    <x v="1"/>
    <x v="0"/>
    <s v="ok"/>
    <n v="103.61"/>
    <n v="121.65459999999997"/>
    <x v="4"/>
  </r>
  <r>
    <s v="O00210"/>
    <x v="209"/>
    <x v="0"/>
    <s v="Worker"/>
    <x v="2"/>
    <x v="1"/>
    <n v="0.1"/>
    <n v="481.041"/>
    <x v="1"/>
    <x v="1"/>
    <s v="high disc"/>
    <n v="241.54"/>
    <n v="239.501"/>
    <x v="6"/>
  </r>
  <r>
    <s v="O00211"/>
    <x v="210"/>
    <x v="0"/>
    <s v="Staff"/>
    <x v="0"/>
    <x v="1"/>
    <n v="0.14000000000000001"/>
    <n v="844.82100000000003"/>
    <x v="0"/>
    <x v="0"/>
    <s v="high disc"/>
    <n v="471.15"/>
    <n v="373.67100000000005"/>
    <x v="11"/>
  </r>
  <r>
    <s v="O00212"/>
    <x v="211"/>
    <x v="0"/>
    <s v="Worker"/>
    <x v="2"/>
    <x v="1"/>
    <n v="0.1"/>
    <n v="317.75400000000002"/>
    <x v="1"/>
    <x v="1"/>
    <s v="ok"/>
    <n v="154.76"/>
    <n v="162.99400000000003"/>
    <x v="8"/>
  </r>
  <r>
    <s v="O00213"/>
    <x v="212"/>
    <x v="1"/>
    <s v="Visitor"/>
    <x v="1"/>
    <x v="1"/>
    <n v="0"/>
    <n v="442.17"/>
    <x v="0"/>
    <x v="0"/>
    <s v="ok"/>
    <n v="200.09"/>
    <n v="242.08"/>
    <x v="11"/>
  </r>
  <r>
    <s v="O00214"/>
    <x v="213"/>
    <x v="0"/>
    <s v="Staff"/>
    <x v="0"/>
    <x v="0"/>
    <n v="0.04"/>
    <n v="731.61599999999999"/>
    <x v="1"/>
    <x v="1"/>
    <s v="ok"/>
    <n v="327.17999999999995"/>
    <n v="404.43600000000004"/>
    <x v="10"/>
  </r>
  <r>
    <s v="O00215"/>
    <x v="214"/>
    <x v="2"/>
    <s v="Worker"/>
    <x v="1"/>
    <x v="2"/>
    <n v="0.11"/>
    <n v="329.12199999999996"/>
    <x v="1"/>
    <x v="1"/>
    <s v="high disc"/>
    <n v="187.99"/>
    <n v="141.13199999999995"/>
    <x v="8"/>
  </r>
  <r>
    <s v="O00216"/>
    <x v="215"/>
    <x v="2"/>
    <s v="Worker"/>
    <x v="1"/>
    <x v="0"/>
    <n v="0.03"/>
    <n v="166.29679999999999"/>
    <x v="1"/>
    <x v="0"/>
    <s v="ok"/>
    <n v="80.17"/>
    <n v="86.126799999999989"/>
    <x v="4"/>
  </r>
  <r>
    <s v="O00217"/>
    <x v="216"/>
    <x v="1"/>
    <s v="Staff"/>
    <x v="2"/>
    <x v="0"/>
    <n v="0.08"/>
    <n v="611.7908000000001"/>
    <x v="0"/>
    <x v="0"/>
    <s v="high disc"/>
    <n v="303.73"/>
    <n v="308.06080000000009"/>
    <x v="11"/>
  </r>
  <r>
    <s v="O00218"/>
    <x v="217"/>
    <x v="0"/>
    <s v="Visitor"/>
    <x v="0"/>
    <x v="1"/>
    <n v="0.09"/>
    <n v="25.871300000000002"/>
    <x v="1"/>
    <x v="0"/>
    <s v="ok"/>
    <n v="13.89"/>
    <n v="11.981300000000001"/>
    <x v="5"/>
  </r>
  <r>
    <s v="O00219"/>
    <x v="218"/>
    <x v="0"/>
    <s v="Worker"/>
    <x v="2"/>
    <x v="2"/>
    <n v="0.02"/>
    <n v="669.74180000000001"/>
    <x v="0"/>
    <x v="0"/>
    <s v="ok"/>
    <n v="302.64"/>
    <n v="367.10180000000003"/>
    <x v="13"/>
  </r>
  <r>
    <s v="O00220"/>
    <x v="219"/>
    <x v="2"/>
    <s v="Visitor"/>
    <x v="2"/>
    <x v="0"/>
    <n v="0.06"/>
    <n v="582.66840000000002"/>
    <x v="0"/>
    <x v="0"/>
    <s v="ok"/>
    <n v="276.76"/>
    <n v="305.90840000000003"/>
    <x v="13"/>
  </r>
  <r>
    <s v="O00221"/>
    <x v="220"/>
    <x v="1"/>
    <s v="Worker"/>
    <x v="2"/>
    <x v="0"/>
    <n v="0"/>
    <n v="57.07"/>
    <x v="0"/>
    <x v="0"/>
    <s v="ok"/>
    <n v="29.14"/>
    <n v="27.93"/>
    <x v="14"/>
  </r>
  <r>
    <s v="O00222"/>
    <x v="221"/>
    <x v="0"/>
    <s v="Visitor"/>
    <x v="2"/>
    <x v="1"/>
    <n v="0.02"/>
    <n v="297.38099999999997"/>
    <x v="1"/>
    <x v="0"/>
    <s v="ok"/>
    <n v="125.72"/>
    <n v="171.66099999999997"/>
    <x v="12"/>
  </r>
  <r>
    <s v="O00223"/>
    <x v="222"/>
    <x v="1"/>
    <s v="Worker"/>
    <x v="1"/>
    <x v="1"/>
    <n v="0.05"/>
    <n v="178.08699999999999"/>
    <x v="1"/>
    <x v="0"/>
    <s v="ok"/>
    <n v="81.06"/>
    <n v="97.026999999999987"/>
    <x v="1"/>
  </r>
  <r>
    <s v="O00224"/>
    <x v="223"/>
    <x v="0"/>
    <s v="Worker"/>
    <x v="0"/>
    <x v="0"/>
    <n v="0.01"/>
    <n v="155.77650000000003"/>
    <x v="0"/>
    <x v="0"/>
    <s v="ok"/>
    <n v="77.400000000000006"/>
    <n v="78.376500000000021"/>
    <x v="0"/>
  </r>
  <r>
    <s v="O00225"/>
    <x v="224"/>
    <x v="1"/>
    <s v="Worker"/>
    <x v="1"/>
    <x v="0"/>
    <n v="0.13"/>
    <n v="834.16470000000004"/>
    <x v="1"/>
    <x v="1"/>
    <s v="high disc"/>
    <n v="455.66999999999996"/>
    <n v="378.49470000000008"/>
    <x v="2"/>
  </r>
  <r>
    <s v="O00226"/>
    <x v="225"/>
    <x v="0"/>
    <s v="Worker"/>
    <x v="0"/>
    <x v="1"/>
    <n v="0"/>
    <n v="329.84000000000003"/>
    <x v="1"/>
    <x v="1"/>
    <s v="ok"/>
    <n v="171.56"/>
    <n v="158.28000000000003"/>
    <x v="10"/>
  </r>
  <r>
    <s v="O00227"/>
    <x v="226"/>
    <x v="1"/>
    <s v="Worker"/>
    <x v="0"/>
    <x v="1"/>
    <n v="0.04"/>
    <n v="380.0256"/>
    <x v="0"/>
    <x v="0"/>
    <s v="ok"/>
    <n v="170.08999999999997"/>
    <n v="209.93560000000002"/>
    <x v="13"/>
  </r>
  <r>
    <s v="O00228"/>
    <x v="227"/>
    <x v="2"/>
    <s v="Worker"/>
    <x v="0"/>
    <x v="0"/>
    <n v="7.0000000000000007E-2"/>
    <n v="100.812"/>
    <x v="0"/>
    <x v="0"/>
    <s v="ok"/>
    <n v="43.9"/>
    <n v="56.911999999999999"/>
    <x v="14"/>
  </r>
  <r>
    <s v="O00229"/>
    <x v="228"/>
    <x v="2"/>
    <s v="Visitor"/>
    <x v="1"/>
    <x v="0"/>
    <n v="0.12"/>
    <n v="455.21519999999998"/>
    <x v="0"/>
    <x v="0"/>
    <s v="high disc"/>
    <n v="233.29000000000002"/>
    <n v="221.92519999999996"/>
    <x v="7"/>
  </r>
  <r>
    <s v="O00230"/>
    <x v="229"/>
    <x v="1"/>
    <s v="Worker"/>
    <x v="0"/>
    <x v="1"/>
    <n v="0"/>
    <n v="199.26000000000002"/>
    <x v="1"/>
    <x v="1"/>
    <s v="ok"/>
    <n v="87.96"/>
    <n v="111.30000000000003"/>
    <x v="6"/>
  </r>
  <r>
    <s v="O00231"/>
    <x v="230"/>
    <x v="2"/>
    <s v="Staff"/>
    <x v="1"/>
    <x v="1"/>
    <n v="0.11"/>
    <n v="460.40589999999997"/>
    <x v="1"/>
    <x v="0"/>
    <s v="high disc"/>
    <n v="238.94"/>
    <n v="221.46589999999998"/>
    <x v="12"/>
  </r>
  <r>
    <s v="O00232"/>
    <x v="231"/>
    <x v="0"/>
    <s v="Worker"/>
    <x v="0"/>
    <x v="0"/>
    <n v="0.06"/>
    <n v="483.5172"/>
    <x v="1"/>
    <x v="1"/>
    <s v="ok"/>
    <n v="233.54"/>
    <n v="249.97720000000001"/>
    <x v="6"/>
  </r>
  <r>
    <s v="O00233"/>
    <x v="232"/>
    <x v="1"/>
    <s v="Staff"/>
    <x v="0"/>
    <x v="2"/>
    <n v="0.02"/>
    <n v="128.10560000000001"/>
    <x v="1"/>
    <x v="0"/>
    <s v="ok"/>
    <n v="59.4"/>
    <n v="68.705600000000004"/>
    <x v="4"/>
  </r>
  <r>
    <s v="O00234"/>
    <x v="233"/>
    <x v="0"/>
    <s v="Worker"/>
    <x v="0"/>
    <x v="0"/>
    <n v="0.08"/>
    <n v="36.754000000000005"/>
    <x v="0"/>
    <x v="0"/>
    <s v="ok"/>
    <n v="15.51"/>
    <n v="21.244000000000007"/>
    <x v="0"/>
  </r>
  <r>
    <s v="O00235"/>
    <x v="234"/>
    <x v="1"/>
    <s v="Staff"/>
    <x v="0"/>
    <x v="1"/>
    <n v="7.0000000000000007E-2"/>
    <n v="136.15199999999999"/>
    <x v="0"/>
    <x v="0"/>
    <s v="ok"/>
    <n v="80.92"/>
    <n v="55.231999999999985"/>
    <x v="3"/>
  </r>
  <r>
    <s v="O00236"/>
    <x v="235"/>
    <x v="1"/>
    <s v="Staff"/>
    <x v="2"/>
    <x v="0"/>
    <n v="0.04"/>
    <n v="190.22399999999999"/>
    <x v="0"/>
    <x v="0"/>
    <s v="ok"/>
    <n v="100.76"/>
    <n v="89.463999999999984"/>
    <x v="9"/>
  </r>
  <r>
    <s v="O00237"/>
    <x v="236"/>
    <x v="0"/>
    <s v="Staff"/>
    <x v="1"/>
    <x v="1"/>
    <n v="0.06"/>
    <n v="75.105999999999995"/>
    <x v="0"/>
    <x v="0"/>
    <s v="ok"/>
    <n v="31.02"/>
    <n v="44.085999999999999"/>
    <x v="0"/>
  </r>
  <r>
    <s v="O00238"/>
    <x v="237"/>
    <x v="0"/>
    <s v="Worker"/>
    <x v="1"/>
    <x v="2"/>
    <n v="0.04"/>
    <n v="358.31040000000002"/>
    <x v="1"/>
    <x v="0"/>
    <s v="ok"/>
    <n v="185.23999999999998"/>
    <n v="173.07040000000003"/>
    <x v="12"/>
  </r>
  <r>
    <s v="O00239"/>
    <x v="238"/>
    <x v="0"/>
    <s v="Visitor"/>
    <x v="0"/>
    <x v="1"/>
    <n v="0.06"/>
    <n v="403.89919999999995"/>
    <x v="1"/>
    <x v="1"/>
    <s v="ok"/>
    <n v="224.07"/>
    <n v="179.82919999999996"/>
    <x v="10"/>
  </r>
  <r>
    <s v="O00240"/>
    <x v="239"/>
    <x v="1"/>
    <s v="Visitor"/>
    <x v="0"/>
    <x v="1"/>
    <n v="0.09"/>
    <n v="1180.0425"/>
    <x v="0"/>
    <x v="0"/>
    <s v="high disc"/>
    <n v="612.74"/>
    <n v="567.30250000000001"/>
    <x v="7"/>
  </r>
  <r>
    <s v="O00241"/>
    <x v="240"/>
    <x v="0"/>
    <s v="Visitor"/>
    <x v="2"/>
    <x v="0"/>
    <n v="0.12"/>
    <n v="129.48319999999998"/>
    <x v="1"/>
    <x v="0"/>
    <s v="ok"/>
    <n v="63.15"/>
    <n v="66.333199999999977"/>
    <x v="1"/>
  </r>
  <r>
    <s v="O00242"/>
    <x v="241"/>
    <x v="0"/>
    <s v="Visitor"/>
    <x v="0"/>
    <x v="0"/>
    <n v="0.01"/>
    <n v="1112.7204000000002"/>
    <x v="0"/>
    <x v="0"/>
    <s v="ok"/>
    <n v="517.20999999999992"/>
    <n v="595.51040000000023"/>
    <x v="11"/>
  </r>
  <r>
    <s v="O00243"/>
    <x v="242"/>
    <x v="1"/>
    <s v="Worker"/>
    <x v="2"/>
    <x v="0"/>
    <n v="0.15"/>
    <n v="196.29899999999998"/>
    <x v="0"/>
    <x v="0"/>
    <s v="ok"/>
    <n v="107.25"/>
    <n v="89.048999999999978"/>
    <x v="14"/>
  </r>
  <r>
    <s v="O00244"/>
    <x v="243"/>
    <x v="1"/>
    <s v="Staff"/>
    <x v="0"/>
    <x v="0"/>
    <n v="0"/>
    <n v="420.02000000000004"/>
    <x v="1"/>
    <x v="1"/>
    <s v="ok"/>
    <n v="176.55"/>
    <n v="243.47000000000003"/>
    <x v="2"/>
  </r>
  <r>
    <s v="O00245"/>
    <x v="244"/>
    <x v="1"/>
    <s v="Staff"/>
    <x v="0"/>
    <x v="2"/>
    <n v="0.05"/>
    <n v="591.89749999999992"/>
    <x v="0"/>
    <x v="0"/>
    <s v="ok"/>
    <n v="306.47000000000003"/>
    <n v="285.4274999999999"/>
    <x v="11"/>
  </r>
  <r>
    <s v="O00246"/>
    <x v="245"/>
    <x v="2"/>
    <s v="Visitor"/>
    <x v="2"/>
    <x v="2"/>
    <n v="0.08"/>
    <n v="194.69040000000001"/>
    <x v="0"/>
    <x v="0"/>
    <s v="ok"/>
    <n v="107.43"/>
    <n v="87.260400000000004"/>
    <x v="0"/>
  </r>
  <r>
    <s v="O00247"/>
    <x v="246"/>
    <x v="2"/>
    <s v="Worker"/>
    <x v="2"/>
    <x v="0"/>
    <n v="7.0000000000000007E-2"/>
    <n v="775.47119999999995"/>
    <x v="0"/>
    <x v="0"/>
    <s v="high disc"/>
    <n v="372.29999999999995"/>
    <n v="403.1712"/>
    <x v="3"/>
  </r>
  <r>
    <s v="O00248"/>
    <x v="247"/>
    <x v="2"/>
    <s v="Visitor"/>
    <x v="1"/>
    <x v="0"/>
    <n v="0.04"/>
    <n v="274.59839999999997"/>
    <x v="0"/>
    <x v="0"/>
    <s v="ok"/>
    <n v="127.59"/>
    <n v="147.00839999999997"/>
    <x v="11"/>
  </r>
  <r>
    <s v="O00249"/>
    <x v="248"/>
    <x v="1"/>
    <s v="Visitor"/>
    <x v="1"/>
    <x v="1"/>
    <n v="0.05"/>
    <n v="612.57899999999995"/>
    <x v="0"/>
    <x v="0"/>
    <s v="ok"/>
    <n v="289.35999999999996"/>
    <n v="323.21899999999999"/>
    <x v="13"/>
  </r>
  <r>
    <s v="O00250"/>
    <x v="249"/>
    <x v="0"/>
    <s v="Staff"/>
    <x v="0"/>
    <x v="2"/>
    <n v="0.04"/>
    <n v="1076.9951999999998"/>
    <x v="1"/>
    <x v="1"/>
    <s v="high disc"/>
    <n v="498.88"/>
    <n v="578.11519999999985"/>
    <x v="10"/>
  </r>
  <r>
    <s v="O00251"/>
    <x v="250"/>
    <x v="0"/>
    <s v="Staff"/>
    <x v="2"/>
    <x v="0"/>
    <n v="0.04"/>
    <n v="1478.0544"/>
    <x v="0"/>
    <x v="0"/>
    <s v="high disc"/>
    <n v="715.59"/>
    <n v="762.46439999999996"/>
    <x v="11"/>
  </r>
  <r>
    <s v="O00252"/>
    <x v="251"/>
    <x v="0"/>
    <s v="Worker"/>
    <x v="1"/>
    <x v="0"/>
    <n v="0.09"/>
    <n v="924.43260000000009"/>
    <x v="0"/>
    <x v="0"/>
    <s v="high disc"/>
    <n v="449"/>
    <n v="475.43260000000009"/>
    <x v="11"/>
  </r>
  <r>
    <s v="O00253"/>
    <x v="252"/>
    <x v="2"/>
    <s v="Staff"/>
    <x v="0"/>
    <x v="0"/>
    <n v="7.0000000000000007E-2"/>
    <n v="260.45580000000001"/>
    <x v="0"/>
    <x v="0"/>
    <s v="ok"/>
    <n v="122.02"/>
    <n v="138.43580000000003"/>
    <x v="11"/>
  </r>
  <r>
    <s v="O00254"/>
    <x v="253"/>
    <x v="1"/>
    <s v="Visitor"/>
    <x v="1"/>
    <x v="0"/>
    <n v="0.03"/>
    <n v="474.53370000000001"/>
    <x v="1"/>
    <x v="1"/>
    <s v="ok"/>
    <n v="225.7"/>
    <n v="248.83370000000002"/>
    <x v="2"/>
  </r>
  <r>
    <s v="O00255"/>
    <x v="254"/>
    <x v="0"/>
    <s v="Visitor"/>
    <x v="0"/>
    <x v="1"/>
    <n v="0.1"/>
    <n v="507.97800000000007"/>
    <x v="0"/>
    <x v="0"/>
    <s v="high disc"/>
    <n v="248.48"/>
    <n v="259.49800000000005"/>
    <x v="11"/>
  </r>
  <r>
    <s v="O00256"/>
    <x v="255"/>
    <x v="0"/>
    <s v="Visitor"/>
    <x v="0"/>
    <x v="1"/>
    <n v="7.0000000000000007E-2"/>
    <n v="341.72849999999994"/>
    <x v="1"/>
    <x v="1"/>
    <s v="ok"/>
    <n v="197.02"/>
    <n v="144.70849999999993"/>
    <x v="2"/>
  </r>
  <r>
    <s v="O00257"/>
    <x v="256"/>
    <x v="2"/>
    <s v="Staff"/>
    <x v="0"/>
    <x v="0"/>
    <n v="0.09"/>
    <n v="158.21260000000001"/>
    <x v="1"/>
    <x v="0"/>
    <s v="ok"/>
    <n v="79.89"/>
    <n v="78.322600000000008"/>
    <x v="12"/>
  </r>
  <r>
    <s v="O00258"/>
    <x v="257"/>
    <x v="1"/>
    <s v="Worker"/>
    <x v="1"/>
    <x v="0"/>
    <n v="0.09"/>
    <n v="544.91710000000012"/>
    <x v="1"/>
    <x v="1"/>
    <s v="high disc"/>
    <n v="306.84000000000003"/>
    <n v="238.07710000000009"/>
    <x v="2"/>
  </r>
  <r>
    <s v="O00259"/>
    <x v="258"/>
    <x v="0"/>
    <s v="Staff"/>
    <x v="1"/>
    <x v="0"/>
    <n v="0.03"/>
    <n v="375.55489999999998"/>
    <x v="0"/>
    <x v="0"/>
    <s v="ok"/>
    <n v="183.7"/>
    <n v="191.85489999999999"/>
    <x v="11"/>
  </r>
  <r>
    <s v="O00260"/>
    <x v="259"/>
    <x v="2"/>
    <s v="Visitor"/>
    <x v="0"/>
    <x v="0"/>
    <n v="0.04"/>
    <n v="499.59360000000004"/>
    <x v="0"/>
    <x v="0"/>
    <s v="ok"/>
    <n v="258.06"/>
    <n v="241.53360000000004"/>
    <x v="3"/>
  </r>
  <r>
    <s v="O00261"/>
    <x v="260"/>
    <x v="1"/>
    <s v="Staff"/>
    <x v="2"/>
    <x v="1"/>
    <n v="0.09"/>
    <n v="232.69610000000003"/>
    <x v="1"/>
    <x v="1"/>
    <s v="ok"/>
    <n v="134.5"/>
    <n v="98.19610000000003"/>
    <x v="2"/>
  </r>
  <r>
    <s v="O00262"/>
    <x v="261"/>
    <x v="1"/>
    <s v="Visitor"/>
    <x v="2"/>
    <x v="0"/>
    <n v="0.08"/>
    <n v="663.43040000000008"/>
    <x v="0"/>
    <x v="0"/>
    <s v="high disc"/>
    <n v="340.89"/>
    <n v="322.54040000000009"/>
    <x v="13"/>
  </r>
  <r>
    <s v="O00263"/>
    <x v="262"/>
    <x v="2"/>
    <s v="Worker"/>
    <x v="0"/>
    <x v="0"/>
    <n v="0.06"/>
    <n v="385.40940000000001"/>
    <x v="0"/>
    <x v="0"/>
    <s v="ok"/>
    <n v="197.7"/>
    <n v="187.70940000000002"/>
    <x v="13"/>
  </r>
  <r>
    <s v="O00264"/>
    <x v="263"/>
    <x v="1"/>
    <s v="Staff"/>
    <x v="0"/>
    <x v="0"/>
    <n v="0.06"/>
    <n v="500.01419999999996"/>
    <x v="1"/>
    <x v="0"/>
    <s v="ok"/>
    <n v="237.26"/>
    <n v="262.75419999999997"/>
    <x v="1"/>
  </r>
  <r>
    <s v="O00265"/>
    <x v="264"/>
    <x v="0"/>
    <s v="Staff"/>
    <x v="2"/>
    <x v="0"/>
    <n v="0.11"/>
    <n v="527.84120000000007"/>
    <x v="1"/>
    <x v="1"/>
    <s v="high disc"/>
    <n v="268.52"/>
    <n v="259.32120000000009"/>
    <x v="6"/>
  </r>
  <r>
    <s v="O00266"/>
    <x v="265"/>
    <x v="0"/>
    <s v="Worker"/>
    <x v="2"/>
    <x v="0"/>
    <n v="0.04"/>
    <n v="442.76160000000004"/>
    <x v="0"/>
    <x v="0"/>
    <s v="ok"/>
    <n v="194.16"/>
    <n v="248.60160000000005"/>
    <x v="13"/>
  </r>
  <r>
    <s v="O00267"/>
    <x v="266"/>
    <x v="1"/>
    <s v="Visitor"/>
    <x v="0"/>
    <x v="0"/>
    <n v="0.08"/>
    <n v="532.77200000000005"/>
    <x v="1"/>
    <x v="1"/>
    <s v="high disc"/>
    <n v="257.97000000000003"/>
    <n v="274.80200000000002"/>
    <x v="6"/>
  </r>
  <r>
    <s v="O00268"/>
    <x v="267"/>
    <x v="0"/>
    <s v="Staff"/>
    <x v="1"/>
    <x v="0"/>
    <n v="0.05"/>
    <n v="942.52350000000001"/>
    <x v="0"/>
    <x v="0"/>
    <s v="high disc"/>
    <n v="473.75"/>
    <n v="468.77350000000001"/>
    <x v="7"/>
  </r>
  <r>
    <s v="O00269"/>
    <x v="268"/>
    <x v="0"/>
    <s v="Worker"/>
    <x v="1"/>
    <x v="2"/>
    <n v="0.05"/>
    <n v="1109.4575"/>
    <x v="1"/>
    <x v="1"/>
    <s v="high disc"/>
    <n v="545.44999999999993"/>
    <n v="564.00750000000005"/>
    <x v="2"/>
  </r>
  <r>
    <s v="O00270"/>
    <x v="269"/>
    <x v="2"/>
    <s v="Worker"/>
    <x v="2"/>
    <x v="2"/>
    <n v="0.1"/>
    <n v="1485.0719999999999"/>
    <x v="0"/>
    <x v="0"/>
    <s v="high disc"/>
    <n v="771.58"/>
    <n v="713.49199999999985"/>
    <x v="11"/>
  </r>
  <r>
    <s v="O00271"/>
    <x v="270"/>
    <x v="2"/>
    <s v="Worker"/>
    <x v="2"/>
    <x v="0"/>
    <n v="0.09"/>
    <n v="139.18450000000001"/>
    <x v="1"/>
    <x v="0"/>
    <s v="ok"/>
    <n v="69.56"/>
    <n v="69.624500000000012"/>
    <x v="1"/>
  </r>
  <r>
    <s v="O00272"/>
    <x v="271"/>
    <x v="2"/>
    <s v="Staff"/>
    <x v="0"/>
    <x v="0"/>
    <n v="0.09"/>
    <n v="228.46460000000002"/>
    <x v="1"/>
    <x v="1"/>
    <s v="ok"/>
    <n v="128.61000000000001"/>
    <n v="99.854600000000005"/>
    <x v="2"/>
  </r>
  <r>
    <s v="O00273"/>
    <x v="272"/>
    <x v="0"/>
    <s v="Visitor"/>
    <x v="2"/>
    <x v="1"/>
    <n v="0.11"/>
    <n v="311.85599999999999"/>
    <x v="0"/>
    <x v="0"/>
    <s v="ok"/>
    <n v="146.91"/>
    <n v="164.946"/>
    <x v="14"/>
  </r>
  <r>
    <s v="O00274"/>
    <x v="273"/>
    <x v="0"/>
    <s v="Worker"/>
    <x v="2"/>
    <x v="1"/>
    <n v="0.06"/>
    <n v="633.99240000000009"/>
    <x v="1"/>
    <x v="1"/>
    <s v="high disc"/>
    <n v="316.63"/>
    <n v="317.36240000000009"/>
    <x v="2"/>
  </r>
  <r>
    <s v="O00275"/>
    <x v="274"/>
    <x v="2"/>
    <s v="Staff"/>
    <x v="0"/>
    <x v="1"/>
    <n v="0.09"/>
    <n v="822.01210000000003"/>
    <x v="1"/>
    <x v="1"/>
    <s v="high disc"/>
    <n v="391.23999999999995"/>
    <n v="430.77210000000008"/>
    <x v="8"/>
  </r>
  <r>
    <s v="O00276"/>
    <x v="275"/>
    <x v="1"/>
    <s v="Visitor"/>
    <x v="0"/>
    <x v="1"/>
    <n v="0.05"/>
    <n v="407.24599999999992"/>
    <x v="1"/>
    <x v="0"/>
    <s v="ok"/>
    <n v="182.45999999999998"/>
    <n v="224.78599999999994"/>
    <x v="12"/>
  </r>
  <r>
    <s v="O00277"/>
    <x v="276"/>
    <x v="2"/>
    <s v="Staff"/>
    <x v="1"/>
    <x v="0"/>
    <n v="7.0000000000000007E-2"/>
    <n v="72.549300000000002"/>
    <x v="0"/>
    <x v="0"/>
    <s v="ok"/>
    <n v="35.06"/>
    <n v="37.4893"/>
    <x v="0"/>
  </r>
  <r>
    <s v="O00278"/>
    <x v="277"/>
    <x v="0"/>
    <s v="Staff"/>
    <x v="0"/>
    <x v="1"/>
    <n v="0.05"/>
    <n v="413.03149999999999"/>
    <x v="1"/>
    <x v="1"/>
    <s v="ok"/>
    <n v="186.19"/>
    <n v="226.8415"/>
    <x v="10"/>
  </r>
  <r>
    <s v="O00279"/>
    <x v="278"/>
    <x v="1"/>
    <s v="Worker"/>
    <x v="1"/>
    <x v="1"/>
    <n v="0.06"/>
    <n v="28.519599999999997"/>
    <x v="1"/>
    <x v="0"/>
    <s v="ok"/>
    <n v="14.18"/>
    <n v="14.339599999999997"/>
    <x v="5"/>
  </r>
  <r>
    <s v="O00280"/>
    <x v="279"/>
    <x v="1"/>
    <s v="Visitor"/>
    <x v="1"/>
    <x v="0"/>
    <n v="0.08"/>
    <n v="267.05760000000004"/>
    <x v="1"/>
    <x v="1"/>
    <s v="ok"/>
    <n v="130.5"/>
    <n v="136.55760000000004"/>
    <x v="6"/>
  </r>
  <r>
    <s v="O00281"/>
    <x v="280"/>
    <x v="0"/>
    <s v="Staff"/>
    <x v="1"/>
    <x v="0"/>
    <n v="0.03"/>
    <n v="29.4298"/>
    <x v="1"/>
    <x v="0"/>
    <s v="ok"/>
    <n v="14.18"/>
    <n v="15.2498"/>
    <x v="5"/>
  </r>
  <r>
    <s v="O00282"/>
    <x v="281"/>
    <x v="2"/>
    <s v="Visitor"/>
    <x v="0"/>
    <x v="2"/>
    <n v="0.14000000000000001"/>
    <n v="276.7996"/>
    <x v="1"/>
    <x v="0"/>
    <s v="high disc"/>
    <n v="152.63000000000002"/>
    <n v="124.16959999999997"/>
    <x v="4"/>
  </r>
  <r>
    <s v="O00283"/>
    <x v="282"/>
    <x v="0"/>
    <s v="Worker"/>
    <x v="2"/>
    <x v="1"/>
    <n v="0.02"/>
    <n v="1112.0354"/>
    <x v="1"/>
    <x v="1"/>
    <s v="ok"/>
    <n v="481.99999999999994"/>
    <n v="630.03539999999998"/>
    <x v="2"/>
  </r>
  <r>
    <s v="O00284"/>
    <x v="283"/>
    <x v="2"/>
    <s v="Worker"/>
    <x v="1"/>
    <x v="2"/>
    <n v="0.01"/>
    <n v="328.69979999999998"/>
    <x v="0"/>
    <x v="0"/>
    <s v="ok"/>
    <n v="157.66"/>
    <n v="171.03979999999999"/>
    <x v="9"/>
  </r>
  <r>
    <s v="O00285"/>
    <x v="284"/>
    <x v="2"/>
    <s v="Visitor"/>
    <x v="1"/>
    <x v="0"/>
    <n v="0.11"/>
    <n v="380.96449999999999"/>
    <x v="0"/>
    <x v="0"/>
    <s v="high disc"/>
    <n v="189.64999999999998"/>
    <n v="191.31450000000001"/>
    <x v="7"/>
  </r>
  <r>
    <s v="O00286"/>
    <x v="285"/>
    <x v="0"/>
    <s v="Staff"/>
    <x v="2"/>
    <x v="0"/>
    <n v="0.09"/>
    <n v="294.77629999999999"/>
    <x v="0"/>
    <x v="0"/>
    <s v="ok"/>
    <n v="150.52999999999997"/>
    <n v="144.24630000000002"/>
    <x v="13"/>
  </r>
  <r>
    <s v="O00287"/>
    <x v="286"/>
    <x v="0"/>
    <s v="Visitor"/>
    <x v="0"/>
    <x v="0"/>
    <n v="0.08"/>
    <n v="371.04520000000002"/>
    <x v="0"/>
    <x v="0"/>
    <s v="ok"/>
    <n v="202.16"/>
    <n v="168.88520000000003"/>
    <x v="3"/>
  </r>
  <r>
    <s v="O00288"/>
    <x v="287"/>
    <x v="2"/>
    <s v="Staff"/>
    <x v="1"/>
    <x v="1"/>
    <n v="0.09"/>
    <n v="291.31830000000002"/>
    <x v="1"/>
    <x v="1"/>
    <s v="ok"/>
    <n v="144.42999999999998"/>
    <n v="146.88830000000004"/>
    <x v="2"/>
  </r>
  <r>
    <s v="O00289"/>
    <x v="288"/>
    <x v="0"/>
    <s v="Staff"/>
    <x v="2"/>
    <x v="0"/>
    <n v="0.06"/>
    <n v="289.78319999999997"/>
    <x v="1"/>
    <x v="0"/>
    <s v="ok"/>
    <n v="153.66"/>
    <n v="136.12319999999997"/>
    <x v="12"/>
  </r>
  <r>
    <s v="O00290"/>
    <x v="289"/>
    <x v="0"/>
    <s v="Worker"/>
    <x v="2"/>
    <x v="0"/>
    <n v="0.02"/>
    <n v="52.028199999999998"/>
    <x v="1"/>
    <x v="0"/>
    <s v="ok"/>
    <n v="19.84"/>
    <n v="32.188199999999995"/>
    <x v="5"/>
  </r>
  <r>
    <s v="O00291"/>
    <x v="290"/>
    <x v="2"/>
    <s v="Worker"/>
    <x v="2"/>
    <x v="0"/>
    <n v="0.06"/>
    <n v="482.99080000000004"/>
    <x v="0"/>
    <x v="0"/>
    <s v="ok"/>
    <n v="242.48"/>
    <n v="240.51080000000005"/>
    <x v="3"/>
  </r>
  <r>
    <s v="O00292"/>
    <x v="291"/>
    <x v="0"/>
    <s v="Worker"/>
    <x v="0"/>
    <x v="1"/>
    <n v="0.03"/>
    <n v="78.366299999999995"/>
    <x v="1"/>
    <x v="0"/>
    <s v="ok"/>
    <n v="36.36"/>
    <n v="42.006299999999996"/>
    <x v="5"/>
  </r>
  <r>
    <s v="O00293"/>
    <x v="292"/>
    <x v="1"/>
    <s v="Visitor"/>
    <x v="0"/>
    <x v="2"/>
    <n v="0.1"/>
    <n v="464.31000000000006"/>
    <x v="1"/>
    <x v="1"/>
    <s v="high disc"/>
    <n v="220.8"/>
    <n v="243.51000000000005"/>
    <x v="6"/>
  </r>
  <r>
    <s v="O00294"/>
    <x v="293"/>
    <x v="0"/>
    <s v="Visitor"/>
    <x v="1"/>
    <x v="1"/>
    <n v="0.05"/>
    <n v="54.016999999999996"/>
    <x v="1"/>
    <x v="0"/>
    <s v="ok"/>
    <n v="27.78"/>
    <n v="26.236999999999995"/>
    <x v="5"/>
  </r>
  <r>
    <s v="O00295"/>
    <x v="294"/>
    <x v="1"/>
    <s v="Visitor"/>
    <x v="1"/>
    <x v="1"/>
    <n v="0.03"/>
    <n v="76.891899999999993"/>
    <x v="1"/>
    <x v="0"/>
    <s v="ok"/>
    <n v="38.520000000000003"/>
    <n v="38.371899999999989"/>
    <x v="1"/>
  </r>
  <r>
    <s v="O00296"/>
    <x v="295"/>
    <x v="2"/>
    <s v="Staff"/>
    <x v="0"/>
    <x v="1"/>
    <n v="0.05"/>
    <n v="161.53800000000001"/>
    <x v="0"/>
    <x v="0"/>
    <s v="ok"/>
    <n v="69.14"/>
    <n v="92.39800000000001"/>
    <x v="0"/>
  </r>
  <r>
    <s v="O00297"/>
    <x v="296"/>
    <x v="0"/>
    <s v="Worker"/>
    <x v="1"/>
    <x v="0"/>
    <n v="0.08"/>
    <n v="194.69040000000001"/>
    <x v="0"/>
    <x v="0"/>
    <s v="ok"/>
    <n v="107.43"/>
    <n v="87.260400000000004"/>
    <x v="0"/>
  </r>
  <r>
    <s v="O00298"/>
    <x v="297"/>
    <x v="1"/>
    <s v="Visitor"/>
    <x v="0"/>
    <x v="1"/>
    <n v="0.04"/>
    <n v="246.6336"/>
    <x v="0"/>
    <x v="0"/>
    <s v="ok"/>
    <n v="121.24"/>
    <n v="125.39360000000001"/>
    <x v="3"/>
  </r>
  <r>
    <s v="O00299"/>
    <x v="298"/>
    <x v="1"/>
    <s v="Staff"/>
    <x v="2"/>
    <x v="2"/>
    <n v="0.03"/>
    <n v="453.73690000000005"/>
    <x v="1"/>
    <x v="1"/>
    <s v="ok"/>
    <n v="238.36"/>
    <n v="215.37690000000003"/>
    <x v="8"/>
  </r>
  <r>
    <s v="O00300"/>
    <x v="299"/>
    <x v="0"/>
    <s v="Visitor"/>
    <x v="1"/>
    <x v="0"/>
    <n v="7.0000000000000007E-2"/>
    <n v="376.82670000000002"/>
    <x v="0"/>
    <x v="0"/>
    <s v="ok"/>
    <n v="185.63"/>
    <n v="191.19670000000002"/>
    <x v="7"/>
  </r>
  <r>
    <s v="O00301"/>
    <x v="300"/>
    <x v="1"/>
    <s v="Worker"/>
    <x v="0"/>
    <x v="2"/>
    <n v="7.0000000000000007E-2"/>
    <n v="349.06619999999998"/>
    <x v="0"/>
    <x v="0"/>
    <s v="ok"/>
    <n v="164.47"/>
    <n v="184.59619999999998"/>
    <x v="9"/>
  </r>
  <r>
    <s v="O00302"/>
    <x v="301"/>
    <x v="1"/>
    <s v="Visitor"/>
    <x v="0"/>
    <x v="1"/>
    <n v="0.04"/>
    <n v="63.935999999999993"/>
    <x v="1"/>
    <x v="0"/>
    <s v="ok"/>
    <n v="28.14"/>
    <n v="35.795999999999992"/>
    <x v="5"/>
  </r>
  <r>
    <s v="O00303"/>
    <x v="302"/>
    <x v="2"/>
    <s v="Visitor"/>
    <x v="0"/>
    <x v="2"/>
    <n v="0.04"/>
    <n v="149.7792"/>
    <x v="0"/>
    <x v="0"/>
    <s v="ok"/>
    <n v="70.12"/>
    <n v="79.659199999999998"/>
    <x v="0"/>
  </r>
  <r>
    <s v="O00304"/>
    <x v="303"/>
    <x v="1"/>
    <s v="Visitor"/>
    <x v="0"/>
    <x v="0"/>
    <n v="7.0000000000000007E-2"/>
    <n v="30.671399999999995"/>
    <x v="1"/>
    <x v="0"/>
    <s v="ok"/>
    <n v="11.84"/>
    <n v="18.831399999999995"/>
    <x v="5"/>
  </r>
  <r>
    <s v="O00305"/>
    <x v="304"/>
    <x v="0"/>
    <s v="Visitor"/>
    <x v="1"/>
    <x v="1"/>
    <n v="0"/>
    <n v="572.08000000000004"/>
    <x v="0"/>
    <x v="0"/>
    <s v="ok"/>
    <n v="255.18"/>
    <n v="316.90000000000003"/>
    <x v="11"/>
  </r>
  <r>
    <s v="O00306"/>
    <x v="305"/>
    <x v="1"/>
    <s v="Visitor"/>
    <x v="2"/>
    <x v="2"/>
    <n v="0"/>
    <n v="680.33"/>
    <x v="1"/>
    <x v="1"/>
    <s v="ok"/>
    <n v="347.44"/>
    <n v="332.89000000000004"/>
    <x v="2"/>
  </r>
  <r>
    <s v="O00307"/>
    <x v="306"/>
    <x v="2"/>
    <s v="Visitor"/>
    <x v="0"/>
    <x v="0"/>
    <n v="0.03"/>
    <n v="414.88839999999999"/>
    <x v="1"/>
    <x v="1"/>
    <s v="ok"/>
    <n v="197.43"/>
    <n v="217.45839999999998"/>
    <x v="10"/>
  </r>
  <r>
    <s v="O00308"/>
    <x v="307"/>
    <x v="1"/>
    <s v="Worker"/>
    <x v="2"/>
    <x v="2"/>
    <n v="0.05"/>
    <n v="977.06549999999993"/>
    <x v="0"/>
    <x v="0"/>
    <s v="high disc"/>
    <n v="460.21999999999997"/>
    <n v="516.8454999999999"/>
    <x v="13"/>
  </r>
  <r>
    <s v="O00309"/>
    <x v="308"/>
    <x v="2"/>
    <s v="Staff"/>
    <x v="2"/>
    <x v="1"/>
    <n v="7.0000000000000007E-2"/>
    <n v="101.46299999999999"/>
    <x v="1"/>
    <x v="0"/>
    <s v="ok"/>
    <n v="50.94"/>
    <n v="50.522999999999996"/>
    <x v="4"/>
  </r>
  <r>
    <s v="O00310"/>
    <x v="309"/>
    <x v="2"/>
    <s v="Worker"/>
    <x v="1"/>
    <x v="0"/>
    <n v="0.12"/>
    <n v="162.30719999999999"/>
    <x v="1"/>
    <x v="0"/>
    <s v="ok"/>
    <n v="88.89"/>
    <n v="73.417199999999994"/>
    <x v="12"/>
  </r>
  <r>
    <s v="O00311"/>
    <x v="310"/>
    <x v="0"/>
    <s v="Visitor"/>
    <x v="0"/>
    <x v="0"/>
    <n v="0.09"/>
    <n v="314.87819999999999"/>
    <x v="0"/>
    <x v="0"/>
    <s v="ok"/>
    <n v="164.53"/>
    <n v="150.34819999999999"/>
    <x v="9"/>
  </r>
  <r>
    <s v="O00312"/>
    <x v="311"/>
    <x v="0"/>
    <s v="Staff"/>
    <x v="0"/>
    <x v="1"/>
    <n v="0.05"/>
    <n v="260.96500000000003"/>
    <x v="0"/>
    <x v="0"/>
    <s v="ok"/>
    <n v="138.99"/>
    <n v="121.97500000000002"/>
    <x v="9"/>
  </r>
  <r>
    <s v="O00313"/>
    <x v="312"/>
    <x v="1"/>
    <s v="Worker"/>
    <x v="1"/>
    <x v="0"/>
    <n v="0.06"/>
    <n v="50.948"/>
    <x v="0"/>
    <x v="0"/>
    <s v="ok"/>
    <n v="21.95"/>
    <n v="28.998000000000001"/>
    <x v="14"/>
  </r>
  <r>
    <s v="O00314"/>
    <x v="313"/>
    <x v="0"/>
    <s v="Staff"/>
    <x v="1"/>
    <x v="0"/>
    <n v="0.02"/>
    <n v="32.320399999999999"/>
    <x v="1"/>
    <x v="0"/>
    <s v="ok"/>
    <n v="11.84"/>
    <n v="20.480399999999999"/>
    <x v="5"/>
  </r>
  <r>
    <s v="O00315"/>
    <x v="314"/>
    <x v="0"/>
    <s v="Visitor"/>
    <x v="1"/>
    <x v="2"/>
    <n v="0.06"/>
    <n v="325.66299999999995"/>
    <x v="0"/>
    <x v="0"/>
    <s v="ok"/>
    <n v="163.66"/>
    <n v="162.00299999999996"/>
    <x v="14"/>
  </r>
  <r>
    <s v="O00316"/>
    <x v="315"/>
    <x v="1"/>
    <s v="Visitor"/>
    <x v="2"/>
    <x v="2"/>
    <n v="0.05"/>
    <n v="63.269999999999989"/>
    <x v="1"/>
    <x v="0"/>
    <s v="ok"/>
    <n v="28.14"/>
    <n v="35.129999999999988"/>
    <x v="5"/>
  </r>
  <r>
    <s v="O00317"/>
    <x v="316"/>
    <x v="2"/>
    <s v="Staff"/>
    <x v="2"/>
    <x v="0"/>
    <n v="7.0000000000000007E-2"/>
    <n v="233.709"/>
    <x v="0"/>
    <x v="0"/>
    <s v="ok"/>
    <n v="132.52000000000001"/>
    <n v="101.18899999999999"/>
    <x v="11"/>
  </r>
  <r>
    <s v="O00318"/>
    <x v="317"/>
    <x v="0"/>
    <s v="Visitor"/>
    <x v="2"/>
    <x v="1"/>
    <n v="0.03"/>
    <n v="386.19579999999996"/>
    <x v="1"/>
    <x v="1"/>
    <s v="ok"/>
    <n v="179.1"/>
    <n v="207.09579999999997"/>
    <x v="10"/>
  </r>
  <r>
    <s v="O00319"/>
    <x v="318"/>
    <x v="1"/>
    <s v="Visitor"/>
    <x v="0"/>
    <x v="2"/>
    <n v="0.08"/>
    <n v="89.506799999999998"/>
    <x v="1"/>
    <x v="0"/>
    <s v="ok"/>
    <n v="45.14"/>
    <n v="44.366799999999998"/>
    <x v="1"/>
  </r>
  <r>
    <s v="O00320"/>
    <x v="319"/>
    <x v="2"/>
    <s v="Visitor"/>
    <x v="1"/>
    <x v="1"/>
    <n v="0.12"/>
    <n v="300.66080000000005"/>
    <x v="0"/>
    <x v="0"/>
    <s v="high disc"/>
    <n v="148.13999999999999"/>
    <n v="152.52080000000007"/>
    <x v="3"/>
  </r>
  <r>
    <s v="O00321"/>
    <x v="320"/>
    <x v="0"/>
    <s v="Staff"/>
    <x v="2"/>
    <x v="0"/>
    <n v="0.06"/>
    <n v="592.32219999999995"/>
    <x v="1"/>
    <x v="1"/>
    <s v="ok"/>
    <n v="293.32"/>
    <n v="299.00219999999996"/>
    <x v="8"/>
  </r>
  <r>
    <s v="O00322"/>
    <x v="321"/>
    <x v="0"/>
    <s v="Visitor"/>
    <x v="1"/>
    <x v="0"/>
    <n v="0.08"/>
    <n v="668.0856"/>
    <x v="1"/>
    <x v="1"/>
    <s v="high disc"/>
    <n v="319.41999999999996"/>
    <n v="348.66560000000004"/>
    <x v="10"/>
  </r>
  <r>
    <s v="O00323"/>
    <x v="322"/>
    <x v="2"/>
    <s v="Staff"/>
    <x v="2"/>
    <x v="0"/>
    <n v="0.09"/>
    <n v="158.03059999999999"/>
    <x v="1"/>
    <x v="0"/>
    <s v="ok"/>
    <n v="76.75"/>
    <n v="81.280599999999993"/>
    <x v="1"/>
  </r>
  <r>
    <s v="O00324"/>
    <x v="323"/>
    <x v="1"/>
    <s v="Worker"/>
    <x v="1"/>
    <x v="2"/>
    <n v="0.04"/>
    <n v="498.4896"/>
    <x v="0"/>
    <x v="0"/>
    <s v="ok"/>
    <n v="235.67000000000002"/>
    <n v="262.81959999999998"/>
    <x v="11"/>
  </r>
  <r>
    <s v="O00325"/>
    <x v="324"/>
    <x v="2"/>
    <s v="Staff"/>
    <x v="1"/>
    <x v="0"/>
    <n v="7.0000000000000007E-2"/>
    <n v="46.676699999999997"/>
    <x v="0"/>
    <x v="0"/>
    <s v="ok"/>
    <n v="22.61"/>
    <n v="24.066699999999997"/>
    <x v="0"/>
  </r>
  <r>
    <s v="O00326"/>
    <x v="325"/>
    <x v="1"/>
    <s v="Worker"/>
    <x v="2"/>
    <x v="1"/>
    <n v="0.06"/>
    <n v="18.903399999999998"/>
    <x v="1"/>
    <x v="0"/>
    <s v="ok"/>
    <n v="8"/>
    <n v="10.903399999999998"/>
    <x v="5"/>
  </r>
  <r>
    <s v="O00327"/>
    <x v="326"/>
    <x v="2"/>
    <s v="Worker"/>
    <x v="2"/>
    <x v="2"/>
    <n v="0.06"/>
    <n v="109.67920000000001"/>
    <x v="1"/>
    <x v="0"/>
    <s v="ok"/>
    <n v="56.05"/>
    <n v="53.629200000000012"/>
    <x v="4"/>
  </r>
  <r>
    <s v="O00328"/>
    <x v="327"/>
    <x v="2"/>
    <s v="Worker"/>
    <x v="1"/>
    <x v="1"/>
    <n v="0.03"/>
    <n v="284.01600000000002"/>
    <x v="0"/>
    <x v="0"/>
    <s v="ok"/>
    <n v="161.84"/>
    <n v="122.17600000000002"/>
    <x v="3"/>
  </r>
  <r>
    <s v="O00329"/>
    <x v="328"/>
    <x v="0"/>
    <s v="Worker"/>
    <x v="0"/>
    <x v="0"/>
    <n v="0.06"/>
    <n v="513.09899999999993"/>
    <x v="0"/>
    <x v="0"/>
    <s v="ok"/>
    <n v="290.51"/>
    <n v="222.58899999999994"/>
    <x v="7"/>
  </r>
  <r>
    <s v="O00330"/>
    <x v="329"/>
    <x v="0"/>
    <s v="Worker"/>
    <x v="1"/>
    <x v="1"/>
    <n v="0.08"/>
    <n v="666.88040000000012"/>
    <x v="1"/>
    <x v="1"/>
    <s v="high disc"/>
    <n v="332.54999999999995"/>
    <n v="334.33040000000017"/>
    <x v="6"/>
  </r>
  <r>
    <s v="O00331"/>
    <x v="330"/>
    <x v="2"/>
    <s v="Worker"/>
    <x v="0"/>
    <x v="0"/>
    <n v="0.12"/>
    <n v="404.07840000000004"/>
    <x v="0"/>
    <x v="0"/>
    <s v="high disc"/>
    <n v="211.34000000000003"/>
    <n v="192.73840000000001"/>
    <x v="7"/>
  </r>
  <r>
    <s v="O00332"/>
    <x v="331"/>
    <x v="2"/>
    <s v="Staff"/>
    <x v="1"/>
    <x v="0"/>
    <n v="0.1"/>
    <n v="197.39699999999999"/>
    <x v="1"/>
    <x v="0"/>
    <s v="ok"/>
    <n v="99.13000000000001"/>
    <n v="98.266999999999982"/>
    <x v="12"/>
  </r>
  <r>
    <s v="O00333"/>
    <x v="332"/>
    <x v="2"/>
    <s v="Worker"/>
    <x v="2"/>
    <x v="0"/>
    <n v="0.15"/>
    <n v="147.2285"/>
    <x v="1"/>
    <x v="0"/>
    <s v="ok"/>
    <n v="84.46"/>
    <n v="62.768500000000003"/>
    <x v="1"/>
  </r>
  <r>
    <s v="O00334"/>
    <x v="333"/>
    <x v="2"/>
    <s v="Staff"/>
    <x v="0"/>
    <x v="0"/>
    <n v="0.03"/>
    <n v="655.48719999999992"/>
    <x v="1"/>
    <x v="1"/>
    <s v="ok"/>
    <n v="283.29000000000002"/>
    <n v="372.1971999999999"/>
    <x v="8"/>
  </r>
  <r>
    <s v="O00335"/>
    <x v="334"/>
    <x v="0"/>
    <s v="Visitor"/>
    <x v="0"/>
    <x v="1"/>
    <n v="0.09"/>
    <n v="656.71060000000011"/>
    <x v="0"/>
    <x v="0"/>
    <s v="high disc"/>
    <n v="327"/>
    <n v="329.71060000000011"/>
    <x v="13"/>
  </r>
  <r>
    <s v="O00336"/>
    <x v="335"/>
    <x v="1"/>
    <s v="Staff"/>
    <x v="1"/>
    <x v="0"/>
    <n v="7.0000000000000007E-2"/>
    <n v="199.50360000000001"/>
    <x v="0"/>
    <x v="0"/>
    <s v="ok"/>
    <n v="103.5"/>
    <n v="96.003600000000006"/>
    <x v="9"/>
  </r>
  <r>
    <s v="O00337"/>
    <x v="336"/>
    <x v="0"/>
    <s v="Staff"/>
    <x v="1"/>
    <x v="2"/>
    <n v="0.15"/>
    <n v="124.44"/>
    <x v="0"/>
    <x v="0"/>
    <s v="ok"/>
    <n v="80.92"/>
    <n v="43.519999999999996"/>
    <x v="3"/>
  </r>
  <r>
    <s v="O00338"/>
    <x v="337"/>
    <x v="1"/>
    <s v="Worker"/>
    <x v="0"/>
    <x v="0"/>
    <n v="0.03"/>
    <n v="152.9787"/>
    <x v="1"/>
    <x v="0"/>
    <s v="ok"/>
    <n v="63.589999999999996"/>
    <n v="89.3887"/>
    <x v="5"/>
  </r>
  <r>
    <s v="O00339"/>
    <x v="338"/>
    <x v="0"/>
    <s v="Visitor"/>
    <x v="1"/>
    <x v="2"/>
    <n v="0.03"/>
    <n v="392.66570000000002"/>
    <x v="0"/>
    <x v="0"/>
    <s v="ok"/>
    <n v="185.36"/>
    <n v="207.3057"/>
    <x v="14"/>
  </r>
  <r>
    <s v="O00340"/>
    <x v="339"/>
    <x v="2"/>
    <s v="Visitor"/>
    <x v="2"/>
    <x v="1"/>
    <n v="0.04"/>
    <n v="263.87520000000001"/>
    <x v="1"/>
    <x v="0"/>
    <s v="ok"/>
    <n v="125.37"/>
    <n v="138.5052"/>
    <x v="12"/>
  </r>
  <r>
    <s v="O00341"/>
    <x v="340"/>
    <x v="0"/>
    <s v="Worker"/>
    <x v="2"/>
    <x v="1"/>
    <n v="0"/>
    <n v="416"/>
    <x v="0"/>
    <x v="0"/>
    <s v="ok"/>
    <n v="211.12"/>
    <n v="204.88"/>
    <x v="7"/>
  </r>
  <r>
    <s v="O00342"/>
    <x v="341"/>
    <x v="2"/>
    <s v="Visitor"/>
    <x v="0"/>
    <x v="1"/>
    <n v="0.04"/>
    <n v="104.9376"/>
    <x v="1"/>
    <x v="0"/>
    <s v="ok"/>
    <n v="53.58"/>
    <n v="51.357600000000005"/>
    <x v="4"/>
  </r>
  <r>
    <s v="O00343"/>
    <x v="342"/>
    <x v="0"/>
    <s v="Staff"/>
    <x v="1"/>
    <x v="1"/>
    <n v="0.03"/>
    <n v="105.148"/>
    <x v="0"/>
    <x v="0"/>
    <s v="ok"/>
    <n v="43.9"/>
    <n v="61.247999999999998"/>
    <x v="14"/>
  </r>
  <r>
    <s v="O00344"/>
    <x v="343"/>
    <x v="0"/>
    <s v="Staff"/>
    <x v="0"/>
    <x v="0"/>
    <n v="7.0000000000000007E-2"/>
    <n v="214.55099999999999"/>
    <x v="0"/>
    <x v="0"/>
    <s v="ok"/>
    <n v="106.27"/>
    <n v="108.28099999999999"/>
    <x v="9"/>
  </r>
  <r>
    <s v="O00345"/>
    <x v="344"/>
    <x v="0"/>
    <s v="Staff"/>
    <x v="0"/>
    <x v="0"/>
    <n v="7.0000000000000007E-2"/>
    <n v="595.21860000000004"/>
    <x v="1"/>
    <x v="1"/>
    <s v="high disc"/>
    <n v="267.66999999999996"/>
    <n v="327.54860000000008"/>
    <x v="10"/>
  </r>
  <r>
    <s v="O00346"/>
    <x v="345"/>
    <x v="2"/>
    <s v="Visitor"/>
    <x v="2"/>
    <x v="0"/>
    <n v="0.14000000000000001"/>
    <n v="66.194199999999995"/>
    <x v="1"/>
    <x v="0"/>
    <s v="ok"/>
    <n v="35.78"/>
    <n v="30.414199999999994"/>
    <x v="5"/>
  </r>
  <r>
    <s v="O00347"/>
    <x v="346"/>
    <x v="2"/>
    <s v="Worker"/>
    <x v="1"/>
    <x v="1"/>
    <n v="0.1"/>
    <n v="494.73900000000003"/>
    <x v="0"/>
    <x v="0"/>
    <s v="high disc"/>
    <n v="283.08"/>
    <n v="211.65900000000005"/>
    <x v="3"/>
  </r>
  <r>
    <s v="O00348"/>
    <x v="347"/>
    <x v="1"/>
    <s v="Visitor"/>
    <x v="2"/>
    <x v="1"/>
    <n v="0.04"/>
    <n v="1245.1872000000001"/>
    <x v="0"/>
    <x v="0"/>
    <s v="high disc"/>
    <n v="605.94999999999993"/>
    <n v="639.23720000000014"/>
    <x v="7"/>
  </r>
  <r>
    <s v="O00349"/>
    <x v="348"/>
    <x v="1"/>
    <s v="Worker"/>
    <x v="0"/>
    <x v="0"/>
    <n v="0.02"/>
    <n v="915.51600000000008"/>
    <x v="0"/>
    <x v="0"/>
    <s v="ok"/>
    <n v="423.88"/>
    <n v="491.63600000000008"/>
    <x v="13"/>
  </r>
  <r>
    <s v="O00350"/>
    <x v="349"/>
    <x v="1"/>
    <s v="Worker"/>
    <x v="0"/>
    <x v="0"/>
    <n v="0.08"/>
    <n v="356.21480000000003"/>
    <x v="1"/>
    <x v="1"/>
    <s v="ok"/>
    <n v="199.41000000000003"/>
    <n v="156.8048"/>
    <x v="6"/>
  </r>
  <r>
    <s v="O00351"/>
    <x v="350"/>
    <x v="2"/>
    <s v="Staff"/>
    <x v="2"/>
    <x v="1"/>
    <n v="0.01"/>
    <n v="60.0732"/>
    <x v="1"/>
    <x v="0"/>
    <s v="ok"/>
    <n v="28.36"/>
    <n v="31.713200000000001"/>
    <x v="5"/>
  </r>
  <r>
    <s v="O00352"/>
    <x v="351"/>
    <x v="1"/>
    <s v="Staff"/>
    <x v="1"/>
    <x v="1"/>
    <n v="0.13"/>
    <n v="204.4239"/>
    <x v="1"/>
    <x v="0"/>
    <s v="ok"/>
    <n v="105.18"/>
    <n v="99.243899999999996"/>
    <x v="12"/>
  </r>
  <r>
    <s v="O00353"/>
    <x v="352"/>
    <x v="1"/>
    <s v="Visitor"/>
    <x v="2"/>
    <x v="2"/>
    <n v="0.11"/>
    <n v="204.38849999999999"/>
    <x v="0"/>
    <x v="0"/>
    <s v="ok"/>
    <n v="114.69"/>
    <n v="89.698499999999996"/>
    <x v="14"/>
  </r>
  <r>
    <s v="O00354"/>
    <x v="353"/>
    <x v="2"/>
    <s v="Staff"/>
    <x v="0"/>
    <x v="2"/>
    <n v="0.04"/>
    <n v="183.5136"/>
    <x v="0"/>
    <x v="0"/>
    <s v="ok"/>
    <n v="96.009999999999991"/>
    <n v="87.503600000000006"/>
    <x v="9"/>
  </r>
  <r>
    <s v="O00355"/>
    <x v="354"/>
    <x v="1"/>
    <s v="Staff"/>
    <x v="1"/>
    <x v="0"/>
    <n v="0"/>
    <n v="87.41"/>
    <x v="1"/>
    <x v="0"/>
    <s v="ok"/>
    <n v="43.32"/>
    <n v="44.089999999999996"/>
    <x v="1"/>
  </r>
  <r>
    <s v="O00356"/>
    <x v="355"/>
    <x v="0"/>
    <s v="Staff"/>
    <x v="2"/>
    <x v="0"/>
    <n v="0.11"/>
    <n v="700.52790000000005"/>
    <x v="1"/>
    <x v="1"/>
    <s v="high disc"/>
    <n v="340.09000000000003"/>
    <n v="360.43790000000001"/>
    <x v="2"/>
  </r>
  <r>
    <s v="O00357"/>
    <x v="356"/>
    <x v="0"/>
    <s v="Staff"/>
    <x v="1"/>
    <x v="1"/>
    <n v="0.06"/>
    <n v="93.417199999999994"/>
    <x v="1"/>
    <x v="0"/>
    <s v="ok"/>
    <n v="46.52"/>
    <n v="46.897199999999991"/>
    <x v="1"/>
  </r>
  <r>
    <s v="O00358"/>
    <x v="357"/>
    <x v="1"/>
    <s v="Worker"/>
    <x v="0"/>
    <x v="0"/>
    <n v="0.11"/>
    <n v="89.783200000000008"/>
    <x v="1"/>
    <x v="0"/>
    <s v="ok"/>
    <n v="49.99"/>
    <n v="39.793200000000006"/>
    <x v="4"/>
  </r>
  <r>
    <s v="O00359"/>
    <x v="358"/>
    <x v="1"/>
    <s v="Visitor"/>
    <x v="1"/>
    <x v="2"/>
    <n v="0"/>
    <n v="455.22"/>
    <x v="0"/>
    <x v="0"/>
    <s v="ok"/>
    <n v="192.44"/>
    <n v="262.78000000000003"/>
    <x v="3"/>
  </r>
  <r>
    <s v="O00360"/>
    <x v="359"/>
    <x v="1"/>
    <s v="Visitor"/>
    <x v="0"/>
    <x v="1"/>
    <n v="0.04"/>
    <n v="962.15039999999999"/>
    <x v="1"/>
    <x v="1"/>
    <s v="high disc"/>
    <n v="466.15"/>
    <n v="496.00040000000001"/>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4">
  <r>
    <s v="O00001"/>
    <x v="0"/>
    <n v="3"/>
    <n v="52.45"/>
    <n v="25.8"/>
    <x v="0"/>
    <s v="Snack"/>
    <x v="0"/>
    <x v="0"/>
    <n v="0.06"/>
    <s v="UPI"/>
    <s v="Breakfast"/>
    <n v="147.90900000000002"/>
    <s v="Single"/>
    <s v="Ok"/>
    <n v="77.400000000000006"/>
    <n v="70.509000000000015"/>
  </r>
  <r>
    <s v="O00002"/>
    <x v="1"/>
    <n v="1"/>
    <n v="30.34"/>
    <n v="14.18"/>
    <x v="1"/>
    <s v="Beverage+Dessert"/>
    <x v="1"/>
    <x v="1"/>
    <n v="0.05"/>
    <s v="Cash"/>
    <s v="Dinner"/>
    <n v="28.822999999999997"/>
    <s v="Single"/>
    <s v="Ok"/>
    <n v="14.18"/>
    <n v="14.642999999999997"/>
  </r>
  <r>
    <s v="O00002"/>
    <x v="2"/>
    <n v="1"/>
    <n v="76.55"/>
    <n v="38.229999999999997"/>
    <x v="2"/>
    <s v="Beverage+Dessert"/>
    <x v="1"/>
    <x v="1"/>
    <n v="0.05"/>
    <s v="Cash"/>
    <s v="Dinner"/>
    <n v="72.722499999999997"/>
    <s v="Single"/>
    <s v="Ok"/>
    <n v="38.229999999999997"/>
    <n v="34.4925"/>
  </r>
  <r>
    <s v="O00003"/>
    <x v="3"/>
    <n v="2"/>
    <n v="32.979999999999997"/>
    <n v="11.84"/>
    <x v="1"/>
    <s v="Beverage+Hot Meal+Snack"/>
    <x v="2"/>
    <x v="0"/>
    <n v="0"/>
    <s v="Card"/>
    <s v="Lunch"/>
    <n v="65.959999999999994"/>
    <s v="Combo"/>
    <s v="Ok"/>
    <n v="23.68"/>
    <n v="42.279999999999994"/>
  </r>
  <r>
    <s v="O00003"/>
    <x v="0"/>
    <n v="1"/>
    <n v="52.45"/>
    <n v="25.8"/>
    <x v="0"/>
    <s v="Beverage+Hot Meal+Snack"/>
    <x v="2"/>
    <x v="0"/>
    <n v="0"/>
    <s v="Card"/>
    <s v="Lunch"/>
    <n v="52.45"/>
    <s v="Combo"/>
    <s v="Ok"/>
    <n v="25.8"/>
    <n v="26.650000000000002"/>
  </r>
  <r>
    <s v="O00003"/>
    <x v="4"/>
    <n v="3"/>
    <n v="170.83"/>
    <n v="74.069999999999993"/>
    <x v="3"/>
    <s v="Beverage+Hot Meal+Snack"/>
    <x v="2"/>
    <x v="0"/>
    <n v="0"/>
    <s v="Card"/>
    <s v="Lunch"/>
    <n v="512.49"/>
    <s v="Combo"/>
    <s v="Ok"/>
    <n v="222.20999999999998"/>
    <n v="290.28000000000003"/>
  </r>
  <r>
    <s v="O00003"/>
    <x v="5"/>
    <n v="1"/>
    <n v="38.06"/>
    <n v="19.55"/>
    <x v="0"/>
    <s v="Beverage+Hot Meal+Snack"/>
    <x v="2"/>
    <x v="0"/>
    <n v="0"/>
    <s v="Card"/>
    <s v="Lunch"/>
    <n v="38.06"/>
    <s v="Combo"/>
    <s v="Ok"/>
    <n v="19.55"/>
    <n v="18.510000000000002"/>
  </r>
  <r>
    <s v="O00004"/>
    <x v="6"/>
    <n v="2"/>
    <n v="246.09"/>
    <n v="112.08"/>
    <x v="3"/>
    <s v="Hot Meal"/>
    <x v="3"/>
    <x v="1"/>
    <n v="0.03"/>
    <s v="Cash"/>
    <s v="Breakfast"/>
    <n v="477.41460000000001"/>
    <s v="Single"/>
    <s v="Ok"/>
    <n v="224.16"/>
    <n v="253.25460000000001"/>
  </r>
  <r>
    <s v="O00005"/>
    <x v="7"/>
    <n v="1"/>
    <n v="70.540000000000006"/>
    <n v="35.81"/>
    <x v="0"/>
    <s v="Beverage+Snack"/>
    <x v="4"/>
    <x v="1"/>
    <n v="0.04"/>
    <s v="Card"/>
    <s v="Breakfast"/>
    <n v="67.718400000000003"/>
    <s v="Single"/>
    <s v="Ok"/>
    <n v="35.81"/>
    <n v="31.9084"/>
  </r>
  <r>
    <s v="O00005"/>
    <x v="8"/>
    <n v="1"/>
    <n v="28.43"/>
    <n v="13.89"/>
    <x v="1"/>
    <s v="Beverage+Snack"/>
    <x v="4"/>
    <x v="1"/>
    <n v="0.04"/>
    <s v="Card"/>
    <s v="Breakfast"/>
    <n v="27.2928"/>
    <s v="Single"/>
    <s v="Ok"/>
    <n v="13.89"/>
    <n v="13.402799999999999"/>
  </r>
  <r>
    <s v="O00006"/>
    <x v="9"/>
    <n v="3"/>
    <n v="20.11"/>
    <n v="8"/>
    <x v="1"/>
    <s v="Beverage"/>
    <x v="5"/>
    <x v="2"/>
    <n v="0.1"/>
    <s v="UPI"/>
    <s v="Breakfast"/>
    <n v="54.296999999999997"/>
    <s v="Single"/>
    <s v="Ok"/>
    <n v="24"/>
    <n v="30.296999999999997"/>
  </r>
  <r>
    <s v="O00007"/>
    <x v="3"/>
    <n v="1"/>
    <n v="32.979999999999997"/>
    <n v="11.84"/>
    <x v="1"/>
    <s v="Beverage+Hot Meal"/>
    <x v="0"/>
    <x v="1"/>
    <n v="7.0000000000000007E-2"/>
    <s v="Card"/>
    <s v="Dinner"/>
    <n v="30.671399999999995"/>
    <s v="Combo"/>
    <s v="Ok"/>
    <n v="11.84"/>
    <n v="18.831399999999995"/>
  </r>
  <r>
    <s v="O00007"/>
    <x v="4"/>
    <n v="2"/>
    <n v="170.83"/>
    <n v="74.069999999999993"/>
    <x v="3"/>
    <s v="Beverage+Hot Meal"/>
    <x v="0"/>
    <x v="1"/>
    <n v="7.0000000000000007E-2"/>
    <s v="Card"/>
    <s v="Dinner"/>
    <n v="317.74380000000002"/>
    <s v="Combo"/>
    <s v="Ok"/>
    <n v="148.13999999999999"/>
    <n v="169.60380000000004"/>
  </r>
  <r>
    <s v="O00008"/>
    <x v="10"/>
    <n v="1"/>
    <n v="22.2"/>
    <n v="9.3800000000000008"/>
    <x v="1"/>
    <s v="Beverage+Dessert"/>
    <x v="5"/>
    <x v="2"/>
    <n v="0"/>
    <s v="UPI"/>
    <s v="Lunch"/>
    <n v="22.2"/>
    <s v="Single"/>
    <s v="Ok"/>
    <n v="9.3800000000000008"/>
    <n v="12.819999999999999"/>
  </r>
  <r>
    <s v="O00008"/>
    <x v="11"/>
    <n v="3"/>
    <n v="57.07"/>
    <n v="29.14"/>
    <x v="2"/>
    <s v="Beverage+Dessert"/>
    <x v="5"/>
    <x v="2"/>
    <n v="0"/>
    <s v="UPI"/>
    <s v="Lunch"/>
    <n v="171.21"/>
    <s v="Single"/>
    <s v="Ok"/>
    <n v="87.42"/>
    <n v="83.79"/>
  </r>
  <r>
    <s v="O00008"/>
    <x v="1"/>
    <n v="1"/>
    <n v="30.34"/>
    <n v="14.18"/>
    <x v="1"/>
    <s v="Beverage+Dessert"/>
    <x v="5"/>
    <x v="2"/>
    <n v="0"/>
    <s v="UPI"/>
    <s v="Lunch"/>
    <n v="30.34"/>
    <s v="Single"/>
    <s v="Ok"/>
    <n v="14.18"/>
    <n v="16.16"/>
  </r>
  <r>
    <s v="O00009"/>
    <x v="4"/>
    <n v="2"/>
    <n v="170.83"/>
    <n v="74.069999999999993"/>
    <x v="3"/>
    <s v="Dessert+Hot Meal+Snack"/>
    <x v="6"/>
    <x v="0"/>
    <n v="7.0000000000000007E-2"/>
    <s v="Cash"/>
    <s v="Breakfast"/>
    <n v="317.74380000000002"/>
    <s v="Single"/>
    <s v="Ok"/>
    <n v="148.13999999999999"/>
    <n v="169.60380000000004"/>
  </r>
  <r>
    <s v="O00009"/>
    <x v="11"/>
    <n v="2"/>
    <n v="57.07"/>
    <n v="29.14"/>
    <x v="2"/>
    <s v="Dessert+Hot Meal+Snack"/>
    <x v="6"/>
    <x v="0"/>
    <n v="7.0000000000000007E-2"/>
    <s v="Cash"/>
    <s v="Breakfast"/>
    <n v="106.1502"/>
    <s v="Single"/>
    <s v="Ok"/>
    <n v="58.28"/>
    <n v="47.870199999999997"/>
  </r>
  <r>
    <s v="O00009"/>
    <x v="5"/>
    <n v="1"/>
    <n v="38.06"/>
    <n v="19.55"/>
    <x v="0"/>
    <s v="Dessert+Hot Meal+Snack"/>
    <x v="6"/>
    <x v="0"/>
    <n v="7.0000000000000007E-2"/>
    <s v="Cash"/>
    <s v="Breakfast"/>
    <n v="35.395800000000001"/>
    <s v="Single"/>
    <s v="Ok"/>
    <n v="19.55"/>
    <n v="15.845800000000001"/>
  </r>
  <r>
    <s v="O00010"/>
    <x v="10"/>
    <n v="2"/>
    <n v="22.2"/>
    <n v="9.3800000000000008"/>
    <x v="1"/>
    <s v="Beverage+Dessert+Hot Meal+Snack"/>
    <x v="1"/>
    <x v="2"/>
    <n v="0.04"/>
    <s v="Card"/>
    <s v="Breakfast"/>
    <n v="42.623999999999995"/>
    <s v="Combo"/>
    <s v="Ok"/>
    <n v="18.760000000000002"/>
    <n v="23.863999999999994"/>
  </r>
  <r>
    <s v="O00010"/>
    <x v="6"/>
    <n v="1"/>
    <n v="246.09"/>
    <n v="112.08"/>
    <x v="3"/>
    <s v="Beverage+Dessert+Hot Meal+Snack"/>
    <x v="1"/>
    <x v="2"/>
    <n v="0.04"/>
    <s v="Card"/>
    <s v="Breakfast"/>
    <n v="236.24639999999999"/>
    <s v="Combo"/>
    <s v="Ok"/>
    <n v="112.08"/>
    <n v="124.1664"/>
  </r>
  <r>
    <s v="O00010"/>
    <x v="7"/>
    <n v="1"/>
    <n v="70.540000000000006"/>
    <n v="35.81"/>
    <x v="0"/>
    <s v="Beverage+Dessert+Hot Meal+Snack"/>
    <x v="1"/>
    <x v="2"/>
    <n v="0.04"/>
    <s v="Card"/>
    <s v="Breakfast"/>
    <n v="67.718400000000003"/>
    <s v="Combo"/>
    <s v="Ok"/>
    <n v="35.81"/>
    <n v="31.9084"/>
  </r>
  <r>
    <s v="O00010"/>
    <x v="2"/>
    <n v="1"/>
    <n v="76.55"/>
    <n v="38.229999999999997"/>
    <x v="2"/>
    <s v="Beverage+Dessert+Hot Meal+Snack"/>
    <x v="1"/>
    <x v="2"/>
    <n v="0.04"/>
    <s v="Card"/>
    <s v="Breakfast"/>
    <n v="73.488"/>
    <s v="Combo"/>
    <s v="Ok"/>
    <n v="38.229999999999997"/>
    <n v="35.258000000000003"/>
  </r>
  <r>
    <s v="O00011"/>
    <x v="8"/>
    <n v="1"/>
    <n v="28.43"/>
    <n v="13.89"/>
    <x v="1"/>
    <s v="Beverage"/>
    <x v="7"/>
    <x v="1"/>
    <n v="0.03"/>
    <s v="Cash"/>
    <s v="Breakfast"/>
    <n v="27.577099999999998"/>
    <s v="Single"/>
    <s v="Ok"/>
    <n v="13.89"/>
    <n v="13.687099999999997"/>
  </r>
  <r>
    <s v="O00012"/>
    <x v="12"/>
    <n v="1"/>
    <n v="54.2"/>
    <n v="21.95"/>
    <x v="2"/>
    <s v="Dessert+Snack"/>
    <x v="8"/>
    <x v="1"/>
    <n v="0.08"/>
    <s v="Card"/>
    <s v="Lunch"/>
    <n v="49.864000000000004"/>
    <s v="Single"/>
    <s v="Ok"/>
    <n v="21.95"/>
    <n v="27.914000000000005"/>
  </r>
  <r>
    <s v="O00012"/>
    <x v="0"/>
    <n v="1"/>
    <n v="52.45"/>
    <n v="25.8"/>
    <x v="0"/>
    <s v="Dessert+Snack"/>
    <x v="8"/>
    <x v="1"/>
    <n v="0.08"/>
    <s v="Card"/>
    <s v="Lunch"/>
    <n v="48.254000000000005"/>
    <s v="Single"/>
    <s v="Ok"/>
    <n v="25.8"/>
    <n v="22.454000000000004"/>
  </r>
  <r>
    <s v="O00013"/>
    <x v="2"/>
    <n v="3"/>
    <n v="76.55"/>
    <n v="38.229999999999997"/>
    <x v="2"/>
    <s v="Beverage+Dessert+Hot Meal"/>
    <x v="9"/>
    <x v="0"/>
    <n v="0.1"/>
    <s v="UPI"/>
    <s v="Breakfast"/>
    <n v="206.68499999999997"/>
    <s v="Combo"/>
    <s v="High Discount"/>
    <n v="114.69"/>
    <n v="91.994999999999976"/>
  </r>
  <r>
    <s v="O00013"/>
    <x v="1"/>
    <n v="2"/>
    <n v="30.34"/>
    <n v="14.18"/>
    <x v="1"/>
    <s v="Beverage+Dessert+Hot Meal"/>
    <x v="9"/>
    <x v="0"/>
    <n v="0.1"/>
    <s v="UPI"/>
    <s v="Breakfast"/>
    <n v="54.612000000000002"/>
    <s v="Combo"/>
    <s v="High Discount"/>
    <n v="28.36"/>
    <n v="26.252000000000002"/>
  </r>
  <r>
    <s v="O00013"/>
    <x v="13"/>
    <n v="3"/>
    <n v="116.8"/>
    <n v="48.97"/>
    <x v="2"/>
    <s v="Beverage+Dessert+Hot Meal"/>
    <x v="9"/>
    <x v="0"/>
    <n v="0.1"/>
    <s v="UPI"/>
    <s v="Breakfast"/>
    <n v="315.36"/>
    <s v="Combo"/>
    <s v="High Discount"/>
    <n v="146.91"/>
    <n v="168.45000000000002"/>
  </r>
  <r>
    <s v="O00013"/>
    <x v="14"/>
    <n v="1"/>
    <n v="256.91000000000003"/>
    <n v="121.24"/>
    <x v="3"/>
    <s v="Beverage+Dessert+Hot Meal"/>
    <x v="9"/>
    <x v="0"/>
    <n v="0.1"/>
    <s v="UPI"/>
    <s v="Breakfast"/>
    <n v="231.21900000000002"/>
    <s v="Combo"/>
    <s v="High Discount"/>
    <n v="121.24"/>
    <n v="109.97900000000003"/>
  </r>
  <r>
    <s v="O00014"/>
    <x v="8"/>
    <n v="1"/>
    <n v="28.43"/>
    <n v="13.89"/>
    <x v="1"/>
    <s v="Beverage+Dessert"/>
    <x v="10"/>
    <x v="2"/>
    <n v="0.1"/>
    <s v="Cash"/>
    <s v="Breakfast"/>
    <n v="25.587"/>
    <s v="Single"/>
    <s v="Ok"/>
    <n v="13.89"/>
    <n v="11.696999999999999"/>
  </r>
  <r>
    <s v="O00014"/>
    <x v="2"/>
    <n v="2"/>
    <n v="76.55"/>
    <n v="38.229999999999997"/>
    <x v="2"/>
    <s v="Beverage+Dessert"/>
    <x v="10"/>
    <x v="2"/>
    <n v="0.1"/>
    <s v="Cash"/>
    <s v="Breakfast"/>
    <n v="137.79"/>
    <s v="Single"/>
    <s v="Ok"/>
    <n v="76.459999999999994"/>
    <n v="61.33"/>
  </r>
  <r>
    <s v="O00014"/>
    <x v="9"/>
    <n v="1"/>
    <n v="20.11"/>
    <n v="8"/>
    <x v="1"/>
    <s v="Beverage+Dessert"/>
    <x v="10"/>
    <x v="2"/>
    <n v="0.1"/>
    <s v="Cash"/>
    <s v="Breakfast"/>
    <n v="18.099"/>
    <s v="Single"/>
    <s v="Ok"/>
    <n v="8"/>
    <n v="10.099"/>
  </r>
  <r>
    <s v="O00015"/>
    <x v="4"/>
    <n v="1"/>
    <n v="170.83"/>
    <n v="74.069999999999993"/>
    <x v="3"/>
    <s v="Beverage+Dessert+Hot Meal"/>
    <x v="11"/>
    <x v="0"/>
    <n v="0.03"/>
    <s v="Cash"/>
    <s v="Lunch"/>
    <n v="165.70510000000002"/>
    <s v="Combo"/>
    <s v="Ok"/>
    <n v="74.069999999999993"/>
    <n v="91.635100000000023"/>
  </r>
  <r>
    <s v="O00015"/>
    <x v="3"/>
    <n v="3"/>
    <n v="32.979999999999997"/>
    <n v="11.84"/>
    <x v="1"/>
    <s v="Beverage+Dessert+Hot Meal"/>
    <x v="11"/>
    <x v="0"/>
    <n v="0.03"/>
    <s v="Cash"/>
    <s v="Lunch"/>
    <n v="95.971800000000002"/>
    <s v="Combo"/>
    <s v="Ok"/>
    <n v="35.519999999999996"/>
    <n v="60.451800000000006"/>
  </r>
  <r>
    <s v="O00015"/>
    <x v="2"/>
    <n v="2"/>
    <n v="76.55"/>
    <n v="38.229999999999997"/>
    <x v="2"/>
    <s v="Beverage+Dessert+Hot Meal"/>
    <x v="11"/>
    <x v="0"/>
    <n v="0.03"/>
    <s v="Cash"/>
    <s v="Lunch"/>
    <n v="148.50699999999998"/>
    <s v="Combo"/>
    <s v="Ok"/>
    <n v="76.459999999999994"/>
    <n v="72.046999999999983"/>
  </r>
  <r>
    <s v="O00016"/>
    <x v="11"/>
    <n v="1"/>
    <n v="57.07"/>
    <n v="29.14"/>
    <x v="2"/>
    <s v="Dessert+Hot Meal+Snack"/>
    <x v="6"/>
    <x v="2"/>
    <n v="0.05"/>
    <s v="Card"/>
    <s v="Dinner"/>
    <n v="54.216499999999996"/>
    <s v="Single"/>
    <s v="Ok"/>
    <n v="29.14"/>
    <n v="25.076499999999996"/>
  </r>
  <r>
    <s v="O00016"/>
    <x v="7"/>
    <n v="1"/>
    <n v="70.540000000000006"/>
    <n v="35.81"/>
    <x v="0"/>
    <s v="Dessert+Hot Meal+Snack"/>
    <x v="6"/>
    <x v="2"/>
    <n v="0.05"/>
    <s v="Card"/>
    <s v="Dinner"/>
    <n v="67.013000000000005"/>
    <s v="Single"/>
    <s v="Ok"/>
    <n v="35.81"/>
    <n v="31.203000000000003"/>
  </r>
  <r>
    <s v="O00016"/>
    <x v="0"/>
    <n v="3"/>
    <n v="52.45"/>
    <n v="25.8"/>
    <x v="0"/>
    <s v="Dessert+Hot Meal+Snack"/>
    <x v="6"/>
    <x v="2"/>
    <n v="0.05"/>
    <s v="Card"/>
    <s v="Dinner"/>
    <n v="149.48250000000002"/>
    <s v="Single"/>
    <s v="Ok"/>
    <n v="77.400000000000006"/>
    <n v="72.08250000000001"/>
  </r>
  <r>
    <s v="O00016"/>
    <x v="15"/>
    <n v="1"/>
    <n v="227.61"/>
    <n v="96.22"/>
    <x v="3"/>
    <s v="Dessert+Hot Meal+Snack"/>
    <x v="6"/>
    <x v="2"/>
    <n v="0.05"/>
    <s v="Card"/>
    <s v="Dinner"/>
    <n v="216.2295"/>
    <s v="Single"/>
    <s v="Ok"/>
    <n v="96.22"/>
    <n v="120.0095"/>
  </r>
  <r>
    <s v="O00017"/>
    <x v="3"/>
    <n v="1"/>
    <n v="32.979999999999997"/>
    <n v="11.84"/>
    <x v="1"/>
    <s v="Beverage"/>
    <x v="12"/>
    <x v="2"/>
    <n v="7.0000000000000007E-2"/>
    <s v="UPI"/>
    <s v="Dinner"/>
    <n v="30.671399999999995"/>
    <s v="Single"/>
    <s v="Ok"/>
    <n v="11.84"/>
    <n v="18.831399999999995"/>
  </r>
  <r>
    <s v="O00018"/>
    <x v="13"/>
    <n v="1"/>
    <n v="116.8"/>
    <n v="48.97"/>
    <x v="2"/>
    <s v="Beverage+Dessert"/>
    <x v="13"/>
    <x v="2"/>
    <n v="0.1"/>
    <s v="Cash"/>
    <s v="Breakfast"/>
    <n v="105.12"/>
    <s v="Single"/>
    <s v="Ok"/>
    <n v="48.97"/>
    <n v="56.150000000000006"/>
  </r>
  <r>
    <s v="O00018"/>
    <x v="3"/>
    <n v="2"/>
    <n v="32.979999999999997"/>
    <n v="11.84"/>
    <x v="1"/>
    <s v="Beverage+Dessert"/>
    <x v="13"/>
    <x v="2"/>
    <n v="0.1"/>
    <s v="Cash"/>
    <s v="Breakfast"/>
    <n v="59.363999999999997"/>
    <s v="Single"/>
    <s v="Ok"/>
    <n v="23.68"/>
    <n v="35.683999999999997"/>
  </r>
  <r>
    <s v="O00019"/>
    <x v="16"/>
    <n v="1"/>
    <n v="146.4"/>
    <n v="80.92"/>
    <x v="3"/>
    <s v="Hot Meal+Snack"/>
    <x v="14"/>
    <x v="2"/>
    <n v="0.04"/>
    <s v="Cash"/>
    <s v="Breakfast"/>
    <n v="140.54400000000001"/>
    <s v="Single"/>
    <s v="Ok"/>
    <n v="80.92"/>
    <n v="59.624000000000009"/>
  </r>
  <r>
    <s v="O00019"/>
    <x v="7"/>
    <n v="1"/>
    <n v="70.540000000000006"/>
    <n v="35.81"/>
    <x v="0"/>
    <s v="Hot Meal+Snack"/>
    <x v="14"/>
    <x v="2"/>
    <n v="0.04"/>
    <s v="Cash"/>
    <s v="Breakfast"/>
    <n v="67.718400000000003"/>
    <s v="Single"/>
    <s v="Ok"/>
    <n v="35.81"/>
    <n v="31.9084"/>
  </r>
  <r>
    <s v="O00019"/>
    <x v="14"/>
    <n v="2"/>
    <n v="256.91000000000003"/>
    <n v="121.24"/>
    <x v="3"/>
    <s v="Hot Meal+Snack"/>
    <x v="14"/>
    <x v="2"/>
    <n v="0.04"/>
    <s v="Cash"/>
    <s v="Breakfast"/>
    <n v="493.2672"/>
    <s v="Single"/>
    <s v="Ok"/>
    <n v="242.48"/>
    <n v="250.78720000000001"/>
  </r>
  <r>
    <s v="O00020"/>
    <x v="12"/>
    <n v="3"/>
    <n v="54.2"/>
    <n v="21.95"/>
    <x v="2"/>
    <s v="Beverage+Dessert+Hot Meal"/>
    <x v="15"/>
    <x v="1"/>
    <n v="0.05"/>
    <s v="UPI"/>
    <s v="Breakfast"/>
    <n v="154.47000000000003"/>
    <s v="Combo"/>
    <s v="Ok"/>
    <n v="65.849999999999994"/>
    <n v="88.620000000000033"/>
  </r>
  <r>
    <s v="O00020"/>
    <x v="15"/>
    <n v="1"/>
    <n v="227.61"/>
    <n v="96.22"/>
    <x v="3"/>
    <s v="Beverage+Dessert+Hot Meal"/>
    <x v="15"/>
    <x v="1"/>
    <n v="0.05"/>
    <s v="UPI"/>
    <s v="Breakfast"/>
    <n v="216.2295"/>
    <s v="Combo"/>
    <s v="Ok"/>
    <n v="96.22"/>
    <n v="120.0095"/>
  </r>
  <r>
    <s v="O00020"/>
    <x v="3"/>
    <n v="1"/>
    <n v="32.979999999999997"/>
    <n v="11.84"/>
    <x v="1"/>
    <s v="Beverage+Dessert+Hot Meal"/>
    <x v="15"/>
    <x v="1"/>
    <n v="0.05"/>
    <s v="UPI"/>
    <s v="Breakfast"/>
    <n v="31.330999999999996"/>
    <s v="Combo"/>
    <s v="Ok"/>
    <n v="11.84"/>
    <n v="19.490999999999996"/>
  </r>
  <r>
    <s v="O00020"/>
    <x v="2"/>
    <n v="1"/>
    <n v="76.55"/>
    <n v="38.229999999999997"/>
    <x v="2"/>
    <s v="Beverage+Dessert+Hot Meal"/>
    <x v="15"/>
    <x v="1"/>
    <n v="0.05"/>
    <s v="UPI"/>
    <s v="Breakfast"/>
    <n v="72.722499999999997"/>
    <s v="Combo"/>
    <s v="Ok"/>
    <n v="38.229999999999997"/>
    <n v="34.4925"/>
  </r>
  <r>
    <s v="O00021"/>
    <x v="0"/>
    <n v="3"/>
    <n v="52.45"/>
    <n v="25.8"/>
    <x v="0"/>
    <s v="Snack"/>
    <x v="16"/>
    <x v="1"/>
    <n v="0.02"/>
    <s v="UPI"/>
    <s v="Dinner"/>
    <n v="154.20300000000003"/>
    <s v="Single"/>
    <s v="Ok"/>
    <n v="77.400000000000006"/>
    <n v="76.803000000000026"/>
  </r>
  <r>
    <s v="O00021"/>
    <x v="17"/>
    <n v="1"/>
    <n v="39.950000000000003"/>
    <n v="15.51"/>
    <x v="0"/>
    <s v="Snack"/>
    <x v="16"/>
    <x v="1"/>
    <n v="0.02"/>
    <s v="UPI"/>
    <s v="Dinner"/>
    <n v="39.151000000000003"/>
    <s v="Single"/>
    <s v="Ok"/>
    <n v="15.51"/>
    <n v="23.641000000000005"/>
  </r>
  <r>
    <s v="O00021"/>
    <x v="18"/>
    <n v="2"/>
    <n v="50.19"/>
    <n v="22.61"/>
    <x v="0"/>
    <s v="Snack"/>
    <x v="16"/>
    <x v="1"/>
    <n v="0.02"/>
    <s v="UPI"/>
    <s v="Dinner"/>
    <n v="98.372399999999999"/>
    <s v="Single"/>
    <s v="Ok"/>
    <n v="45.22"/>
    <n v="53.1524"/>
  </r>
  <r>
    <s v="O00022"/>
    <x v="12"/>
    <n v="1"/>
    <n v="54.2"/>
    <n v="21.95"/>
    <x v="2"/>
    <s v="Beverage+Dessert+Hot Meal"/>
    <x v="1"/>
    <x v="1"/>
    <n v="0.01"/>
    <s v="Cash"/>
    <s v="Breakfast"/>
    <n v="53.658000000000001"/>
    <s v="Combo"/>
    <s v="Ok"/>
    <n v="21.95"/>
    <n v="31.708000000000002"/>
  </r>
  <r>
    <s v="O00022"/>
    <x v="8"/>
    <n v="2"/>
    <n v="28.43"/>
    <n v="13.89"/>
    <x v="1"/>
    <s v="Beverage+Dessert+Hot Meal"/>
    <x v="1"/>
    <x v="1"/>
    <n v="0.01"/>
    <s v="Cash"/>
    <s v="Breakfast"/>
    <n v="56.291399999999996"/>
    <s v="Combo"/>
    <s v="Ok"/>
    <n v="27.78"/>
    <n v="28.511399999999995"/>
  </r>
  <r>
    <s v="O00022"/>
    <x v="14"/>
    <n v="1"/>
    <n v="256.91000000000003"/>
    <n v="121.24"/>
    <x v="3"/>
    <s v="Beverage+Dessert+Hot Meal"/>
    <x v="1"/>
    <x v="1"/>
    <n v="0.01"/>
    <s v="Cash"/>
    <s v="Breakfast"/>
    <n v="254.34090000000003"/>
    <s v="Combo"/>
    <s v="Ok"/>
    <n v="121.24"/>
    <n v="133.10090000000002"/>
  </r>
  <r>
    <s v="O00023"/>
    <x v="9"/>
    <n v="1"/>
    <n v="20.11"/>
    <n v="8"/>
    <x v="1"/>
    <s v="Beverage+Hot Meal"/>
    <x v="17"/>
    <x v="1"/>
    <n v="0.09"/>
    <s v="Cash"/>
    <s v="Lunch"/>
    <n v="18.3001"/>
    <s v="Combo"/>
    <s v="Ok"/>
    <n v="8"/>
    <n v="10.3001"/>
  </r>
  <r>
    <s v="O00023"/>
    <x v="6"/>
    <n v="1"/>
    <n v="246.09"/>
    <n v="112.08"/>
    <x v="3"/>
    <s v="Beverage+Hot Meal"/>
    <x v="17"/>
    <x v="1"/>
    <n v="0.09"/>
    <s v="Cash"/>
    <s v="Lunch"/>
    <n v="223.9419"/>
    <s v="Combo"/>
    <s v="Ok"/>
    <n v="112.08"/>
    <n v="111.86190000000001"/>
  </r>
  <r>
    <s v="O00024"/>
    <x v="16"/>
    <n v="3"/>
    <n v="146.4"/>
    <n v="80.92"/>
    <x v="3"/>
    <s v="Hot Meal"/>
    <x v="18"/>
    <x v="2"/>
    <n v="0.11"/>
    <s v="UPI"/>
    <s v="Dinner"/>
    <n v="390.88800000000003"/>
    <s v="Single"/>
    <s v="High Discount"/>
    <n v="242.76"/>
    <n v="148.12800000000004"/>
  </r>
  <r>
    <s v="O00025"/>
    <x v="18"/>
    <n v="1"/>
    <n v="50.19"/>
    <n v="22.61"/>
    <x v="0"/>
    <s v="Snack"/>
    <x v="19"/>
    <x v="1"/>
    <n v="0.06"/>
    <s v="Card"/>
    <s v="Breakfast"/>
    <n v="47.178599999999996"/>
    <s v="Single"/>
    <s v="Ok"/>
    <n v="22.61"/>
    <n v="24.568599999999996"/>
  </r>
  <r>
    <s v="O00026"/>
    <x v="0"/>
    <n v="1"/>
    <n v="52.45"/>
    <n v="25.8"/>
    <x v="0"/>
    <s v="Snack"/>
    <x v="1"/>
    <x v="1"/>
    <n v="0.1"/>
    <s v="Cash"/>
    <s v="Dinner"/>
    <n v="47.205000000000005"/>
    <s v="Single"/>
    <s v="Ok"/>
    <n v="25.8"/>
    <n v="21.405000000000005"/>
  </r>
  <r>
    <s v="O00026"/>
    <x v="5"/>
    <n v="1"/>
    <n v="38.06"/>
    <n v="19.55"/>
    <x v="0"/>
    <s v="Snack"/>
    <x v="1"/>
    <x v="1"/>
    <n v="0.1"/>
    <s v="Cash"/>
    <s v="Dinner"/>
    <n v="34.254000000000005"/>
    <s v="Single"/>
    <s v="Ok"/>
    <n v="19.55"/>
    <n v="14.704000000000004"/>
  </r>
  <r>
    <s v="O00027"/>
    <x v="4"/>
    <n v="3"/>
    <n v="170.83"/>
    <n v="74.069999999999993"/>
    <x v="3"/>
    <s v="Beverage+Dessert+Hot Meal"/>
    <x v="20"/>
    <x v="0"/>
    <n v="7.0000000000000007E-2"/>
    <s v="UPI"/>
    <s v="Dinner"/>
    <n v="476.6157"/>
    <s v="Combo"/>
    <s v="High Discount"/>
    <n v="222.20999999999998"/>
    <n v="254.40570000000002"/>
  </r>
  <r>
    <s v="O00027"/>
    <x v="1"/>
    <n v="1"/>
    <n v="30.34"/>
    <n v="14.18"/>
    <x v="1"/>
    <s v="Beverage+Dessert+Hot Meal"/>
    <x v="20"/>
    <x v="0"/>
    <n v="7.0000000000000007E-2"/>
    <s v="UPI"/>
    <s v="Dinner"/>
    <n v="28.216199999999997"/>
    <s v="Combo"/>
    <s v="High Discount"/>
    <n v="14.18"/>
    <n v="14.036199999999997"/>
  </r>
  <r>
    <s v="O00027"/>
    <x v="11"/>
    <n v="2"/>
    <n v="57.07"/>
    <n v="29.14"/>
    <x v="2"/>
    <s v="Beverage+Dessert+Hot Meal"/>
    <x v="20"/>
    <x v="0"/>
    <n v="7.0000000000000007E-2"/>
    <s v="UPI"/>
    <s v="Dinner"/>
    <n v="106.1502"/>
    <s v="Combo"/>
    <s v="High Discount"/>
    <n v="58.28"/>
    <n v="47.870199999999997"/>
  </r>
  <r>
    <s v="O00027"/>
    <x v="6"/>
    <n v="1"/>
    <n v="246.09"/>
    <n v="112.08"/>
    <x v="3"/>
    <s v="Beverage+Dessert+Hot Meal"/>
    <x v="20"/>
    <x v="0"/>
    <n v="7.0000000000000007E-2"/>
    <s v="UPI"/>
    <s v="Dinner"/>
    <n v="228.86369999999999"/>
    <s v="Combo"/>
    <s v="High Discount"/>
    <n v="112.08"/>
    <n v="116.7837"/>
  </r>
  <r>
    <s v="O00028"/>
    <x v="18"/>
    <n v="1"/>
    <n v="50.19"/>
    <n v="22.61"/>
    <x v="0"/>
    <s v="Beverage+Dessert+Snack"/>
    <x v="21"/>
    <x v="0"/>
    <n v="0.03"/>
    <s v="Card"/>
    <s v="Breakfast"/>
    <n v="48.684299999999993"/>
    <s v="Single"/>
    <s v="Ok"/>
    <n v="22.61"/>
    <n v="26.074299999999994"/>
  </r>
  <r>
    <s v="O00028"/>
    <x v="13"/>
    <n v="2"/>
    <n v="116.8"/>
    <n v="48.97"/>
    <x v="2"/>
    <s v="Beverage+Dessert+Snack"/>
    <x v="21"/>
    <x v="0"/>
    <n v="0.03"/>
    <s v="Card"/>
    <s v="Breakfast"/>
    <n v="226.59199999999998"/>
    <s v="Single"/>
    <s v="Ok"/>
    <n v="97.94"/>
    <n v="128.65199999999999"/>
  </r>
  <r>
    <s v="O00028"/>
    <x v="7"/>
    <n v="1"/>
    <n v="70.540000000000006"/>
    <n v="35.81"/>
    <x v="0"/>
    <s v="Beverage+Dessert+Snack"/>
    <x v="21"/>
    <x v="0"/>
    <n v="0.03"/>
    <s v="Card"/>
    <s v="Breakfast"/>
    <n v="68.4238"/>
    <s v="Single"/>
    <s v="Ok"/>
    <n v="35.81"/>
    <n v="32.613799999999998"/>
  </r>
  <r>
    <s v="O00028"/>
    <x v="9"/>
    <n v="2"/>
    <n v="20.11"/>
    <n v="8"/>
    <x v="1"/>
    <s v="Beverage+Dessert+Snack"/>
    <x v="21"/>
    <x v="0"/>
    <n v="0.03"/>
    <s v="Card"/>
    <s v="Breakfast"/>
    <n v="39.013399999999997"/>
    <s v="Single"/>
    <s v="Ok"/>
    <n v="16"/>
    <n v="23.013399999999997"/>
  </r>
  <r>
    <s v="O00029"/>
    <x v="18"/>
    <n v="3"/>
    <n v="50.19"/>
    <n v="22.61"/>
    <x v="0"/>
    <s v="Snack"/>
    <x v="0"/>
    <x v="1"/>
    <n v="7.0000000000000007E-2"/>
    <s v="Cash"/>
    <s v="Breakfast"/>
    <n v="140.03009999999998"/>
    <s v="Single"/>
    <s v="Ok"/>
    <n v="67.83"/>
    <n v="72.200099999999978"/>
  </r>
  <r>
    <s v="O00030"/>
    <x v="8"/>
    <n v="1"/>
    <n v="28.43"/>
    <n v="13.89"/>
    <x v="1"/>
    <s v="Beverage+Hot Meal+Snack"/>
    <x v="10"/>
    <x v="1"/>
    <n v="0.12"/>
    <s v="UPI"/>
    <s v="Breakfast"/>
    <n v="25.0184"/>
    <s v="Combo"/>
    <s v="High Discount"/>
    <n v="13.89"/>
    <n v="11.128399999999999"/>
  </r>
  <r>
    <s v="O00030"/>
    <x v="6"/>
    <n v="1"/>
    <n v="246.09"/>
    <n v="112.08"/>
    <x v="3"/>
    <s v="Beverage+Hot Meal+Snack"/>
    <x v="10"/>
    <x v="1"/>
    <n v="0.12"/>
    <s v="UPI"/>
    <s v="Breakfast"/>
    <n v="216.5592"/>
    <s v="Combo"/>
    <s v="High Discount"/>
    <n v="112.08"/>
    <n v="104.47920000000001"/>
  </r>
  <r>
    <s v="O00030"/>
    <x v="7"/>
    <n v="2"/>
    <n v="70.540000000000006"/>
    <n v="35.81"/>
    <x v="0"/>
    <s v="Beverage+Hot Meal+Snack"/>
    <x v="10"/>
    <x v="1"/>
    <n v="0.12"/>
    <s v="UPI"/>
    <s v="Breakfast"/>
    <n v="124.1504"/>
    <s v="Combo"/>
    <s v="High Discount"/>
    <n v="71.62"/>
    <n v="52.5304"/>
  </r>
  <r>
    <s v="O00031"/>
    <x v="12"/>
    <n v="1"/>
    <n v="54.2"/>
    <n v="21.95"/>
    <x v="2"/>
    <s v="Dessert+Hot Meal"/>
    <x v="22"/>
    <x v="2"/>
    <n v="0.06"/>
    <s v="UPI"/>
    <s v="Lunch"/>
    <n v="50.948"/>
    <s v="Single"/>
    <s v="Ok"/>
    <n v="21.95"/>
    <n v="28.998000000000001"/>
  </r>
  <r>
    <s v="O00031"/>
    <x v="16"/>
    <n v="2"/>
    <n v="146.4"/>
    <n v="80.92"/>
    <x v="3"/>
    <s v="Dessert+Hot Meal"/>
    <x v="22"/>
    <x v="2"/>
    <n v="0.06"/>
    <s v="UPI"/>
    <s v="Lunch"/>
    <n v="275.23199999999997"/>
    <s v="Single"/>
    <s v="Ok"/>
    <n v="161.84"/>
    <n v="113.39199999999997"/>
  </r>
  <r>
    <s v="O00031"/>
    <x v="13"/>
    <n v="1"/>
    <n v="116.8"/>
    <n v="48.97"/>
    <x v="2"/>
    <s v="Dessert+Hot Meal"/>
    <x v="22"/>
    <x v="2"/>
    <n v="0.06"/>
    <s v="UPI"/>
    <s v="Lunch"/>
    <n v="109.79199999999999"/>
    <s v="Single"/>
    <s v="Ok"/>
    <n v="48.97"/>
    <n v="60.821999999999989"/>
  </r>
  <r>
    <s v="O00032"/>
    <x v="12"/>
    <n v="1"/>
    <n v="54.2"/>
    <n v="21.95"/>
    <x v="2"/>
    <s v="Beverage+Dessert+Hot Meal"/>
    <x v="19"/>
    <x v="1"/>
    <n v="0.12"/>
    <s v="Cash"/>
    <s v="Breakfast"/>
    <n v="47.696000000000005"/>
    <s v="Combo"/>
    <s v="High Discount"/>
    <n v="21.95"/>
    <n v="25.746000000000006"/>
  </r>
  <r>
    <s v="O00032"/>
    <x v="13"/>
    <n v="1"/>
    <n v="116.8"/>
    <n v="48.97"/>
    <x v="2"/>
    <s v="Beverage+Dessert+Hot Meal"/>
    <x v="19"/>
    <x v="1"/>
    <n v="0.12"/>
    <s v="Cash"/>
    <s v="Breakfast"/>
    <n v="102.78399999999999"/>
    <s v="Combo"/>
    <s v="High Discount"/>
    <n v="48.97"/>
    <n v="53.813999999999993"/>
  </r>
  <r>
    <s v="O00032"/>
    <x v="3"/>
    <n v="2"/>
    <n v="32.979999999999997"/>
    <n v="11.84"/>
    <x v="1"/>
    <s v="Beverage+Dessert+Hot Meal"/>
    <x v="19"/>
    <x v="1"/>
    <n v="0.12"/>
    <s v="Cash"/>
    <s v="Breakfast"/>
    <n v="58.044799999999995"/>
    <s v="Combo"/>
    <s v="High Discount"/>
    <n v="23.68"/>
    <n v="34.364799999999995"/>
  </r>
  <r>
    <s v="O00032"/>
    <x v="16"/>
    <n v="2"/>
    <n v="146.4"/>
    <n v="80.92"/>
    <x v="3"/>
    <s v="Beverage+Dessert+Hot Meal"/>
    <x v="19"/>
    <x v="1"/>
    <n v="0.12"/>
    <s v="Cash"/>
    <s v="Breakfast"/>
    <n v="257.66399999999999"/>
    <s v="Combo"/>
    <s v="High Discount"/>
    <n v="161.84"/>
    <n v="95.823999999999984"/>
  </r>
  <r>
    <s v="O00033"/>
    <x v="17"/>
    <n v="1"/>
    <n v="39.950000000000003"/>
    <n v="15.51"/>
    <x v="0"/>
    <s v="Dessert+Snack"/>
    <x v="9"/>
    <x v="1"/>
    <n v="0"/>
    <s v="Cash"/>
    <s v="Breakfast"/>
    <n v="39.950000000000003"/>
    <s v="Single"/>
    <s v="Ok"/>
    <n v="15.51"/>
    <n v="24.440000000000005"/>
  </r>
  <r>
    <s v="O00033"/>
    <x v="13"/>
    <n v="3"/>
    <n v="116.8"/>
    <n v="48.97"/>
    <x v="2"/>
    <s v="Dessert+Snack"/>
    <x v="9"/>
    <x v="1"/>
    <n v="0"/>
    <s v="Cash"/>
    <s v="Breakfast"/>
    <n v="350.4"/>
    <s v="Single"/>
    <s v="Ok"/>
    <n v="146.91"/>
    <n v="203.48999999999998"/>
  </r>
  <r>
    <s v="O00034"/>
    <x v="3"/>
    <n v="1"/>
    <n v="32.979999999999997"/>
    <n v="11.84"/>
    <x v="1"/>
    <s v="Beverage+Snack"/>
    <x v="23"/>
    <x v="0"/>
    <n v="0.09"/>
    <s v="Cash"/>
    <s v="Dinner"/>
    <n v="30.011799999999997"/>
    <s v="Single"/>
    <s v="Ok"/>
    <n v="11.84"/>
    <n v="18.171799999999998"/>
  </r>
  <r>
    <s v="O00034"/>
    <x v="17"/>
    <n v="1"/>
    <n v="39.950000000000003"/>
    <n v="15.51"/>
    <x v="0"/>
    <s v="Beverage+Snack"/>
    <x v="23"/>
    <x v="0"/>
    <n v="0.09"/>
    <s v="Cash"/>
    <s v="Dinner"/>
    <n v="36.354500000000002"/>
    <s v="Single"/>
    <s v="Ok"/>
    <n v="15.51"/>
    <n v="20.844500000000004"/>
  </r>
  <r>
    <s v="O00034"/>
    <x v="10"/>
    <n v="1"/>
    <n v="22.2"/>
    <n v="9.3800000000000008"/>
    <x v="1"/>
    <s v="Beverage+Snack"/>
    <x v="23"/>
    <x v="0"/>
    <n v="0.09"/>
    <s v="Cash"/>
    <s v="Dinner"/>
    <n v="20.202000000000002"/>
    <s v="Single"/>
    <s v="Ok"/>
    <n v="9.3800000000000008"/>
    <n v="10.822000000000001"/>
  </r>
  <r>
    <s v="O00035"/>
    <x v="13"/>
    <n v="1"/>
    <n v="116.8"/>
    <n v="48.97"/>
    <x v="2"/>
    <s v="Beverage+Dessert+Hot Meal"/>
    <x v="24"/>
    <x v="0"/>
    <n v="0.06"/>
    <s v="UPI"/>
    <s v="Dinner"/>
    <n v="109.79199999999999"/>
    <s v="Combo"/>
    <s v="High Discount"/>
    <n v="48.97"/>
    <n v="60.821999999999989"/>
  </r>
  <r>
    <s v="O00035"/>
    <x v="15"/>
    <n v="2"/>
    <n v="227.61"/>
    <n v="96.22"/>
    <x v="3"/>
    <s v="Beverage+Dessert+Hot Meal"/>
    <x v="24"/>
    <x v="0"/>
    <n v="0.06"/>
    <s v="UPI"/>
    <s v="Dinner"/>
    <n v="427.90679999999998"/>
    <s v="Combo"/>
    <s v="High Discount"/>
    <n v="192.44"/>
    <n v="235.46679999999998"/>
  </r>
  <r>
    <s v="O00035"/>
    <x v="2"/>
    <n v="1"/>
    <n v="76.55"/>
    <n v="38.229999999999997"/>
    <x v="2"/>
    <s v="Beverage+Dessert+Hot Meal"/>
    <x v="24"/>
    <x v="0"/>
    <n v="0.06"/>
    <s v="UPI"/>
    <s v="Dinner"/>
    <n v="71.956999999999994"/>
    <s v="Combo"/>
    <s v="High Discount"/>
    <n v="38.229999999999997"/>
    <n v="33.726999999999997"/>
  </r>
  <r>
    <s v="O00035"/>
    <x v="8"/>
    <n v="1"/>
    <n v="28.43"/>
    <n v="13.89"/>
    <x v="1"/>
    <s v="Beverage+Dessert+Hot Meal"/>
    <x v="24"/>
    <x v="0"/>
    <n v="0.06"/>
    <s v="UPI"/>
    <s v="Dinner"/>
    <n v="26.7242"/>
    <s v="Combo"/>
    <s v="High Discount"/>
    <n v="13.89"/>
    <n v="12.834199999999999"/>
  </r>
  <r>
    <s v="O00036"/>
    <x v="18"/>
    <n v="1"/>
    <n v="50.19"/>
    <n v="22.61"/>
    <x v="0"/>
    <s v="Hot Meal+Snack"/>
    <x v="25"/>
    <x v="2"/>
    <n v="0.05"/>
    <s v="Cash"/>
    <s v="Breakfast"/>
    <n v="47.680499999999995"/>
    <s v="Single"/>
    <s v="Ok"/>
    <n v="22.61"/>
    <n v="25.070499999999996"/>
  </r>
  <r>
    <s v="O00036"/>
    <x v="4"/>
    <n v="1"/>
    <n v="170.83"/>
    <n v="74.069999999999993"/>
    <x v="3"/>
    <s v="Hot Meal+Snack"/>
    <x v="25"/>
    <x v="2"/>
    <n v="0.05"/>
    <s v="Cash"/>
    <s v="Breakfast"/>
    <n v="162.2885"/>
    <s v="Single"/>
    <s v="Ok"/>
    <n v="74.069999999999993"/>
    <n v="88.218500000000006"/>
  </r>
  <r>
    <s v="O00037"/>
    <x v="4"/>
    <n v="2"/>
    <n v="170.83"/>
    <n v="74.069999999999993"/>
    <x v="3"/>
    <s v="Hot Meal"/>
    <x v="26"/>
    <x v="1"/>
    <n v="0.06"/>
    <s v="UPI"/>
    <s v="Dinner"/>
    <n v="321.16039999999998"/>
    <s v="Single"/>
    <s v="Ok"/>
    <n v="148.13999999999999"/>
    <n v="173.0204"/>
  </r>
  <r>
    <s v="O00038"/>
    <x v="10"/>
    <n v="1"/>
    <n v="22.2"/>
    <n v="9.3800000000000008"/>
    <x v="1"/>
    <s v="Beverage"/>
    <x v="9"/>
    <x v="2"/>
    <n v="0"/>
    <s v="Card"/>
    <s v="Dinner"/>
    <n v="22.2"/>
    <s v="Single"/>
    <s v="Ok"/>
    <n v="9.3800000000000008"/>
    <n v="12.819999999999999"/>
  </r>
  <r>
    <s v="O00038"/>
    <x v="3"/>
    <n v="2"/>
    <n v="32.979999999999997"/>
    <n v="11.84"/>
    <x v="1"/>
    <s v="Beverage"/>
    <x v="9"/>
    <x v="2"/>
    <n v="0"/>
    <s v="Card"/>
    <s v="Dinner"/>
    <n v="65.959999999999994"/>
    <s v="Single"/>
    <s v="Ok"/>
    <n v="23.68"/>
    <n v="42.279999999999994"/>
  </r>
  <r>
    <s v="O00039"/>
    <x v="4"/>
    <n v="3"/>
    <n v="170.83"/>
    <n v="74.069999999999993"/>
    <x v="3"/>
    <s v="Hot Meal"/>
    <x v="27"/>
    <x v="1"/>
    <n v="0.05"/>
    <s v="UPI"/>
    <s v="Breakfast"/>
    <n v="486.8655"/>
    <s v="Single"/>
    <s v="Ok"/>
    <n v="222.20999999999998"/>
    <n v="264.65550000000002"/>
  </r>
  <r>
    <s v="O00040"/>
    <x v="3"/>
    <n v="3"/>
    <n v="32.979999999999997"/>
    <n v="11.84"/>
    <x v="1"/>
    <s v="Beverage+Hot Meal"/>
    <x v="28"/>
    <x v="1"/>
    <n v="7.0000000000000007E-2"/>
    <s v="Card"/>
    <s v="Breakfast"/>
    <n v="92.014199999999988"/>
    <s v="Combo"/>
    <s v="High Discount"/>
    <n v="35.519999999999996"/>
    <n v="56.494199999999992"/>
  </r>
  <r>
    <s v="O00040"/>
    <x v="8"/>
    <n v="1"/>
    <n v="28.43"/>
    <n v="13.89"/>
    <x v="1"/>
    <s v="Beverage+Hot Meal"/>
    <x v="28"/>
    <x v="1"/>
    <n v="7.0000000000000007E-2"/>
    <s v="Card"/>
    <s v="Breakfast"/>
    <n v="26.439899999999998"/>
    <s v="Combo"/>
    <s v="High Discount"/>
    <n v="13.89"/>
    <n v="12.549899999999997"/>
  </r>
  <r>
    <s v="O00040"/>
    <x v="14"/>
    <n v="2"/>
    <n v="256.91000000000003"/>
    <n v="121.24"/>
    <x v="3"/>
    <s v="Beverage+Hot Meal"/>
    <x v="28"/>
    <x v="1"/>
    <n v="7.0000000000000007E-2"/>
    <s v="Card"/>
    <s v="Breakfast"/>
    <n v="477.8526"/>
    <s v="Combo"/>
    <s v="High Discount"/>
    <n v="242.48"/>
    <n v="235.37260000000001"/>
  </r>
  <r>
    <s v="O00040"/>
    <x v="1"/>
    <n v="1"/>
    <n v="30.34"/>
    <n v="14.18"/>
    <x v="1"/>
    <s v="Beverage+Hot Meal"/>
    <x v="28"/>
    <x v="1"/>
    <n v="7.0000000000000007E-2"/>
    <s v="Card"/>
    <s v="Breakfast"/>
    <n v="28.216199999999997"/>
    <s v="Combo"/>
    <s v="High Discount"/>
    <n v="14.18"/>
    <n v="14.036199999999997"/>
  </r>
  <r>
    <s v="O00041"/>
    <x v="3"/>
    <n v="3"/>
    <n v="32.979999999999997"/>
    <n v="11.84"/>
    <x v="1"/>
    <s v="Beverage+Snack"/>
    <x v="1"/>
    <x v="2"/>
    <n v="0.12"/>
    <s v="Card"/>
    <s v="Breakfast"/>
    <n v="87.0672"/>
    <s v="Single"/>
    <s v="Ok"/>
    <n v="35.519999999999996"/>
    <n v="51.547200000000004"/>
  </r>
  <r>
    <s v="O00041"/>
    <x v="7"/>
    <n v="1"/>
    <n v="70.540000000000006"/>
    <n v="35.81"/>
    <x v="0"/>
    <s v="Beverage+Snack"/>
    <x v="1"/>
    <x v="2"/>
    <n v="0.12"/>
    <s v="Card"/>
    <s v="Breakfast"/>
    <n v="62.075200000000002"/>
    <s v="Single"/>
    <s v="Ok"/>
    <n v="35.81"/>
    <n v="26.2652"/>
  </r>
  <r>
    <s v="O00042"/>
    <x v="11"/>
    <n v="1"/>
    <n v="57.07"/>
    <n v="29.14"/>
    <x v="2"/>
    <s v="Beverage+Dessert+Hot Meal"/>
    <x v="29"/>
    <x v="0"/>
    <n v="0.04"/>
    <s v="Card"/>
    <s v="Lunch"/>
    <n v="54.787199999999999"/>
    <s v="Combo"/>
    <s v="Ok"/>
    <n v="29.14"/>
    <n v="25.647199999999998"/>
  </r>
  <r>
    <s v="O00042"/>
    <x v="10"/>
    <n v="1"/>
    <n v="22.2"/>
    <n v="9.3800000000000008"/>
    <x v="1"/>
    <s v="Beverage+Dessert+Hot Meal"/>
    <x v="29"/>
    <x v="0"/>
    <n v="0.04"/>
    <s v="Card"/>
    <s v="Lunch"/>
    <n v="21.311999999999998"/>
    <s v="Combo"/>
    <s v="Ok"/>
    <n v="9.3800000000000008"/>
    <n v="11.931999999999997"/>
  </r>
  <r>
    <s v="O00042"/>
    <x v="15"/>
    <n v="1"/>
    <n v="227.61"/>
    <n v="96.22"/>
    <x v="3"/>
    <s v="Beverage+Dessert+Hot Meal"/>
    <x v="29"/>
    <x v="0"/>
    <n v="0.04"/>
    <s v="Card"/>
    <s v="Lunch"/>
    <n v="218.50560000000002"/>
    <s v="Combo"/>
    <s v="Ok"/>
    <n v="96.22"/>
    <n v="122.28560000000002"/>
  </r>
  <r>
    <s v="O00042"/>
    <x v="12"/>
    <n v="1"/>
    <n v="54.2"/>
    <n v="21.95"/>
    <x v="2"/>
    <s v="Beverage+Dessert+Hot Meal"/>
    <x v="29"/>
    <x v="0"/>
    <n v="0.04"/>
    <s v="Card"/>
    <s v="Lunch"/>
    <n v="52.032000000000004"/>
    <s v="Combo"/>
    <s v="Ok"/>
    <n v="21.95"/>
    <n v="30.082000000000004"/>
  </r>
  <r>
    <s v="O00043"/>
    <x v="10"/>
    <n v="1"/>
    <n v="22.2"/>
    <n v="9.3800000000000008"/>
    <x v="1"/>
    <s v="Beverage"/>
    <x v="30"/>
    <x v="2"/>
    <n v="0.03"/>
    <s v="Cash"/>
    <s v="Breakfast"/>
    <n v="21.533999999999999"/>
    <s v="Single"/>
    <s v="Ok"/>
    <n v="9.3800000000000008"/>
    <n v="12.153999999999998"/>
  </r>
  <r>
    <s v="O00044"/>
    <x v="10"/>
    <n v="1"/>
    <n v="22.2"/>
    <n v="9.3800000000000008"/>
    <x v="1"/>
    <s v="Beverage+Snack"/>
    <x v="27"/>
    <x v="1"/>
    <n v="0.04"/>
    <s v="Cash"/>
    <s v="Breakfast"/>
    <n v="21.311999999999998"/>
    <s v="Single"/>
    <s v="Ok"/>
    <n v="9.3800000000000008"/>
    <n v="11.931999999999997"/>
  </r>
  <r>
    <s v="O00044"/>
    <x v="0"/>
    <n v="1"/>
    <n v="52.45"/>
    <n v="25.8"/>
    <x v="0"/>
    <s v="Beverage+Snack"/>
    <x v="27"/>
    <x v="1"/>
    <n v="0.04"/>
    <s v="Cash"/>
    <s v="Breakfast"/>
    <n v="50.352000000000004"/>
    <s v="Single"/>
    <s v="Ok"/>
    <n v="25.8"/>
    <n v="24.552000000000003"/>
  </r>
  <r>
    <s v="O00044"/>
    <x v="7"/>
    <n v="1"/>
    <n v="70.540000000000006"/>
    <n v="35.81"/>
    <x v="0"/>
    <s v="Beverage+Snack"/>
    <x v="27"/>
    <x v="1"/>
    <n v="0.04"/>
    <s v="Cash"/>
    <s v="Breakfast"/>
    <n v="67.718400000000003"/>
    <s v="Single"/>
    <s v="Ok"/>
    <n v="35.81"/>
    <n v="31.9084"/>
  </r>
  <r>
    <s v="O00045"/>
    <x v="9"/>
    <n v="3"/>
    <n v="20.11"/>
    <n v="8"/>
    <x v="1"/>
    <s v="Beverage+Dessert"/>
    <x v="31"/>
    <x v="1"/>
    <n v="0.1"/>
    <s v="Cash"/>
    <s v="Breakfast"/>
    <n v="54.296999999999997"/>
    <s v="Single"/>
    <s v="Ok"/>
    <n v="24"/>
    <n v="30.296999999999997"/>
  </r>
  <r>
    <s v="O00045"/>
    <x v="3"/>
    <n v="2"/>
    <n v="32.979999999999997"/>
    <n v="11.84"/>
    <x v="1"/>
    <s v="Beverage+Dessert"/>
    <x v="31"/>
    <x v="1"/>
    <n v="0.1"/>
    <s v="Cash"/>
    <s v="Breakfast"/>
    <n v="59.363999999999997"/>
    <s v="Single"/>
    <s v="Ok"/>
    <n v="23.68"/>
    <n v="35.683999999999997"/>
  </r>
  <r>
    <s v="O00045"/>
    <x v="13"/>
    <n v="2"/>
    <n v="116.8"/>
    <n v="48.97"/>
    <x v="2"/>
    <s v="Beverage+Dessert"/>
    <x v="31"/>
    <x v="1"/>
    <n v="0.1"/>
    <s v="Cash"/>
    <s v="Breakfast"/>
    <n v="210.24"/>
    <s v="Single"/>
    <s v="Ok"/>
    <n v="97.94"/>
    <n v="112.30000000000001"/>
  </r>
  <r>
    <s v="O00046"/>
    <x v="17"/>
    <n v="1"/>
    <n v="39.950000000000003"/>
    <n v="15.51"/>
    <x v="0"/>
    <s v="Snack"/>
    <x v="32"/>
    <x v="1"/>
    <n v="7.0000000000000007E-2"/>
    <s v="Card"/>
    <s v="Breakfast"/>
    <n v="37.153500000000001"/>
    <s v="Single"/>
    <s v="Ok"/>
    <n v="15.51"/>
    <n v="21.643500000000003"/>
  </r>
  <r>
    <s v="O00047"/>
    <x v="14"/>
    <n v="2"/>
    <n v="256.91000000000003"/>
    <n v="121.24"/>
    <x v="3"/>
    <s v="Dessert+Hot Meal+Snack"/>
    <x v="33"/>
    <x v="1"/>
    <n v="0.04"/>
    <s v="UPI"/>
    <s v="Breakfast"/>
    <n v="493.2672"/>
    <s v="Single"/>
    <s v="Ok"/>
    <n v="242.48"/>
    <n v="250.78720000000001"/>
  </r>
  <r>
    <s v="O00047"/>
    <x v="0"/>
    <n v="1"/>
    <n v="52.45"/>
    <n v="25.8"/>
    <x v="0"/>
    <s v="Dessert+Hot Meal+Snack"/>
    <x v="33"/>
    <x v="1"/>
    <n v="0.04"/>
    <s v="UPI"/>
    <s v="Breakfast"/>
    <n v="50.352000000000004"/>
    <s v="Single"/>
    <s v="Ok"/>
    <n v="25.8"/>
    <n v="24.552000000000003"/>
  </r>
  <r>
    <s v="O00047"/>
    <x v="12"/>
    <n v="1"/>
    <n v="54.2"/>
    <n v="21.95"/>
    <x v="2"/>
    <s v="Dessert+Hot Meal+Snack"/>
    <x v="33"/>
    <x v="1"/>
    <n v="0.04"/>
    <s v="UPI"/>
    <s v="Breakfast"/>
    <n v="52.032000000000004"/>
    <s v="Single"/>
    <s v="Ok"/>
    <n v="21.95"/>
    <n v="30.082000000000004"/>
  </r>
  <r>
    <s v="O00048"/>
    <x v="5"/>
    <n v="1"/>
    <n v="38.06"/>
    <n v="19.55"/>
    <x v="0"/>
    <s v="Beverage+Snack"/>
    <x v="20"/>
    <x v="1"/>
    <n v="0.08"/>
    <s v="Cash"/>
    <s v="Breakfast"/>
    <n v="35.0152"/>
    <s v="Single"/>
    <s v="Ok"/>
    <n v="19.55"/>
    <n v="15.465199999999999"/>
  </r>
  <r>
    <s v="O00048"/>
    <x v="18"/>
    <n v="2"/>
    <n v="50.19"/>
    <n v="22.61"/>
    <x v="0"/>
    <s v="Beverage+Snack"/>
    <x v="20"/>
    <x v="1"/>
    <n v="0.08"/>
    <s v="Cash"/>
    <s v="Breakfast"/>
    <n v="92.349599999999995"/>
    <s v="Single"/>
    <s v="Ok"/>
    <n v="45.22"/>
    <n v="47.129599999999996"/>
  </r>
  <r>
    <s v="O00048"/>
    <x v="8"/>
    <n v="2"/>
    <n v="28.43"/>
    <n v="13.89"/>
    <x v="1"/>
    <s v="Beverage+Snack"/>
    <x v="20"/>
    <x v="1"/>
    <n v="0.08"/>
    <s v="Cash"/>
    <s v="Breakfast"/>
    <n v="52.311199999999999"/>
    <s v="Single"/>
    <s v="Ok"/>
    <n v="27.78"/>
    <n v="24.531199999999998"/>
  </r>
  <r>
    <s v="O00049"/>
    <x v="15"/>
    <n v="1"/>
    <n v="227.61"/>
    <n v="96.22"/>
    <x v="3"/>
    <s v="Beverage+Hot Meal"/>
    <x v="29"/>
    <x v="0"/>
    <n v="0.06"/>
    <s v="Cash"/>
    <s v="Lunch"/>
    <n v="213.95339999999999"/>
    <s v="Combo"/>
    <s v="Ok"/>
    <n v="96.22"/>
    <n v="117.73339999999999"/>
  </r>
  <r>
    <s v="O00049"/>
    <x v="3"/>
    <n v="2"/>
    <n v="32.979999999999997"/>
    <n v="11.84"/>
    <x v="1"/>
    <s v="Beverage+Hot Meal"/>
    <x v="29"/>
    <x v="0"/>
    <n v="0.06"/>
    <s v="Cash"/>
    <s v="Lunch"/>
    <n v="62.002399999999987"/>
    <s v="Combo"/>
    <s v="Ok"/>
    <n v="23.68"/>
    <n v="38.322399999999988"/>
  </r>
  <r>
    <s v="O00050"/>
    <x v="2"/>
    <n v="1"/>
    <n v="76.55"/>
    <n v="38.229999999999997"/>
    <x v="2"/>
    <s v="Beverage+Dessert"/>
    <x v="34"/>
    <x v="1"/>
    <n v="0.1"/>
    <s v="UPI"/>
    <s v="Breakfast"/>
    <n v="68.894999999999996"/>
    <s v="Single"/>
    <s v="Ok"/>
    <n v="38.229999999999997"/>
    <n v="30.664999999999999"/>
  </r>
  <r>
    <s v="O00050"/>
    <x v="3"/>
    <n v="1"/>
    <n v="32.979999999999997"/>
    <n v="11.84"/>
    <x v="1"/>
    <s v="Beverage+Dessert"/>
    <x v="34"/>
    <x v="1"/>
    <n v="0.1"/>
    <s v="UPI"/>
    <s v="Breakfast"/>
    <n v="29.681999999999999"/>
    <s v="Single"/>
    <s v="Ok"/>
    <n v="11.84"/>
    <n v="17.841999999999999"/>
  </r>
  <r>
    <s v="O00051"/>
    <x v="6"/>
    <n v="1"/>
    <n v="246.09"/>
    <n v="112.08"/>
    <x v="3"/>
    <s v="Dessert+Hot Meal"/>
    <x v="35"/>
    <x v="0"/>
    <n v="0.03"/>
    <s v="Cash"/>
    <s v="Lunch"/>
    <n v="238.7073"/>
    <s v="Single"/>
    <s v="Ok"/>
    <n v="112.08"/>
    <n v="126.62730000000001"/>
  </r>
  <r>
    <s v="O00051"/>
    <x v="13"/>
    <n v="1"/>
    <n v="116.8"/>
    <n v="48.97"/>
    <x v="2"/>
    <s v="Dessert+Hot Meal"/>
    <x v="35"/>
    <x v="0"/>
    <n v="0.03"/>
    <s v="Cash"/>
    <s v="Lunch"/>
    <n v="113.29599999999999"/>
    <s v="Single"/>
    <s v="Ok"/>
    <n v="48.97"/>
    <n v="64.325999999999993"/>
  </r>
  <r>
    <s v="O00051"/>
    <x v="2"/>
    <n v="3"/>
    <n v="76.55"/>
    <n v="38.229999999999997"/>
    <x v="2"/>
    <s v="Dessert+Hot Meal"/>
    <x v="35"/>
    <x v="0"/>
    <n v="0.03"/>
    <s v="Cash"/>
    <s v="Lunch"/>
    <n v="222.76049999999998"/>
    <s v="Single"/>
    <s v="Ok"/>
    <n v="114.69"/>
    <n v="108.07049999999998"/>
  </r>
  <r>
    <s v="O00052"/>
    <x v="7"/>
    <n v="2"/>
    <n v="70.540000000000006"/>
    <n v="35.81"/>
    <x v="0"/>
    <s v="Snack"/>
    <x v="11"/>
    <x v="2"/>
    <n v="0.05"/>
    <s v="Cash"/>
    <s v="Breakfast"/>
    <n v="134.02600000000001"/>
    <s v="Single"/>
    <s v="Ok"/>
    <n v="71.62"/>
    <n v="62.406000000000006"/>
  </r>
  <r>
    <s v="O00052"/>
    <x v="0"/>
    <n v="1"/>
    <n v="52.45"/>
    <n v="25.8"/>
    <x v="0"/>
    <s v="Snack"/>
    <x v="11"/>
    <x v="2"/>
    <n v="0.05"/>
    <s v="Cash"/>
    <s v="Breakfast"/>
    <n v="49.827500000000001"/>
    <s v="Single"/>
    <s v="Ok"/>
    <n v="25.8"/>
    <n v="24.0275"/>
  </r>
  <r>
    <s v="O00053"/>
    <x v="0"/>
    <n v="2"/>
    <n v="52.45"/>
    <n v="25.8"/>
    <x v="0"/>
    <s v="Snack"/>
    <x v="8"/>
    <x v="0"/>
    <n v="0.04"/>
    <s v="UPI"/>
    <s v="Breakfast"/>
    <n v="100.70400000000001"/>
    <s v="Single"/>
    <s v="Ok"/>
    <n v="51.6"/>
    <n v="49.104000000000006"/>
  </r>
  <r>
    <s v="O00054"/>
    <x v="5"/>
    <n v="1"/>
    <n v="38.06"/>
    <n v="19.55"/>
    <x v="0"/>
    <s v="Dessert+Snack"/>
    <x v="36"/>
    <x v="1"/>
    <n v="0"/>
    <s v="UPI"/>
    <s v="Lunch"/>
    <n v="38.06"/>
    <s v="Single"/>
    <s v="Ok"/>
    <n v="19.55"/>
    <n v="18.510000000000002"/>
  </r>
  <r>
    <s v="O00054"/>
    <x v="13"/>
    <n v="2"/>
    <n v="116.8"/>
    <n v="48.97"/>
    <x v="2"/>
    <s v="Dessert+Snack"/>
    <x v="36"/>
    <x v="1"/>
    <n v="0"/>
    <s v="UPI"/>
    <s v="Lunch"/>
    <n v="233.6"/>
    <s v="Single"/>
    <s v="Ok"/>
    <n v="97.94"/>
    <n v="135.66"/>
  </r>
  <r>
    <s v="O00055"/>
    <x v="14"/>
    <n v="2"/>
    <n v="256.91000000000003"/>
    <n v="121.24"/>
    <x v="3"/>
    <s v="Hot Meal"/>
    <x v="16"/>
    <x v="0"/>
    <n v="7.0000000000000007E-2"/>
    <s v="UPI"/>
    <s v="Dinner"/>
    <n v="477.8526"/>
    <s v="Single"/>
    <s v="High Discount"/>
    <n v="242.48"/>
    <n v="235.37260000000001"/>
  </r>
  <r>
    <s v="O00055"/>
    <x v="6"/>
    <n v="1"/>
    <n v="246.09"/>
    <n v="112.08"/>
    <x v="3"/>
    <s v="Hot Meal"/>
    <x v="16"/>
    <x v="0"/>
    <n v="7.0000000000000007E-2"/>
    <s v="UPI"/>
    <s v="Dinner"/>
    <n v="228.86369999999999"/>
    <s v="Single"/>
    <s v="High Discount"/>
    <n v="112.08"/>
    <n v="116.7837"/>
  </r>
  <r>
    <s v="O00056"/>
    <x v="13"/>
    <n v="3"/>
    <n v="116.8"/>
    <n v="48.97"/>
    <x v="2"/>
    <s v="Dessert+Hot Meal"/>
    <x v="19"/>
    <x v="1"/>
    <n v="7.0000000000000007E-2"/>
    <s v="Card"/>
    <s v="Lunch"/>
    <n v="325.87199999999996"/>
    <s v="Single"/>
    <s v="Ok"/>
    <n v="146.91"/>
    <n v="178.96199999999996"/>
  </r>
  <r>
    <s v="O00056"/>
    <x v="16"/>
    <n v="1"/>
    <n v="146.4"/>
    <n v="80.92"/>
    <x v="3"/>
    <s v="Dessert+Hot Meal"/>
    <x v="19"/>
    <x v="1"/>
    <n v="7.0000000000000007E-2"/>
    <s v="Card"/>
    <s v="Lunch"/>
    <n v="136.15199999999999"/>
    <s v="Single"/>
    <s v="Ok"/>
    <n v="80.92"/>
    <n v="55.231999999999985"/>
  </r>
  <r>
    <s v="O00057"/>
    <x v="18"/>
    <n v="1"/>
    <n v="50.19"/>
    <n v="22.61"/>
    <x v="0"/>
    <s v="Beverage+Dessert+Snack"/>
    <x v="14"/>
    <x v="0"/>
    <n v="0.06"/>
    <s v="UPI"/>
    <s v="Breakfast"/>
    <n v="47.178599999999996"/>
    <s v="Single"/>
    <s v="Ok"/>
    <n v="22.61"/>
    <n v="24.568599999999996"/>
  </r>
  <r>
    <s v="O00057"/>
    <x v="1"/>
    <n v="3"/>
    <n v="30.34"/>
    <n v="14.18"/>
    <x v="1"/>
    <s v="Beverage+Dessert+Snack"/>
    <x v="14"/>
    <x v="0"/>
    <n v="0.06"/>
    <s v="UPI"/>
    <s v="Breakfast"/>
    <n v="85.558799999999991"/>
    <s v="Single"/>
    <s v="Ok"/>
    <n v="42.54"/>
    <n v="43.018799999999992"/>
  </r>
  <r>
    <s v="O00057"/>
    <x v="5"/>
    <n v="1"/>
    <n v="38.06"/>
    <n v="19.55"/>
    <x v="0"/>
    <s v="Beverage+Dessert+Snack"/>
    <x v="14"/>
    <x v="0"/>
    <n v="0.06"/>
    <s v="UPI"/>
    <s v="Breakfast"/>
    <n v="35.776400000000002"/>
    <s v="Single"/>
    <s v="Ok"/>
    <n v="19.55"/>
    <n v="16.226400000000002"/>
  </r>
  <r>
    <s v="O00057"/>
    <x v="2"/>
    <n v="1"/>
    <n v="76.55"/>
    <n v="38.229999999999997"/>
    <x v="2"/>
    <s v="Beverage+Dessert+Snack"/>
    <x v="14"/>
    <x v="0"/>
    <n v="0.06"/>
    <s v="UPI"/>
    <s v="Breakfast"/>
    <n v="71.956999999999994"/>
    <s v="Single"/>
    <s v="Ok"/>
    <n v="38.229999999999997"/>
    <n v="33.726999999999997"/>
  </r>
  <r>
    <s v="O00058"/>
    <x v="6"/>
    <n v="1"/>
    <n v="246.09"/>
    <n v="112.08"/>
    <x v="3"/>
    <s v="Hot Meal"/>
    <x v="13"/>
    <x v="1"/>
    <n v="0.05"/>
    <s v="Card"/>
    <s v="Dinner"/>
    <n v="233.78549999999998"/>
    <s v="Single"/>
    <s v="Ok"/>
    <n v="112.08"/>
    <n v="121.70549999999999"/>
  </r>
  <r>
    <s v="O00059"/>
    <x v="2"/>
    <n v="2"/>
    <n v="76.55"/>
    <n v="38.229999999999997"/>
    <x v="2"/>
    <s v="Dessert+Hot Meal"/>
    <x v="37"/>
    <x v="1"/>
    <n v="0"/>
    <s v="UPI"/>
    <s v="Lunch"/>
    <n v="153.1"/>
    <s v="Single"/>
    <s v="Ok"/>
    <n v="76.459999999999994"/>
    <n v="76.64"/>
  </r>
  <r>
    <s v="O00059"/>
    <x v="12"/>
    <n v="1"/>
    <n v="54.2"/>
    <n v="21.95"/>
    <x v="2"/>
    <s v="Dessert+Hot Meal"/>
    <x v="37"/>
    <x v="1"/>
    <n v="0"/>
    <s v="UPI"/>
    <s v="Lunch"/>
    <n v="54.2"/>
    <s v="Single"/>
    <s v="Ok"/>
    <n v="21.95"/>
    <n v="32.25"/>
  </r>
  <r>
    <s v="O00059"/>
    <x v="15"/>
    <n v="2"/>
    <n v="227.61"/>
    <n v="96.22"/>
    <x v="3"/>
    <s v="Dessert+Hot Meal"/>
    <x v="37"/>
    <x v="1"/>
    <n v="0"/>
    <s v="UPI"/>
    <s v="Lunch"/>
    <n v="455.22"/>
    <s v="Single"/>
    <s v="Ok"/>
    <n v="192.44"/>
    <n v="262.78000000000003"/>
  </r>
  <r>
    <s v="O00060"/>
    <x v="4"/>
    <n v="2"/>
    <n v="170.83"/>
    <n v="74.069999999999993"/>
    <x v="3"/>
    <s v="Hot Meal+Snack"/>
    <x v="38"/>
    <x v="1"/>
    <n v="0.04"/>
    <s v="Card"/>
    <s v="Dinner"/>
    <n v="327.99360000000001"/>
    <s v="Single"/>
    <s v="Ok"/>
    <n v="148.13999999999999"/>
    <n v="179.85360000000003"/>
  </r>
  <r>
    <s v="O00060"/>
    <x v="14"/>
    <n v="1"/>
    <n v="256.91000000000003"/>
    <n v="121.24"/>
    <x v="3"/>
    <s v="Hot Meal+Snack"/>
    <x v="38"/>
    <x v="1"/>
    <n v="0.04"/>
    <s v="Card"/>
    <s v="Dinner"/>
    <n v="246.6336"/>
    <s v="Single"/>
    <s v="Ok"/>
    <n v="121.24"/>
    <n v="125.39360000000001"/>
  </r>
  <r>
    <s v="O00060"/>
    <x v="7"/>
    <n v="2"/>
    <n v="70.540000000000006"/>
    <n v="35.81"/>
    <x v="0"/>
    <s v="Hot Meal+Snack"/>
    <x v="38"/>
    <x v="1"/>
    <n v="0.04"/>
    <s v="Card"/>
    <s v="Dinner"/>
    <n v="135.43680000000001"/>
    <s v="Single"/>
    <s v="Ok"/>
    <n v="71.62"/>
    <n v="63.816800000000001"/>
  </r>
  <r>
    <s v="O00061"/>
    <x v="0"/>
    <n v="1"/>
    <n v="52.45"/>
    <n v="25.8"/>
    <x v="0"/>
    <s v="Beverage+Snack"/>
    <x v="39"/>
    <x v="1"/>
    <n v="0.05"/>
    <s v="UPI"/>
    <s v="Breakfast"/>
    <n v="49.827500000000001"/>
    <s v="Single"/>
    <s v="Ok"/>
    <n v="25.8"/>
    <n v="24.0275"/>
  </r>
  <r>
    <s v="O00061"/>
    <x v="1"/>
    <n v="2"/>
    <n v="30.34"/>
    <n v="14.18"/>
    <x v="1"/>
    <s v="Beverage+Snack"/>
    <x v="39"/>
    <x v="1"/>
    <n v="0.05"/>
    <s v="UPI"/>
    <s v="Breakfast"/>
    <n v="57.645999999999994"/>
    <s v="Single"/>
    <s v="Ok"/>
    <n v="28.36"/>
    <n v="29.285999999999994"/>
  </r>
  <r>
    <s v="O00061"/>
    <x v="17"/>
    <n v="3"/>
    <n v="39.950000000000003"/>
    <n v="15.51"/>
    <x v="0"/>
    <s v="Beverage+Snack"/>
    <x v="39"/>
    <x v="1"/>
    <n v="0.05"/>
    <s v="UPI"/>
    <s v="Breakfast"/>
    <n v="113.8575"/>
    <s v="Single"/>
    <s v="Ok"/>
    <n v="46.53"/>
    <n v="67.327500000000001"/>
  </r>
  <r>
    <s v="O00061"/>
    <x v="3"/>
    <n v="1"/>
    <n v="32.979999999999997"/>
    <n v="11.84"/>
    <x v="1"/>
    <s v="Beverage+Snack"/>
    <x v="39"/>
    <x v="1"/>
    <n v="0.05"/>
    <s v="UPI"/>
    <s v="Breakfast"/>
    <n v="31.330999999999996"/>
    <s v="Single"/>
    <s v="Ok"/>
    <n v="11.84"/>
    <n v="19.490999999999996"/>
  </r>
  <r>
    <s v="O00062"/>
    <x v="13"/>
    <n v="2"/>
    <n v="116.8"/>
    <n v="48.97"/>
    <x v="2"/>
    <s v="Beverage+Dessert"/>
    <x v="19"/>
    <x v="1"/>
    <n v="0.03"/>
    <s v="Cash"/>
    <s v="Dinner"/>
    <n v="226.59199999999998"/>
    <s v="Single"/>
    <s v="Ok"/>
    <n v="97.94"/>
    <n v="128.65199999999999"/>
  </r>
  <r>
    <s v="O00062"/>
    <x v="1"/>
    <n v="2"/>
    <n v="30.34"/>
    <n v="14.18"/>
    <x v="1"/>
    <s v="Beverage+Dessert"/>
    <x v="19"/>
    <x v="1"/>
    <n v="0.03"/>
    <s v="Cash"/>
    <s v="Dinner"/>
    <n v="58.8596"/>
    <s v="Single"/>
    <s v="Ok"/>
    <n v="28.36"/>
    <n v="30.499600000000001"/>
  </r>
  <r>
    <s v="O00063"/>
    <x v="2"/>
    <n v="2"/>
    <n v="76.55"/>
    <n v="38.229999999999997"/>
    <x v="2"/>
    <s v="Dessert"/>
    <x v="33"/>
    <x v="0"/>
    <n v="0.05"/>
    <s v="UPI"/>
    <s v="Dinner"/>
    <n v="145.44499999999999"/>
    <s v="Single"/>
    <s v="Ok"/>
    <n v="76.459999999999994"/>
    <n v="68.984999999999999"/>
  </r>
  <r>
    <s v="O00064"/>
    <x v="9"/>
    <n v="1"/>
    <n v="20.11"/>
    <n v="8"/>
    <x v="1"/>
    <s v="Beverage"/>
    <x v="2"/>
    <x v="2"/>
    <n v="0.08"/>
    <s v="Card"/>
    <s v="Breakfast"/>
    <n v="18.501200000000001"/>
    <s v="Single"/>
    <s v="Ok"/>
    <n v="8"/>
    <n v="10.501200000000001"/>
  </r>
  <r>
    <s v="O00065"/>
    <x v="14"/>
    <n v="2"/>
    <n v="256.91000000000003"/>
    <n v="121.24"/>
    <x v="3"/>
    <s v="Beverage+Hot Meal+Snack"/>
    <x v="32"/>
    <x v="2"/>
    <n v="0.14000000000000001"/>
    <s v="Cash"/>
    <s v="Lunch"/>
    <n v="441.88520000000005"/>
    <s v="Combo"/>
    <s v="High Discount"/>
    <n v="242.48"/>
    <n v="199.40520000000006"/>
  </r>
  <r>
    <s v="O00065"/>
    <x v="7"/>
    <n v="2"/>
    <n v="70.540000000000006"/>
    <n v="35.81"/>
    <x v="0"/>
    <s v="Beverage+Hot Meal+Snack"/>
    <x v="32"/>
    <x v="2"/>
    <n v="0.14000000000000001"/>
    <s v="Cash"/>
    <s v="Lunch"/>
    <n v="121.32880000000002"/>
    <s v="Combo"/>
    <s v="High Discount"/>
    <n v="71.62"/>
    <n v="49.708800000000011"/>
  </r>
  <r>
    <s v="O00065"/>
    <x v="8"/>
    <n v="1"/>
    <n v="28.43"/>
    <n v="13.89"/>
    <x v="1"/>
    <s v="Beverage+Hot Meal+Snack"/>
    <x v="32"/>
    <x v="2"/>
    <n v="0.14000000000000001"/>
    <s v="Cash"/>
    <s v="Lunch"/>
    <n v="24.4498"/>
    <s v="Combo"/>
    <s v="High Discount"/>
    <n v="13.89"/>
    <n v="10.559799999999999"/>
  </r>
  <r>
    <s v="O00066"/>
    <x v="5"/>
    <n v="1"/>
    <n v="38.06"/>
    <n v="19.55"/>
    <x v="0"/>
    <s v="Dessert+Hot Meal+Snack"/>
    <x v="40"/>
    <x v="0"/>
    <n v="7.0000000000000007E-2"/>
    <s v="Card"/>
    <s v="Breakfast"/>
    <n v="35.395800000000001"/>
    <s v="Single"/>
    <s v="High Discount"/>
    <n v="19.55"/>
    <n v="15.845800000000001"/>
  </r>
  <r>
    <s v="O00066"/>
    <x v="16"/>
    <n v="3"/>
    <n v="146.4"/>
    <n v="80.92"/>
    <x v="3"/>
    <s v="Dessert+Hot Meal+Snack"/>
    <x v="40"/>
    <x v="0"/>
    <n v="7.0000000000000007E-2"/>
    <s v="Card"/>
    <s v="Breakfast"/>
    <n v="408.45600000000002"/>
    <s v="Single"/>
    <s v="High Discount"/>
    <n v="242.76"/>
    <n v="165.69600000000003"/>
  </r>
  <r>
    <s v="O00066"/>
    <x v="2"/>
    <n v="2"/>
    <n v="76.55"/>
    <n v="38.229999999999997"/>
    <x v="2"/>
    <s v="Dessert+Hot Meal+Snack"/>
    <x v="40"/>
    <x v="0"/>
    <n v="7.0000000000000007E-2"/>
    <s v="Card"/>
    <s v="Breakfast"/>
    <n v="142.38299999999998"/>
    <s v="Single"/>
    <s v="High Discount"/>
    <n v="76.459999999999994"/>
    <n v="65.922999999999988"/>
  </r>
  <r>
    <s v="O00066"/>
    <x v="15"/>
    <n v="2"/>
    <n v="227.61"/>
    <n v="96.22"/>
    <x v="3"/>
    <s v="Dessert+Hot Meal+Snack"/>
    <x v="40"/>
    <x v="0"/>
    <n v="7.0000000000000007E-2"/>
    <s v="Card"/>
    <s v="Breakfast"/>
    <n v="423.3546"/>
    <s v="Single"/>
    <s v="High Discount"/>
    <n v="192.44"/>
    <n v="230.91460000000001"/>
  </r>
  <r>
    <s v="O00067"/>
    <x v="7"/>
    <n v="1"/>
    <n v="70.540000000000006"/>
    <n v="35.81"/>
    <x v="0"/>
    <s v="Beverage+Dessert+Snack"/>
    <x v="11"/>
    <x v="2"/>
    <n v="7.0000000000000007E-2"/>
    <s v="UPI"/>
    <s v="Breakfast"/>
    <n v="65.602199999999996"/>
    <s v="Single"/>
    <s v="Ok"/>
    <n v="35.81"/>
    <n v="29.792199999999994"/>
  </r>
  <r>
    <s v="O00067"/>
    <x v="8"/>
    <n v="1"/>
    <n v="28.43"/>
    <n v="13.89"/>
    <x v="1"/>
    <s v="Beverage+Dessert+Snack"/>
    <x v="11"/>
    <x v="2"/>
    <n v="7.0000000000000007E-2"/>
    <s v="UPI"/>
    <s v="Breakfast"/>
    <n v="26.439899999999998"/>
    <s v="Single"/>
    <s v="Ok"/>
    <n v="13.89"/>
    <n v="12.549899999999997"/>
  </r>
  <r>
    <s v="O00067"/>
    <x v="1"/>
    <n v="1"/>
    <n v="30.34"/>
    <n v="14.18"/>
    <x v="1"/>
    <s v="Beverage+Dessert+Snack"/>
    <x v="11"/>
    <x v="2"/>
    <n v="7.0000000000000007E-2"/>
    <s v="UPI"/>
    <s v="Breakfast"/>
    <n v="28.216199999999997"/>
    <s v="Single"/>
    <s v="Ok"/>
    <n v="14.18"/>
    <n v="14.036199999999997"/>
  </r>
  <r>
    <s v="O00067"/>
    <x v="13"/>
    <n v="2"/>
    <n v="116.8"/>
    <n v="48.97"/>
    <x v="2"/>
    <s v="Beverage+Dessert+Snack"/>
    <x v="11"/>
    <x v="2"/>
    <n v="7.0000000000000007E-2"/>
    <s v="UPI"/>
    <s v="Breakfast"/>
    <n v="217.24799999999999"/>
    <s v="Single"/>
    <s v="Ok"/>
    <n v="97.94"/>
    <n v="119.30799999999999"/>
  </r>
  <r>
    <s v="O00068"/>
    <x v="4"/>
    <n v="1"/>
    <n v="170.83"/>
    <n v="74.069999999999993"/>
    <x v="3"/>
    <s v="Beverage+Hot Meal+Snack"/>
    <x v="41"/>
    <x v="1"/>
    <n v="0.06"/>
    <s v="Cash"/>
    <s v="Breakfast"/>
    <n v="160.58019999999999"/>
    <s v="Combo"/>
    <s v="Ok"/>
    <n v="74.069999999999993"/>
    <n v="86.510199999999998"/>
  </r>
  <r>
    <s v="O00068"/>
    <x v="18"/>
    <n v="1"/>
    <n v="50.19"/>
    <n v="22.61"/>
    <x v="0"/>
    <s v="Beverage+Hot Meal+Snack"/>
    <x v="41"/>
    <x v="1"/>
    <n v="0.06"/>
    <s v="Cash"/>
    <s v="Breakfast"/>
    <n v="47.178599999999996"/>
    <s v="Combo"/>
    <s v="Ok"/>
    <n v="22.61"/>
    <n v="24.568599999999996"/>
  </r>
  <r>
    <s v="O00068"/>
    <x v="1"/>
    <n v="1"/>
    <n v="30.34"/>
    <n v="14.18"/>
    <x v="1"/>
    <s v="Beverage+Hot Meal+Snack"/>
    <x v="41"/>
    <x v="1"/>
    <n v="0.06"/>
    <s v="Cash"/>
    <s v="Breakfast"/>
    <n v="28.519599999999997"/>
    <s v="Combo"/>
    <s v="Ok"/>
    <n v="14.18"/>
    <n v="14.339599999999997"/>
  </r>
  <r>
    <s v="O00068"/>
    <x v="16"/>
    <n v="1"/>
    <n v="146.4"/>
    <n v="80.92"/>
    <x v="3"/>
    <s v="Beverage+Hot Meal+Snack"/>
    <x v="41"/>
    <x v="1"/>
    <n v="0.06"/>
    <s v="Cash"/>
    <s v="Breakfast"/>
    <n v="137.61599999999999"/>
    <s v="Combo"/>
    <s v="Ok"/>
    <n v="80.92"/>
    <n v="56.695999999999984"/>
  </r>
  <r>
    <s v="O00069"/>
    <x v="6"/>
    <n v="3"/>
    <n v="246.09"/>
    <n v="112.08"/>
    <x v="3"/>
    <s v="Hot Meal+Snack"/>
    <x v="28"/>
    <x v="1"/>
    <n v="0"/>
    <s v="Cash"/>
    <s v="Lunch"/>
    <n v="738.27"/>
    <s v="Single"/>
    <s v="Ok"/>
    <n v="336.24"/>
    <n v="402.03"/>
  </r>
  <r>
    <s v="O00069"/>
    <x v="14"/>
    <n v="2"/>
    <n v="256.91000000000003"/>
    <n v="121.24"/>
    <x v="3"/>
    <s v="Hot Meal+Snack"/>
    <x v="28"/>
    <x v="1"/>
    <n v="0"/>
    <s v="Cash"/>
    <s v="Lunch"/>
    <n v="513.82000000000005"/>
    <s v="Single"/>
    <s v="Ok"/>
    <n v="242.48"/>
    <n v="271.34000000000003"/>
  </r>
  <r>
    <s v="O00069"/>
    <x v="7"/>
    <n v="2"/>
    <n v="70.540000000000006"/>
    <n v="35.81"/>
    <x v="0"/>
    <s v="Hot Meal+Snack"/>
    <x v="28"/>
    <x v="1"/>
    <n v="0"/>
    <s v="Cash"/>
    <s v="Lunch"/>
    <n v="141.08000000000001"/>
    <s v="Single"/>
    <s v="Ok"/>
    <n v="71.62"/>
    <n v="69.460000000000008"/>
  </r>
  <r>
    <s v="O00069"/>
    <x v="16"/>
    <n v="1"/>
    <n v="146.4"/>
    <n v="80.92"/>
    <x v="3"/>
    <s v="Hot Meal+Snack"/>
    <x v="28"/>
    <x v="1"/>
    <n v="0"/>
    <s v="Cash"/>
    <s v="Lunch"/>
    <n v="146.4"/>
    <s v="Single"/>
    <s v="Ok"/>
    <n v="80.92"/>
    <n v="65.48"/>
  </r>
  <r>
    <s v="O00070"/>
    <x v="9"/>
    <n v="3"/>
    <n v="20.11"/>
    <n v="8"/>
    <x v="1"/>
    <s v="Beverage"/>
    <x v="39"/>
    <x v="2"/>
    <n v="0.06"/>
    <s v="Cash"/>
    <s v="Breakfast"/>
    <n v="56.710199999999993"/>
    <s v="Single"/>
    <s v="Ok"/>
    <n v="24"/>
    <n v="32.710199999999993"/>
  </r>
  <r>
    <s v="O00071"/>
    <x v="4"/>
    <n v="1"/>
    <n v="170.83"/>
    <n v="74.069999999999993"/>
    <x v="3"/>
    <s v="Dessert+Hot Meal"/>
    <x v="17"/>
    <x v="2"/>
    <n v="0.06"/>
    <s v="UPI"/>
    <s v="Lunch"/>
    <n v="160.58019999999999"/>
    <s v="Single"/>
    <s v="Ok"/>
    <n v="74.069999999999993"/>
    <n v="86.510199999999998"/>
  </r>
  <r>
    <s v="O00071"/>
    <x v="2"/>
    <n v="2"/>
    <n v="76.55"/>
    <n v="38.229999999999997"/>
    <x v="2"/>
    <s v="Dessert+Hot Meal"/>
    <x v="17"/>
    <x v="2"/>
    <n v="0.06"/>
    <s v="UPI"/>
    <s v="Lunch"/>
    <n v="143.91399999999999"/>
    <s v="Single"/>
    <s v="Ok"/>
    <n v="76.459999999999994"/>
    <n v="67.453999999999994"/>
  </r>
  <r>
    <s v="O00072"/>
    <x v="4"/>
    <n v="2"/>
    <n v="170.83"/>
    <n v="74.069999999999993"/>
    <x v="3"/>
    <s v="Beverage+Hot Meal"/>
    <x v="18"/>
    <x v="0"/>
    <n v="0.16"/>
    <s v="Card"/>
    <s v="Lunch"/>
    <n v="286.99439999999998"/>
    <s v="Combo"/>
    <s v="High Discount"/>
    <n v="148.13999999999999"/>
    <n v="138.8544"/>
  </r>
  <r>
    <s v="O00072"/>
    <x v="1"/>
    <n v="1"/>
    <n v="30.34"/>
    <n v="14.18"/>
    <x v="1"/>
    <s v="Beverage+Hot Meal"/>
    <x v="18"/>
    <x v="0"/>
    <n v="0.16"/>
    <s v="Card"/>
    <s v="Lunch"/>
    <n v="25.485599999999998"/>
    <s v="Combo"/>
    <s v="High Discount"/>
    <n v="14.18"/>
    <n v="11.305599999999998"/>
  </r>
  <r>
    <s v="O00072"/>
    <x v="8"/>
    <n v="1"/>
    <n v="28.43"/>
    <n v="13.89"/>
    <x v="1"/>
    <s v="Beverage+Hot Meal"/>
    <x v="18"/>
    <x v="0"/>
    <n v="0.16"/>
    <s v="Card"/>
    <s v="Lunch"/>
    <n v="23.8812"/>
    <s v="Combo"/>
    <s v="High Discount"/>
    <n v="13.89"/>
    <n v="9.9911999999999992"/>
  </r>
  <r>
    <s v="O00073"/>
    <x v="18"/>
    <n v="2"/>
    <n v="50.19"/>
    <n v="22.61"/>
    <x v="0"/>
    <s v="Snack"/>
    <x v="9"/>
    <x v="0"/>
    <n v="0.05"/>
    <s v="Cash"/>
    <s v="Dinner"/>
    <n v="95.36099999999999"/>
    <s v="Single"/>
    <s v="Ok"/>
    <n v="45.22"/>
    <n v="50.140999999999991"/>
  </r>
  <r>
    <s v="O00074"/>
    <x v="10"/>
    <n v="1"/>
    <n v="22.2"/>
    <n v="9.3800000000000008"/>
    <x v="1"/>
    <s v="Beverage+Hot Meal+Snack"/>
    <x v="42"/>
    <x v="1"/>
    <n v="7.0000000000000007E-2"/>
    <s v="UPI"/>
    <s v="Dinner"/>
    <n v="20.645999999999997"/>
    <s v="Combo"/>
    <s v="High Discount"/>
    <n v="9.3800000000000008"/>
    <n v="11.265999999999996"/>
  </r>
  <r>
    <s v="O00074"/>
    <x v="0"/>
    <n v="1"/>
    <n v="52.45"/>
    <n v="25.8"/>
    <x v="0"/>
    <s v="Beverage+Hot Meal+Snack"/>
    <x v="42"/>
    <x v="1"/>
    <n v="7.0000000000000007E-2"/>
    <s v="UPI"/>
    <s v="Dinner"/>
    <n v="48.778500000000001"/>
    <s v="Combo"/>
    <s v="High Discount"/>
    <n v="25.8"/>
    <n v="22.9785"/>
  </r>
  <r>
    <s v="O00074"/>
    <x v="7"/>
    <n v="2"/>
    <n v="70.540000000000006"/>
    <n v="35.81"/>
    <x v="0"/>
    <s v="Beverage+Hot Meal+Snack"/>
    <x v="42"/>
    <x v="1"/>
    <n v="7.0000000000000007E-2"/>
    <s v="UPI"/>
    <s v="Dinner"/>
    <n v="131.20439999999999"/>
    <s v="Combo"/>
    <s v="High Discount"/>
    <n v="71.62"/>
    <n v="59.584399999999988"/>
  </r>
  <r>
    <s v="O00074"/>
    <x v="15"/>
    <n v="3"/>
    <n v="227.61"/>
    <n v="96.22"/>
    <x v="3"/>
    <s v="Beverage+Hot Meal+Snack"/>
    <x v="42"/>
    <x v="1"/>
    <n v="7.0000000000000007E-2"/>
    <s v="UPI"/>
    <s v="Dinner"/>
    <n v="635.03189999999995"/>
    <s v="Combo"/>
    <s v="High Discount"/>
    <n v="288.65999999999997"/>
    <n v="346.37189999999998"/>
  </r>
  <r>
    <s v="O00075"/>
    <x v="8"/>
    <n v="2"/>
    <n v="28.43"/>
    <n v="13.89"/>
    <x v="1"/>
    <s v="Beverage+Hot Meal+Snack"/>
    <x v="43"/>
    <x v="1"/>
    <n v="0.06"/>
    <s v="Cash"/>
    <s v="Dinner"/>
    <n v="53.448399999999999"/>
    <s v="Combo"/>
    <s v="Ok"/>
    <n v="27.78"/>
    <n v="25.668399999999998"/>
  </r>
  <r>
    <s v="O00075"/>
    <x v="16"/>
    <n v="2"/>
    <n v="146.4"/>
    <n v="80.92"/>
    <x v="3"/>
    <s v="Beverage+Hot Meal+Snack"/>
    <x v="43"/>
    <x v="1"/>
    <n v="0.06"/>
    <s v="Cash"/>
    <s v="Dinner"/>
    <n v="275.23199999999997"/>
    <s v="Combo"/>
    <s v="Ok"/>
    <n v="161.84"/>
    <n v="113.39199999999997"/>
  </r>
  <r>
    <s v="O00075"/>
    <x v="5"/>
    <n v="2"/>
    <n v="38.06"/>
    <n v="19.55"/>
    <x v="0"/>
    <s v="Beverage+Hot Meal+Snack"/>
    <x v="43"/>
    <x v="1"/>
    <n v="0.06"/>
    <s v="Cash"/>
    <s v="Dinner"/>
    <n v="71.552800000000005"/>
    <s v="Combo"/>
    <s v="Ok"/>
    <n v="39.1"/>
    <n v="32.452800000000003"/>
  </r>
  <r>
    <s v="O00075"/>
    <x v="17"/>
    <n v="3"/>
    <n v="39.950000000000003"/>
    <n v="15.51"/>
    <x v="0"/>
    <s v="Beverage+Hot Meal+Snack"/>
    <x v="43"/>
    <x v="1"/>
    <n v="0.06"/>
    <s v="Cash"/>
    <s v="Dinner"/>
    <n v="112.65900000000001"/>
    <s v="Combo"/>
    <s v="Ok"/>
    <n v="46.53"/>
    <n v="66.129000000000005"/>
  </r>
  <r>
    <s v="O00076"/>
    <x v="12"/>
    <n v="1"/>
    <n v="54.2"/>
    <n v="21.95"/>
    <x v="2"/>
    <s v="Dessert+Hot Meal+Snack"/>
    <x v="35"/>
    <x v="2"/>
    <n v="0.01"/>
    <s v="Card"/>
    <s v="Dinner"/>
    <n v="53.658000000000001"/>
    <s v="Single"/>
    <s v="Ok"/>
    <n v="21.95"/>
    <n v="31.708000000000002"/>
  </r>
  <r>
    <s v="O00076"/>
    <x v="18"/>
    <n v="1"/>
    <n v="50.19"/>
    <n v="22.61"/>
    <x v="0"/>
    <s v="Dessert+Hot Meal+Snack"/>
    <x v="35"/>
    <x v="2"/>
    <n v="0.01"/>
    <s v="Card"/>
    <s v="Dinner"/>
    <n v="49.688099999999999"/>
    <s v="Single"/>
    <s v="Ok"/>
    <n v="22.61"/>
    <n v="27.078099999999999"/>
  </r>
  <r>
    <s v="O00076"/>
    <x v="16"/>
    <n v="2"/>
    <n v="146.4"/>
    <n v="80.92"/>
    <x v="3"/>
    <s v="Dessert+Hot Meal+Snack"/>
    <x v="35"/>
    <x v="2"/>
    <n v="0.01"/>
    <s v="Card"/>
    <s v="Dinner"/>
    <n v="289.87200000000001"/>
    <s v="Single"/>
    <s v="Ok"/>
    <n v="161.84"/>
    <n v="128.03200000000001"/>
  </r>
  <r>
    <s v="O00077"/>
    <x v="3"/>
    <n v="1"/>
    <n v="32.979999999999997"/>
    <n v="11.84"/>
    <x v="1"/>
    <s v="Beverage+Snack"/>
    <x v="30"/>
    <x v="1"/>
    <n v="0.11"/>
    <s v="UPI"/>
    <s v="Lunch"/>
    <n v="29.352199999999996"/>
    <s v="Single"/>
    <s v="Ok"/>
    <n v="11.84"/>
    <n v="17.512199999999996"/>
  </r>
  <r>
    <s v="O00077"/>
    <x v="7"/>
    <n v="1"/>
    <n v="70.540000000000006"/>
    <n v="35.81"/>
    <x v="0"/>
    <s v="Beverage+Snack"/>
    <x v="30"/>
    <x v="1"/>
    <n v="0.11"/>
    <s v="UPI"/>
    <s v="Lunch"/>
    <n v="62.780600000000007"/>
    <s v="Single"/>
    <s v="Ok"/>
    <n v="35.81"/>
    <n v="26.970600000000005"/>
  </r>
  <r>
    <s v="O00078"/>
    <x v="18"/>
    <n v="1"/>
    <n v="50.19"/>
    <n v="22.61"/>
    <x v="0"/>
    <s v="Beverage+Snack"/>
    <x v="0"/>
    <x v="2"/>
    <n v="0.09"/>
    <s v="Card"/>
    <s v="Dinner"/>
    <n v="45.672899999999998"/>
    <s v="Single"/>
    <s v="Ok"/>
    <n v="22.61"/>
    <n v="23.062899999999999"/>
  </r>
  <r>
    <s v="O00078"/>
    <x v="3"/>
    <n v="3"/>
    <n v="32.979999999999997"/>
    <n v="11.84"/>
    <x v="1"/>
    <s v="Beverage+Snack"/>
    <x v="0"/>
    <x v="2"/>
    <n v="0.09"/>
    <s v="Card"/>
    <s v="Dinner"/>
    <n v="90.035399999999996"/>
    <s v="Single"/>
    <s v="Ok"/>
    <n v="35.519999999999996"/>
    <n v="54.5154"/>
  </r>
  <r>
    <s v="O00079"/>
    <x v="5"/>
    <n v="1"/>
    <n v="38.06"/>
    <n v="19.55"/>
    <x v="0"/>
    <s v="Beverage+Snack"/>
    <x v="7"/>
    <x v="2"/>
    <n v="0.09"/>
    <s v="Card"/>
    <s v="Breakfast"/>
    <n v="34.634600000000006"/>
    <s v="Single"/>
    <s v="Ok"/>
    <n v="19.55"/>
    <n v="15.084600000000005"/>
  </r>
  <r>
    <s v="O00079"/>
    <x v="8"/>
    <n v="2"/>
    <n v="28.43"/>
    <n v="13.89"/>
    <x v="1"/>
    <s v="Beverage+Snack"/>
    <x v="7"/>
    <x v="2"/>
    <n v="0.09"/>
    <s v="Card"/>
    <s v="Breakfast"/>
    <n v="51.742600000000003"/>
    <s v="Single"/>
    <s v="Ok"/>
    <n v="27.78"/>
    <n v="23.962600000000002"/>
  </r>
  <r>
    <s v="O00080"/>
    <x v="10"/>
    <n v="2"/>
    <n v="22.2"/>
    <n v="9.3800000000000008"/>
    <x v="1"/>
    <s v="Beverage+Hot Meal"/>
    <x v="20"/>
    <x v="1"/>
    <n v="0.02"/>
    <s v="Cash"/>
    <s v="Dinner"/>
    <n v="43.512"/>
    <s v="Combo"/>
    <s v="Ok"/>
    <n v="18.760000000000002"/>
    <n v="24.751999999999999"/>
  </r>
  <r>
    <s v="O00080"/>
    <x v="3"/>
    <n v="2"/>
    <n v="32.979999999999997"/>
    <n v="11.84"/>
    <x v="1"/>
    <s v="Beverage+Hot Meal"/>
    <x v="20"/>
    <x v="1"/>
    <n v="0.02"/>
    <s v="Cash"/>
    <s v="Dinner"/>
    <n v="64.640799999999999"/>
    <s v="Combo"/>
    <s v="Ok"/>
    <n v="23.68"/>
    <n v="40.960799999999999"/>
  </r>
  <r>
    <s v="O00080"/>
    <x v="14"/>
    <n v="1"/>
    <n v="256.91000000000003"/>
    <n v="121.24"/>
    <x v="3"/>
    <s v="Beverage+Hot Meal"/>
    <x v="20"/>
    <x v="1"/>
    <n v="0.02"/>
    <s v="Cash"/>
    <s v="Dinner"/>
    <n v="251.77180000000001"/>
    <s v="Combo"/>
    <s v="Ok"/>
    <n v="121.24"/>
    <n v="130.53180000000003"/>
  </r>
  <r>
    <s v="O00080"/>
    <x v="1"/>
    <n v="2"/>
    <n v="30.34"/>
    <n v="14.18"/>
    <x v="1"/>
    <s v="Beverage+Hot Meal"/>
    <x v="20"/>
    <x v="1"/>
    <n v="0.02"/>
    <s v="Cash"/>
    <s v="Dinner"/>
    <n v="59.4664"/>
    <s v="Combo"/>
    <s v="Ok"/>
    <n v="28.36"/>
    <n v="31.106400000000001"/>
  </r>
  <r>
    <s v="O00081"/>
    <x v="18"/>
    <n v="1"/>
    <n v="50.19"/>
    <n v="22.61"/>
    <x v="0"/>
    <s v="Snack"/>
    <x v="9"/>
    <x v="1"/>
    <n v="0.12"/>
    <s v="UPI"/>
    <s v="Breakfast"/>
    <n v="44.167200000000001"/>
    <s v="Single"/>
    <s v="Ok"/>
    <n v="22.61"/>
    <n v="21.557200000000002"/>
  </r>
  <r>
    <s v="O00082"/>
    <x v="17"/>
    <n v="3"/>
    <n v="39.950000000000003"/>
    <n v="15.51"/>
    <x v="0"/>
    <s v="Snack"/>
    <x v="11"/>
    <x v="1"/>
    <n v="0"/>
    <s v="Cash"/>
    <s v="Breakfast"/>
    <n v="119.85000000000001"/>
    <s v="Single"/>
    <s v="Ok"/>
    <n v="46.53"/>
    <n v="73.320000000000007"/>
  </r>
  <r>
    <s v="O00083"/>
    <x v="1"/>
    <n v="1"/>
    <n v="30.34"/>
    <n v="14.18"/>
    <x v="1"/>
    <s v="Beverage+Hot Meal"/>
    <x v="38"/>
    <x v="1"/>
    <n v="0.08"/>
    <s v="UPI"/>
    <s v="Breakfast"/>
    <n v="27.912800000000001"/>
    <s v="Combo"/>
    <s v="Ok"/>
    <n v="14.18"/>
    <n v="13.732800000000001"/>
  </r>
  <r>
    <s v="O00083"/>
    <x v="16"/>
    <n v="2"/>
    <n v="146.4"/>
    <n v="80.92"/>
    <x v="3"/>
    <s v="Beverage+Hot Meal"/>
    <x v="38"/>
    <x v="1"/>
    <n v="0.08"/>
    <s v="UPI"/>
    <s v="Breakfast"/>
    <n v="269.37600000000003"/>
    <s v="Combo"/>
    <s v="Ok"/>
    <n v="161.84"/>
    <n v="107.53600000000003"/>
  </r>
  <r>
    <s v="O00084"/>
    <x v="1"/>
    <n v="1"/>
    <n v="30.34"/>
    <n v="14.18"/>
    <x v="1"/>
    <s v="Beverage+Dessert+Snack"/>
    <x v="34"/>
    <x v="2"/>
    <n v="0.15"/>
    <s v="Cash"/>
    <s v="Dinner"/>
    <n v="25.788999999999998"/>
    <s v="Single"/>
    <s v="Ok"/>
    <n v="14.18"/>
    <n v="11.608999999999998"/>
  </r>
  <r>
    <s v="O00084"/>
    <x v="2"/>
    <n v="2"/>
    <n v="76.55"/>
    <n v="38.229999999999997"/>
    <x v="2"/>
    <s v="Beverage+Dessert+Snack"/>
    <x v="34"/>
    <x v="2"/>
    <n v="0.15"/>
    <s v="Cash"/>
    <s v="Dinner"/>
    <n v="130.13499999999999"/>
    <s v="Single"/>
    <s v="Ok"/>
    <n v="76.459999999999994"/>
    <n v="53.674999999999997"/>
  </r>
  <r>
    <s v="O00084"/>
    <x v="0"/>
    <n v="1"/>
    <n v="52.45"/>
    <n v="25.8"/>
    <x v="0"/>
    <s v="Beverage+Dessert+Snack"/>
    <x v="34"/>
    <x v="2"/>
    <n v="0.15"/>
    <s v="Cash"/>
    <s v="Dinner"/>
    <n v="44.582500000000003"/>
    <s v="Single"/>
    <s v="Ok"/>
    <n v="25.8"/>
    <n v="18.782500000000002"/>
  </r>
  <r>
    <s v="O00085"/>
    <x v="12"/>
    <n v="1"/>
    <n v="54.2"/>
    <n v="21.95"/>
    <x v="2"/>
    <s v="Dessert+Snack"/>
    <x v="35"/>
    <x v="1"/>
    <n v="0.02"/>
    <s v="Card"/>
    <s v="Lunch"/>
    <n v="53.116"/>
    <s v="Single"/>
    <s v="Ok"/>
    <n v="21.95"/>
    <n v="31.166"/>
  </r>
  <r>
    <s v="O00085"/>
    <x v="18"/>
    <n v="2"/>
    <n v="50.19"/>
    <n v="22.61"/>
    <x v="0"/>
    <s v="Dessert+Snack"/>
    <x v="35"/>
    <x v="1"/>
    <n v="0.02"/>
    <s v="Card"/>
    <s v="Lunch"/>
    <n v="98.372399999999999"/>
    <s v="Single"/>
    <s v="Ok"/>
    <n v="45.22"/>
    <n v="53.1524"/>
  </r>
  <r>
    <s v="O00086"/>
    <x v="3"/>
    <n v="1"/>
    <n v="32.979999999999997"/>
    <n v="11.84"/>
    <x v="1"/>
    <s v="Beverage+Dessert"/>
    <x v="14"/>
    <x v="0"/>
    <n v="0.04"/>
    <s v="Card"/>
    <s v="Lunch"/>
    <n v="31.660799999999995"/>
    <s v="Single"/>
    <s v="Ok"/>
    <n v="11.84"/>
    <n v="19.820799999999995"/>
  </r>
  <r>
    <s v="O00086"/>
    <x v="2"/>
    <n v="2"/>
    <n v="76.55"/>
    <n v="38.229999999999997"/>
    <x v="2"/>
    <s v="Beverage+Dessert"/>
    <x v="14"/>
    <x v="0"/>
    <n v="0.04"/>
    <s v="Card"/>
    <s v="Lunch"/>
    <n v="146.976"/>
    <s v="Single"/>
    <s v="Ok"/>
    <n v="76.459999999999994"/>
    <n v="70.516000000000005"/>
  </r>
  <r>
    <s v="O00087"/>
    <x v="0"/>
    <n v="2"/>
    <n v="52.45"/>
    <n v="25.8"/>
    <x v="0"/>
    <s v="Beverage+Snack"/>
    <x v="20"/>
    <x v="2"/>
    <n v="0.06"/>
    <s v="UPI"/>
    <s v="Breakfast"/>
    <n v="98.605999999999995"/>
    <s v="Single"/>
    <s v="Ok"/>
    <n v="51.6"/>
    <n v="47.005999999999993"/>
  </r>
  <r>
    <s v="O00087"/>
    <x v="10"/>
    <n v="1"/>
    <n v="22.2"/>
    <n v="9.3800000000000008"/>
    <x v="1"/>
    <s v="Beverage+Snack"/>
    <x v="20"/>
    <x v="2"/>
    <n v="0.06"/>
    <s v="UPI"/>
    <s v="Breakfast"/>
    <n v="20.867999999999999"/>
    <s v="Single"/>
    <s v="Ok"/>
    <n v="9.3800000000000008"/>
    <n v="11.487999999999998"/>
  </r>
  <r>
    <s v="O00087"/>
    <x v="7"/>
    <n v="2"/>
    <n v="70.540000000000006"/>
    <n v="35.81"/>
    <x v="0"/>
    <s v="Beverage+Snack"/>
    <x v="20"/>
    <x v="2"/>
    <n v="0.06"/>
    <s v="UPI"/>
    <s v="Breakfast"/>
    <n v="132.61520000000002"/>
    <s v="Single"/>
    <s v="Ok"/>
    <n v="71.62"/>
    <n v="60.995200000000011"/>
  </r>
  <r>
    <s v="O00088"/>
    <x v="15"/>
    <n v="1"/>
    <n v="227.61"/>
    <n v="96.22"/>
    <x v="3"/>
    <s v="Dessert+Hot Meal"/>
    <x v="15"/>
    <x v="0"/>
    <n v="0.04"/>
    <s v="Cash"/>
    <s v="Breakfast"/>
    <n v="218.50560000000002"/>
    <s v="Single"/>
    <s v="Ok"/>
    <n v="96.22"/>
    <n v="122.28560000000002"/>
  </r>
  <r>
    <s v="O00088"/>
    <x v="2"/>
    <n v="1"/>
    <n v="76.55"/>
    <n v="38.229999999999997"/>
    <x v="2"/>
    <s v="Dessert+Hot Meal"/>
    <x v="15"/>
    <x v="0"/>
    <n v="0.04"/>
    <s v="Cash"/>
    <s v="Breakfast"/>
    <n v="73.488"/>
    <s v="Single"/>
    <s v="Ok"/>
    <n v="38.229999999999997"/>
    <n v="35.258000000000003"/>
  </r>
  <r>
    <s v="O00089"/>
    <x v="17"/>
    <n v="1"/>
    <n v="39.950000000000003"/>
    <n v="15.51"/>
    <x v="0"/>
    <s v="Hot Meal+Snack"/>
    <x v="29"/>
    <x v="2"/>
    <n v="0"/>
    <s v="Card"/>
    <s v="Dinner"/>
    <n v="39.950000000000003"/>
    <s v="Single"/>
    <s v="Ok"/>
    <n v="15.51"/>
    <n v="24.440000000000005"/>
  </r>
  <r>
    <s v="O00089"/>
    <x v="14"/>
    <n v="2"/>
    <n v="256.91000000000003"/>
    <n v="121.24"/>
    <x v="3"/>
    <s v="Hot Meal+Snack"/>
    <x v="29"/>
    <x v="2"/>
    <n v="0"/>
    <s v="Card"/>
    <s v="Dinner"/>
    <n v="513.82000000000005"/>
    <s v="Single"/>
    <s v="Ok"/>
    <n v="242.48"/>
    <n v="271.34000000000003"/>
  </r>
  <r>
    <s v="O00089"/>
    <x v="0"/>
    <n v="2"/>
    <n v="52.45"/>
    <n v="25.8"/>
    <x v="0"/>
    <s v="Hot Meal+Snack"/>
    <x v="29"/>
    <x v="2"/>
    <n v="0"/>
    <s v="Card"/>
    <s v="Dinner"/>
    <n v="104.9"/>
    <s v="Single"/>
    <s v="Ok"/>
    <n v="51.6"/>
    <n v="53.300000000000004"/>
  </r>
  <r>
    <s v="O00090"/>
    <x v="15"/>
    <n v="3"/>
    <n v="227.61"/>
    <n v="96.22"/>
    <x v="3"/>
    <s v="Beverage+Hot Meal"/>
    <x v="44"/>
    <x v="1"/>
    <n v="0.06"/>
    <s v="Card"/>
    <s v="Dinner"/>
    <n v="641.86019999999996"/>
    <s v="Combo"/>
    <s v="High Discount"/>
    <n v="288.65999999999997"/>
    <n v="353.2002"/>
  </r>
  <r>
    <s v="O00090"/>
    <x v="3"/>
    <n v="1"/>
    <n v="32.979999999999997"/>
    <n v="11.84"/>
    <x v="1"/>
    <s v="Beverage+Hot Meal"/>
    <x v="44"/>
    <x v="1"/>
    <n v="0.06"/>
    <s v="Card"/>
    <s v="Dinner"/>
    <n v="31.001199999999994"/>
    <s v="Combo"/>
    <s v="High Discount"/>
    <n v="11.84"/>
    <n v="19.161199999999994"/>
  </r>
  <r>
    <s v="O00090"/>
    <x v="10"/>
    <n v="2"/>
    <n v="22.2"/>
    <n v="9.3800000000000008"/>
    <x v="1"/>
    <s v="Beverage+Hot Meal"/>
    <x v="44"/>
    <x v="1"/>
    <n v="0.06"/>
    <s v="Card"/>
    <s v="Dinner"/>
    <n v="41.735999999999997"/>
    <s v="Combo"/>
    <s v="High Discount"/>
    <n v="18.760000000000002"/>
    <n v="22.975999999999996"/>
  </r>
  <r>
    <s v="O00091"/>
    <x v="16"/>
    <n v="2"/>
    <n v="146.4"/>
    <n v="80.92"/>
    <x v="3"/>
    <s v="Hot Meal"/>
    <x v="33"/>
    <x v="1"/>
    <n v="0.02"/>
    <s v="Cash"/>
    <s v="Breakfast"/>
    <n v="286.94400000000002"/>
    <s v="Single"/>
    <s v="Ok"/>
    <n v="161.84"/>
    <n v="125.10400000000001"/>
  </r>
  <r>
    <s v="O00092"/>
    <x v="8"/>
    <n v="2"/>
    <n v="28.43"/>
    <n v="13.89"/>
    <x v="1"/>
    <s v="Beverage+Dessert+Hot Meal"/>
    <x v="45"/>
    <x v="0"/>
    <n v="0.08"/>
    <s v="Cash"/>
    <s v="Breakfast"/>
    <n v="52.311199999999999"/>
    <s v="Combo"/>
    <s v="High Discount"/>
    <n v="27.78"/>
    <n v="24.531199999999998"/>
  </r>
  <r>
    <s v="O00092"/>
    <x v="15"/>
    <n v="2"/>
    <n v="227.61"/>
    <n v="96.22"/>
    <x v="3"/>
    <s v="Beverage+Dessert+Hot Meal"/>
    <x v="45"/>
    <x v="0"/>
    <n v="0.08"/>
    <s v="Cash"/>
    <s v="Breakfast"/>
    <n v="418.80240000000003"/>
    <s v="Combo"/>
    <s v="High Discount"/>
    <n v="192.44"/>
    <n v="226.36240000000004"/>
  </r>
  <r>
    <s v="O00092"/>
    <x v="13"/>
    <n v="2"/>
    <n v="116.8"/>
    <n v="48.97"/>
    <x v="2"/>
    <s v="Beverage+Dessert+Hot Meal"/>
    <x v="45"/>
    <x v="0"/>
    <n v="0.08"/>
    <s v="Cash"/>
    <s v="Breakfast"/>
    <n v="214.91200000000001"/>
    <s v="Combo"/>
    <s v="High Discount"/>
    <n v="97.94"/>
    <n v="116.97200000000001"/>
  </r>
  <r>
    <s v="O00093"/>
    <x v="11"/>
    <n v="2"/>
    <n v="57.07"/>
    <n v="29.14"/>
    <x v="2"/>
    <s v="Dessert+Hot Meal"/>
    <x v="46"/>
    <x v="0"/>
    <n v="0.02"/>
    <s v="UPI"/>
    <s v="Breakfast"/>
    <n v="111.85719999999999"/>
    <s v="Single"/>
    <s v="Ok"/>
    <n v="58.28"/>
    <n v="53.577199999999991"/>
  </r>
  <r>
    <s v="O00093"/>
    <x v="16"/>
    <n v="2"/>
    <n v="146.4"/>
    <n v="80.92"/>
    <x v="3"/>
    <s v="Dessert+Hot Meal"/>
    <x v="46"/>
    <x v="0"/>
    <n v="0.02"/>
    <s v="UPI"/>
    <s v="Breakfast"/>
    <n v="286.94400000000002"/>
    <s v="Single"/>
    <s v="Ok"/>
    <n v="161.84"/>
    <n v="125.10400000000001"/>
  </r>
  <r>
    <s v="O00094"/>
    <x v="18"/>
    <n v="1"/>
    <n v="50.19"/>
    <n v="22.61"/>
    <x v="0"/>
    <s v="Beverage+Dessert+Snack"/>
    <x v="26"/>
    <x v="2"/>
    <n v="0.12"/>
    <s v="Cash"/>
    <s v="Breakfast"/>
    <n v="44.167200000000001"/>
    <s v="Single"/>
    <s v="Ok"/>
    <n v="22.61"/>
    <n v="21.557200000000002"/>
  </r>
  <r>
    <s v="O00094"/>
    <x v="13"/>
    <n v="1"/>
    <n v="116.8"/>
    <n v="48.97"/>
    <x v="2"/>
    <s v="Beverage+Dessert+Snack"/>
    <x v="26"/>
    <x v="2"/>
    <n v="0.12"/>
    <s v="Cash"/>
    <s v="Breakfast"/>
    <n v="102.78399999999999"/>
    <s v="Single"/>
    <s v="Ok"/>
    <n v="48.97"/>
    <n v="53.813999999999993"/>
  </r>
  <r>
    <s v="O00094"/>
    <x v="8"/>
    <n v="1"/>
    <n v="28.43"/>
    <n v="13.89"/>
    <x v="1"/>
    <s v="Beverage+Dessert+Snack"/>
    <x v="26"/>
    <x v="2"/>
    <n v="0.12"/>
    <s v="Cash"/>
    <s v="Breakfast"/>
    <n v="25.0184"/>
    <s v="Single"/>
    <s v="Ok"/>
    <n v="13.89"/>
    <n v="11.128399999999999"/>
  </r>
  <r>
    <s v="O00095"/>
    <x v="17"/>
    <n v="2"/>
    <n v="39.950000000000003"/>
    <n v="15.51"/>
    <x v="0"/>
    <s v="Hot Meal+Snack"/>
    <x v="1"/>
    <x v="2"/>
    <n v="0.03"/>
    <s v="UPI"/>
    <s v="Breakfast"/>
    <n v="77.503"/>
    <s v="Single"/>
    <s v="Ok"/>
    <n v="31.02"/>
    <n v="46.483000000000004"/>
  </r>
  <r>
    <s v="O00095"/>
    <x v="15"/>
    <n v="3"/>
    <n v="227.61"/>
    <n v="96.22"/>
    <x v="3"/>
    <s v="Hot Meal+Snack"/>
    <x v="1"/>
    <x v="2"/>
    <n v="0.03"/>
    <s v="UPI"/>
    <s v="Breakfast"/>
    <n v="662.3451"/>
    <s v="Single"/>
    <s v="Ok"/>
    <n v="288.65999999999997"/>
    <n v="373.68510000000003"/>
  </r>
  <r>
    <s v="O00096"/>
    <x v="6"/>
    <n v="3"/>
    <n v="246.09"/>
    <n v="112.08"/>
    <x v="3"/>
    <s v="Dessert+Hot Meal"/>
    <x v="37"/>
    <x v="2"/>
    <n v="0.05"/>
    <s v="UPI"/>
    <s v="Breakfast"/>
    <n v="701.35649999999998"/>
    <s v="Single"/>
    <s v="High Discount"/>
    <n v="336.24"/>
    <n v="365.11649999999997"/>
  </r>
  <r>
    <s v="O00096"/>
    <x v="12"/>
    <n v="1"/>
    <n v="54.2"/>
    <n v="21.95"/>
    <x v="2"/>
    <s v="Dessert+Hot Meal"/>
    <x v="37"/>
    <x v="2"/>
    <n v="0.05"/>
    <s v="UPI"/>
    <s v="Breakfast"/>
    <n v="51.49"/>
    <s v="Single"/>
    <s v="High Discount"/>
    <n v="21.95"/>
    <n v="29.540000000000003"/>
  </r>
  <r>
    <s v="O00096"/>
    <x v="2"/>
    <n v="1"/>
    <n v="76.55"/>
    <n v="38.229999999999997"/>
    <x v="2"/>
    <s v="Dessert+Hot Meal"/>
    <x v="37"/>
    <x v="2"/>
    <n v="0.05"/>
    <s v="UPI"/>
    <s v="Breakfast"/>
    <n v="72.722499999999997"/>
    <s v="Single"/>
    <s v="High Discount"/>
    <n v="38.229999999999997"/>
    <n v="34.4925"/>
  </r>
  <r>
    <s v="O00097"/>
    <x v="8"/>
    <n v="2"/>
    <n v="28.43"/>
    <n v="13.89"/>
    <x v="1"/>
    <s v="Beverage"/>
    <x v="47"/>
    <x v="2"/>
    <n v="0.09"/>
    <s v="UPI"/>
    <s v="Breakfast"/>
    <n v="51.742600000000003"/>
    <s v="Single"/>
    <s v="Ok"/>
    <n v="27.78"/>
    <n v="23.962600000000002"/>
  </r>
  <r>
    <s v="O00098"/>
    <x v="3"/>
    <n v="3"/>
    <n v="32.979999999999997"/>
    <n v="11.84"/>
    <x v="1"/>
    <s v="Beverage"/>
    <x v="48"/>
    <x v="1"/>
    <n v="0.01"/>
    <s v="UPI"/>
    <s v="Breakfast"/>
    <n v="97.950599999999994"/>
    <s v="Single"/>
    <s v="Ok"/>
    <n v="35.519999999999996"/>
    <n v="62.430599999999998"/>
  </r>
  <r>
    <s v="O00098"/>
    <x v="8"/>
    <n v="3"/>
    <n v="28.43"/>
    <n v="13.89"/>
    <x v="1"/>
    <s v="Beverage"/>
    <x v="48"/>
    <x v="1"/>
    <n v="0.01"/>
    <s v="UPI"/>
    <s v="Breakfast"/>
    <n v="84.437099999999987"/>
    <s v="Single"/>
    <s v="Ok"/>
    <n v="41.67"/>
    <n v="42.767099999999985"/>
  </r>
  <r>
    <s v="O00099"/>
    <x v="11"/>
    <n v="2"/>
    <n v="57.07"/>
    <n v="29.14"/>
    <x v="2"/>
    <s v="Dessert+Hot Meal"/>
    <x v="16"/>
    <x v="0"/>
    <n v="7.0000000000000007E-2"/>
    <s v="Card"/>
    <s v="Lunch"/>
    <n v="106.1502"/>
    <s v="Single"/>
    <s v="Ok"/>
    <n v="58.28"/>
    <n v="47.870199999999997"/>
  </r>
  <r>
    <s v="O00099"/>
    <x v="16"/>
    <n v="1"/>
    <n v="146.4"/>
    <n v="80.92"/>
    <x v="3"/>
    <s v="Dessert+Hot Meal"/>
    <x v="16"/>
    <x v="0"/>
    <n v="7.0000000000000007E-2"/>
    <s v="Card"/>
    <s v="Lunch"/>
    <n v="136.15199999999999"/>
    <s v="Single"/>
    <s v="Ok"/>
    <n v="80.92"/>
    <n v="55.231999999999985"/>
  </r>
  <r>
    <s v="O00100"/>
    <x v="18"/>
    <n v="2"/>
    <n v="50.19"/>
    <n v="22.61"/>
    <x v="0"/>
    <s v="Hot Meal+Snack"/>
    <x v="32"/>
    <x v="2"/>
    <n v="0.11"/>
    <s v="UPI"/>
    <s v="Lunch"/>
    <n v="89.338200000000001"/>
    <s v="Single"/>
    <s v="Ok"/>
    <n v="45.22"/>
    <n v="44.118200000000002"/>
  </r>
  <r>
    <s v="O00100"/>
    <x v="14"/>
    <n v="1"/>
    <n v="256.91000000000003"/>
    <n v="121.24"/>
    <x v="3"/>
    <s v="Hot Meal+Snack"/>
    <x v="32"/>
    <x v="2"/>
    <n v="0.11"/>
    <s v="UPI"/>
    <s v="Lunch"/>
    <n v="228.64990000000003"/>
    <s v="Single"/>
    <s v="Ok"/>
    <n v="121.24"/>
    <n v="107.40990000000004"/>
  </r>
  <r>
    <s v="O00101"/>
    <x v="1"/>
    <n v="1"/>
    <n v="30.34"/>
    <n v="14.18"/>
    <x v="1"/>
    <s v="Beverage+Snack"/>
    <x v="28"/>
    <x v="0"/>
    <n v="0"/>
    <s v="UPI"/>
    <s v="Breakfast"/>
    <n v="30.34"/>
    <s v="Single"/>
    <s v="Ok"/>
    <n v="14.18"/>
    <n v="16.16"/>
  </r>
  <r>
    <s v="O00101"/>
    <x v="7"/>
    <n v="1"/>
    <n v="70.540000000000006"/>
    <n v="35.81"/>
    <x v="0"/>
    <s v="Beverage+Snack"/>
    <x v="28"/>
    <x v="0"/>
    <n v="0"/>
    <s v="UPI"/>
    <s v="Breakfast"/>
    <n v="70.540000000000006"/>
    <s v="Single"/>
    <s v="Ok"/>
    <n v="35.81"/>
    <n v="34.730000000000004"/>
  </r>
  <r>
    <s v="O00101"/>
    <x v="17"/>
    <n v="1"/>
    <n v="39.950000000000003"/>
    <n v="15.51"/>
    <x v="0"/>
    <s v="Beverage+Snack"/>
    <x v="28"/>
    <x v="0"/>
    <n v="0"/>
    <s v="UPI"/>
    <s v="Breakfast"/>
    <n v="39.950000000000003"/>
    <s v="Single"/>
    <s v="Ok"/>
    <n v="15.51"/>
    <n v="24.440000000000005"/>
  </r>
  <r>
    <s v="O00102"/>
    <x v="5"/>
    <n v="2"/>
    <n v="38.06"/>
    <n v="19.55"/>
    <x v="0"/>
    <s v="Snack"/>
    <x v="37"/>
    <x v="2"/>
    <n v="7.0000000000000007E-2"/>
    <s v="UPI"/>
    <s v="Breakfast"/>
    <n v="70.791600000000003"/>
    <s v="Single"/>
    <s v="Ok"/>
    <n v="39.1"/>
    <n v="31.691600000000001"/>
  </r>
  <r>
    <s v="O00103"/>
    <x v="7"/>
    <n v="2"/>
    <n v="70.540000000000006"/>
    <n v="35.81"/>
    <x v="0"/>
    <s v="Snack"/>
    <x v="47"/>
    <x v="2"/>
    <n v="7.0000000000000007E-2"/>
    <s v="UPI"/>
    <s v="Breakfast"/>
    <n v="131.20439999999999"/>
    <s v="Single"/>
    <s v="Ok"/>
    <n v="71.62"/>
    <n v="59.584399999999988"/>
  </r>
  <r>
    <s v="O00104"/>
    <x v="12"/>
    <n v="1"/>
    <n v="54.2"/>
    <n v="21.95"/>
    <x v="2"/>
    <s v="Dessert"/>
    <x v="21"/>
    <x v="1"/>
    <n v="0.09"/>
    <s v="Cash"/>
    <s v="Lunch"/>
    <n v="49.322000000000003"/>
    <s v="Single"/>
    <s v="Ok"/>
    <n v="21.95"/>
    <n v="27.372000000000003"/>
  </r>
  <r>
    <s v="O00105"/>
    <x v="1"/>
    <n v="1"/>
    <n v="30.34"/>
    <n v="14.18"/>
    <x v="1"/>
    <s v="Beverage"/>
    <x v="36"/>
    <x v="0"/>
    <n v="0.01"/>
    <s v="UPI"/>
    <s v="Breakfast"/>
    <n v="30.0366"/>
    <s v="Single"/>
    <s v="Ok"/>
    <n v="14.18"/>
    <n v="15.8566"/>
  </r>
  <r>
    <s v="O00106"/>
    <x v="5"/>
    <n v="3"/>
    <n v="38.06"/>
    <n v="19.55"/>
    <x v="0"/>
    <s v="Beverage+Hot Meal+Snack"/>
    <x v="35"/>
    <x v="2"/>
    <n v="0.01"/>
    <s v="UPI"/>
    <s v="Lunch"/>
    <n v="113.0382"/>
    <s v="Combo"/>
    <s v="Ok"/>
    <n v="58.650000000000006"/>
    <n v="54.388199999999998"/>
  </r>
  <r>
    <s v="O00106"/>
    <x v="8"/>
    <n v="2"/>
    <n v="28.43"/>
    <n v="13.89"/>
    <x v="1"/>
    <s v="Beverage+Hot Meal+Snack"/>
    <x v="35"/>
    <x v="2"/>
    <n v="0.01"/>
    <s v="UPI"/>
    <s v="Lunch"/>
    <n v="56.291399999999996"/>
    <s v="Combo"/>
    <s v="Ok"/>
    <n v="27.78"/>
    <n v="28.511399999999995"/>
  </r>
  <r>
    <s v="O00106"/>
    <x v="14"/>
    <n v="1"/>
    <n v="256.91000000000003"/>
    <n v="121.24"/>
    <x v="3"/>
    <s v="Beverage+Hot Meal+Snack"/>
    <x v="35"/>
    <x v="2"/>
    <n v="0.01"/>
    <s v="UPI"/>
    <s v="Lunch"/>
    <n v="254.34090000000003"/>
    <s v="Combo"/>
    <s v="Ok"/>
    <n v="121.24"/>
    <n v="133.10090000000002"/>
  </r>
  <r>
    <s v="O00107"/>
    <x v="9"/>
    <n v="2"/>
    <n v="20.11"/>
    <n v="8"/>
    <x v="1"/>
    <s v="Beverage"/>
    <x v="20"/>
    <x v="1"/>
    <n v="0.08"/>
    <s v="Card"/>
    <s v="Lunch"/>
    <n v="37.002400000000002"/>
    <s v="Single"/>
    <s v="Ok"/>
    <n v="16"/>
    <n v="21.002400000000002"/>
  </r>
  <r>
    <s v="O00107"/>
    <x v="10"/>
    <n v="1"/>
    <n v="22.2"/>
    <n v="9.3800000000000008"/>
    <x v="1"/>
    <s v="Beverage"/>
    <x v="20"/>
    <x v="1"/>
    <n v="0.08"/>
    <s v="Card"/>
    <s v="Lunch"/>
    <n v="20.423999999999999"/>
    <s v="Single"/>
    <s v="Ok"/>
    <n v="9.3800000000000008"/>
    <n v="11.043999999999999"/>
  </r>
  <r>
    <s v="O00108"/>
    <x v="2"/>
    <n v="1"/>
    <n v="76.55"/>
    <n v="38.229999999999997"/>
    <x v="2"/>
    <s v="Beverage+Dessert+Snack"/>
    <x v="49"/>
    <x v="2"/>
    <n v="7.0000000000000007E-2"/>
    <s v="Card"/>
    <s v="Lunch"/>
    <n v="71.191499999999991"/>
    <s v="Single"/>
    <s v="Ok"/>
    <n v="38.229999999999997"/>
    <n v="32.961499999999994"/>
  </r>
  <r>
    <s v="O00108"/>
    <x v="8"/>
    <n v="1"/>
    <n v="28.43"/>
    <n v="13.89"/>
    <x v="1"/>
    <s v="Beverage+Dessert+Snack"/>
    <x v="49"/>
    <x v="2"/>
    <n v="7.0000000000000007E-2"/>
    <s v="Card"/>
    <s v="Lunch"/>
    <n v="26.439899999999998"/>
    <s v="Single"/>
    <s v="Ok"/>
    <n v="13.89"/>
    <n v="12.549899999999997"/>
  </r>
  <r>
    <s v="O00108"/>
    <x v="7"/>
    <n v="1"/>
    <n v="70.540000000000006"/>
    <n v="35.81"/>
    <x v="0"/>
    <s v="Beverage+Dessert+Snack"/>
    <x v="49"/>
    <x v="2"/>
    <n v="7.0000000000000007E-2"/>
    <s v="Card"/>
    <s v="Lunch"/>
    <n v="65.602199999999996"/>
    <s v="Single"/>
    <s v="Ok"/>
    <n v="35.81"/>
    <n v="29.792199999999994"/>
  </r>
  <r>
    <s v="O00108"/>
    <x v="17"/>
    <n v="1"/>
    <n v="39.950000000000003"/>
    <n v="15.51"/>
    <x v="0"/>
    <s v="Beverage+Dessert+Snack"/>
    <x v="49"/>
    <x v="2"/>
    <n v="7.0000000000000007E-2"/>
    <s v="Card"/>
    <s v="Lunch"/>
    <n v="37.153500000000001"/>
    <s v="Single"/>
    <s v="Ok"/>
    <n v="15.51"/>
    <n v="21.643500000000003"/>
  </r>
  <r>
    <s v="O00109"/>
    <x v="1"/>
    <n v="2"/>
    <n v="30.34"/>
    <n v="14.18"/>
    <x v="1"/>
    <s v="Beverage"/>
    <x v="1"/>
    <x v="1"/>
    <n v="7.0000000000000007E-2"/>
    <s v="UPI"/>
    <s v="Dinner"/>
    <n v="56.432399999999994"/>
    <s v="Single"/>
    <s v="Ok"/>
    <n v="28.36"/>
    <n v="28.072399999999995"/>
  </r>
  <r>
    <s v="O00110"/>
    <x v="1"/>
    <n v="2"/>
    <n v="30.34"/>
    <n v="14.18"/>
    <x v="1"/>
    <s v="Beverage+Dessert+Hot Meal"/>
    <x v="50"/>
    <x v="2"/>
    <n v="7.0000000000000007E-2"/>
    <s v="Card"/>
    <s v="Dinner"/>
    <n v="56.432399999999994"/>
    <s v="Combo"/>
    <s v="High Discount"/>
    <n v="28.36"/>
    <n v="28.072399999999995"/>
  </r>
  <r>
    <s v="O00110"/>
    <x v="15"/>
    <n v="2"/>
    <n v="227.61"/>
    <n v="96.22"/>
    <x v="3"/>
    <s v="Beverage+Dessert+Hot Meal"/>
    <x v="50"/>
    <x v="2"/>
    <n v="7.0000000000000007E-2"/>
    <s v="Card"/>
    <s v="Dinner"/>
    <n v="423.3546"/>
    <s v="Combo"/>
    <s v="High Discount"/>
    <n v="192.44"/>
    <n v="230.91460000000001"/>
  </r>
  <r>
    <s v="O00110"/>
    <x v="11"/>
    <n v="1"/>
    <n v="57.07"/>
    <n v="29.14"/>
    <x v="2"/>
    <s v="Beverage+Dessert+Hot Meal"/>
    <x v="50"/>
    <x v="2"/>
    <n v="7.0000000000000007E-2"/>
    <s v="Card"/>
    <s v="Dinner"/>
    <n v="53.075099999999999"/>
    <s v="Combo"/>
    <s v="High Discount"/>
    <n v="29.14"/>
    <n v="23.935099999999998"/>
  </r>
  <r>
    <s v="O00110"/>
    <x v="6"/>
    <n v="1"/>
    <n v="246.09"/>
    <n v="112.08"/>
    <x v="3"/>
    <s v="Beverage+Dessert+Hot Meal"/>
    <x v="50"/>
    <x v="2"/>
    <n v="7.0000000000000007E-2"/>
    <s v="Card"/>
    <s v="Dinner"/>
    <n v="228.86369999999999"/>
    <s v="Combo"/>
    <s v="High Discount"/>
    <n v="112.08"/>
    <n v="116.7837"/>
  </r>
  <r>
    <s v="O00111"/>
    <x v="16"/>
    <n v="2"/>
    <n v="146.4"/>
    <n v="80.92"/>
    <x v="3"/>
    <s v="Beverage+Hot Meal"/>
    <x v="51"/>
    <x v="2"/>
    <n v="0.03"/>
    <s v="Card"/>
    <s v="Lunch"/>
    <n v="284.01600000000002"/>
    <s v="Combo"/>
    <s v="Ok"/>
    <n v="161.84"/>
    <n v="122.17600000000002"/>
  </r>
  <r>
    <s v="O00111"/>
    <x v="3"/>
    <n v="1"/>
    <n v="32.979999999999997"/>
    <n v="11.84"/>
    <x v="1"/>
    <s v="Beverage+Hot Meal"/>
    <x v="51"/>
    <x v="2"/>
    <n v="0.03"/>
    <s v="Card"/>
    <s v="Lunch"/>
    <n v="31.990599999999997"/>
    <s v="Combo"/>
    <s v="Ok"/>
    <n v="11.84"/>
    <n v="20.150599999999997"/>
  </r>
  <r>
    <s v="O00111"/>
    <x v="9"/>
    <n v="1"/>
    <n v="20.11"/>
    <n v="8"/>
    <x v="1"/>
    <s v="Beverage+Hot Meal"/>
    <x v="51"/>
    <x v="2"/>
    <n v="0.03"/>
    <s v="Card"/>
    <s v="Lunch"/>
    <n v="19.506699999999999"/>
    <s v="Combo"/>
    <s v="Ok"/>
    <n v="8"/>
    <n v="11.506699999999999"/>
  </r>
  <r>
    <s v="O00112"/>
    <x v="13"/>
    <n v="1"/>
    <n v="116.8"/>
    <n v="48.97"/>
    <x v="2"/>
    <s v="Beverage+Dessert+Hot Meal"/>
    <x v="33"/>
    <x v="0"/>
    <n v="7.0000000000000007E-2"/>
    <s v="Card"/>
    <s v="Breakfast"/>
    <n v="108.624"/>
    <s v="Combo"/>
    <s v="Ok"/>
    <n v="48.97"/>
    <n v="59.653999999999996"/>
  </r>
  <r>
    <s v="O00112"/>
    <x v="16"/>
    <n v="2"/>
    <n v="146.4"/>
    <n v="80.92"/>
    <x v="3"/>
    <s v="Beverage+Dessert+Hot Meal"/>
    <x v="33"/>
    <x v="0"/>
    <n v="7.0000000000000007E-2"/>
    <s v="Card"/>
    <s v="Breakfast"/>
    <n v="272.30399999999997"/>
    <s v="Combo"/>
    <s v="Ok"/>
    <n v="161.84"/>
    <n v="110.46399999999997"/>
  </r>
  <r>
    <s v="O00112"/>
    <x v="1"/>
    <n v="1"/>
    <n v="30.34"/>
    <n v="14.18"/>
    <x v="1"/>
    <s v="Beverage+Dessert+Hot Meal"/>
    <x v="33"/>
    <x v="0"/>
    <n v="7.0000000000000007E-2"/>
    <s v="Card"/>
    <s v="Breakfast"/>
    <n v="28.216199999999997"/>
    <s v="Combo"/>
    <s v="Ok"/>
    <n v="14.18"/>
    <n v="14.036199999999997"/>
  </r>
  <r>
    <s v="O00113"/>
    <x v="16"/>
    <n v="1"/>
    <n v="146.4"/>
    <n v="80.92"/>
    <x v="3"/>
    <s v="Dessert+Hot Meal"/>
    <x v="21"/>
    <x v="0"/>
    <n v="7.0000000000000007E-2"/>
    <s v="Cash"/>
    <s v="Breakfast"/>
    <n v="136.15199999999999"/>
    <s v="Single"/>
    <s v="Ok"/>
    <n v="80.92"/>
    <n v="55.231999999999985"/>
  </r>
  <r>
    <s v="O00113"/>
    <x v="4"/>
    <n v="1"/>
    <n v="170.83"/>
    <n v="74.069999999999993"/>
    <x v="3"/>
    <s v="Dessert+Hot Meal"/>
    <x v="21"/>
    <x v="0"/>
    <n v="7.0000000000000007E-2"/>
    <s v="Cash"/>
    <s v="Breakfast"/>
    <n v="158.87190000000001"/>
    <s v="Single"/>
    <s v="Ok"/>
    <n v="74.069999999999993"/>
    <n v="84.801900000000018"/>
  </r>
  <r>
    <s v="O00113"/>
    <x v="13"/>
    <n v="1"/>
    <n v="116.8"/>
    <n v="48.97"/>
    <x v="2"/>
    <s v="Dessert+Hot Meal"/>
    <x v="21"/>
    <x v="0"/>
    <n v="7.0000000000000007E-2"/>
    <s v="Cash"/>
    <s v="Breakfast"/>
    <n v="108.624"/>
    <s v="Single"/>
    <s v="Ok"/>
    <n v="48.97"/>
    <n v="59.653999999999996"/>
  </r>
  <r>
    <s v="O00113"/>
    <x v="11"/>
    <n v="2"/>
    <n v="57.07"/>
    <n v="29.14"/>
    <x v="2"/>
    <s v="Dessert+Hot Meal"/>
    <x v="21"/>
    <x v="0"/>
    <n v="7.0000000000000007E-2"/>
    <s v="Cash"/>
    <s v="Breakfast"/>
    <n v="106.1502"/>
    <s v="Single"/>
    <s v="Ok"/>
    <n v="58.28"/>
    <n v="47.870199999999997"/>
  </r>
  <r>
    <s v="O00114"/>
    <x v="18"/>
    <n v="3"/>
    <n v="50.19"/>
    <n v="22.61"/>
    <x v="0"/>
    <s v="Dessert+Snack"/>
    <x v="14"/>
    <x v="1"/>
    <n v="0.03"/>
    <s v="Cash"/>
    <s v="Dinner"/>
    <n v="146.05289999999999"/>
    <s v="Single"/>
    <s v="Ok"/>
    <n v="67.83"/>
    <n v="78.222899999999996"/>
  </r>
  <r>
    <s v="O00114"/>
    <x v="12"/>
    <n v="2"/>
    <n v="54.2"/>
    <n v="21.95"/>
    <x v="2"/>
    <s v="Dessert+Snack"/>
    <x v="14"/>
    <x v="1"/>
    <n v="0.03"/>
    <s v="Cash"/>
    <s v="Dinner"/>
    <n v="105.148"/>
    <s v="Single"/>
    <s v="Ok"/>
    <n v="43.9"/>
    <n v="61.247999999999998"/>
  </r>
  <r>
    <s v="O00115"/>
    <x v="6"/>
    <n v="2"/>
    <n v="246.09"/>
    <n v="112.08"/>
    <x v="3"/>
    <s v="Beverage+Dessert+Hot Meal"/>
    <x v="51"/>
    <x v="1"/>
    <n v="0.13"/>
    <s v="Cash"/>
    <s v="Dinner"/>
    <n v="428.19659999999999"/>
    <s v="Combo"/>
    <s v="High Discount"/>
    <n v="224.16"/>
    <n v="204.03659999999999"/>
  </r>
  <r>
    <s v="O00115"/>
    <x v="3"/>
    <n v="1"/>
    <n v="32.979999999999997"/>
    <n v="11.84"/>
    <x v="1"/>
    <s v="Beverage+Dessert+Hot Meal"/>
    <x v="51"/>
    <x v="1"/>
    <n v="0.13"/>
    <s v="Cash"/>
    <s v="Dinner"/>
    <n v="28.692599999999999"/>
    <s v="Combo"/>
    <s v="High Discount"/>
    <n v="11.84"/>
    <n v="16.852599999999999"/>
  </r>
  <r>
    <s v="O00115"/>
    <x v="2"/>
    <n v="3"/>
    <n v="76.55"/>
    <n v="38.229999999999997"/>
    <x v="2"/>
    <s v="Beverage+Dessert+Hot Meal"/>
    <x v="51"/>
    <x v="1"/>
    <n v="0.13"/>
    <s v="Cash"/>
    <s v="Dinner"/>
    <n v="199.79549999999998"/>
    <s v="Combo"/>
    <s v="High Discount"/>
    <n v="114.69"/>
    <n v="85.105499999999978"/>
  </r>
  <r>
    <s v="O00115"/>
    <x v="12"/>
    <n v="2"/>
    <n v="54.2"/>
    <n v="21.95"/>
    <x v="2"/>
    <s v="Beverage+Dessert+Hot Meal"/>
    <x v="51"/>
    <x v="1"/>
    <n v="0.13"/>
    <s v="Cash"/>
    <s v="Dinner"/>
    <n v="94.308000000000007"/>
    <s v="Combo"/>
    <s v="High Discount"/>
    <n v="43.9"/>
    <n v="50.408000000000008"/>
  </r>
  <r>
    <s v="O00116"/>
    <x v="17"/>
    <n v="3"/>
    <n v="39.950000000000003"/>
    <n v="15.51"/>
    <x v="0"/>
    <s v="Beverage+Hot Meal+Snack"/>
    <x v="7"/>
    <x v="1"/>
    <n v="0.08"/>
    <s v="Cash"/>
    <s v="Dinner"/>
    <n v="110.26200000000001"/>
    <s v="Combo"/>
    <s v="Ok"/>
    <n v="46.53"/>
    <n v="63.732000000000014"/>
  </r>
  <r>
    <s v="O00116"/>
    <x v="14"/>
    <n v="1"/>
    <n v="256.91000000000003"/>
    <n v="121.24"/>
    <x v="3"/>
    <s v="Beverage+Hot Meal+Snack"/>
    <x v="7"/>
    <x v="1"/>
    <n v="0.08"/>
    <s v="Cash"/>
    <s v="Dinner"/>
    <n v="236.35720000000003"/>
    <s v="Combo"/>
    <s v="Ok"/>
    <n v="121.24"/>
    <n v="115.11720000000004"/>
  </r>
  <r>
    <s v="O00116"/>
    <x v="3"/>
    <n v="1"/>
    <n v="32.979999999999997"/>
    <n v="11.84"/>
    <x v="1"/>
    <s v="Beverage+Hot Meal+Snack"/>
    <x v="7"/>
    <x v="1"/>
    <n v="0.08"/>
    <s v="Cash"/>
    <s v="Dinner"/>
    <n v="30.3416"/>
    <s v="Combo"/>
    <s v="Ok"/>
    <n v="11.84"/>
    <n v="18.5016"/>
  </r>
  <r>
    <s v="O00117"/>
    <x v="13"/>
    <n v="2"/>
    <n v="116.8"/>
    <n v="48.97"/>
    <x v="2"/>
    <s v="Beverage+Dessert+Snack"/>
    <x v="11"/>
    <x v="1"/>
    <n v="0.01"/>
    <s v="UPI"/>
    <s v="Dinner"/>
    <n v="231.26399999999998"/>
    <s v="Single"/>
    <s v="Ok"/>
    <n v="97.94"/>
    <n v="133.32399999999998"/>
  </r>
  <r>
    <s v="O00117"/>
    <x v="18"/>
    <n v="3"/>
    <n v="50.19"/>
    <n v="22.61"/>
    <x v="0"/>
    <s v="Beverage+Dessert+Snack"/>
    <x v="11"/>
    <x v="1"/>
    <n v="0.01"/>
    <s v="UPI"/>
    <s v="Dinner"/>
    <n v="149.0643"/>
    <s v="Single"/>
    <s v="Ok"/>
    <n v="67.83"/>
    <n v="81.234300000000005"/>
  </r>
  <r>
    <s v="O00117"/>
    <x v="9"/>
    <n v="3"/>
    <n v="20.11"/>
    <n v="8"/>
    <x v="1"/>
    <s v="Beverage+Dessert+Snack"/>
    <x v="11"/>
    <x v="1"/>
    <n v="0.01"/>
    <s v="UPI"/>
    <s v="Dinner"/>
    <n v="59.726700000000001"/>
    <s v="Single"/>
    <s v="Ok"/>
    <n v="24"/>
    <n v="35.726700000000001"/>
  </r>
  <r>
    <s v="O00117"/>
    <x v="2"/>
    <n v="3"/>
    <n v="76.55"/>
    <n v="38.229999999999997"/>
    <x v="2"/>
    <s v="Beverage+Dessert+Snack"/>
    <x v="11"/>
    <x v="1"/>
    <n v="0.01"/>
    <s v="UPI"/>
    <s v="Dinner"/>
    <n v="227.35349999999997"/>
    <s v="Single"/>
    <s v="Ok"/>
    <n v="114.69"/>
    <n v="112.66349999999997"/>
  </r>
  <r>
    <s v="O00118"/>
    <x v="0"/>
    <n v="1"/>
    <n v="52.45"/>
    <n v="25.8"/>
    <x v="0"/>
    <s v="Snack"/>
    <x v="22"/>
    <x v="1"/>
    <n v="0.09"/>
    <s v="UPI"/>
    <s v="Lunch"/>
    <n v="47.729500000000002"/>
    <s v="Single"/>
    <s v="Ok"/>
    <n v="25.8"/>
    <n v="21.929500000000001"/>
  </r>
  <r>
    <s v="O00119"/>
    <x v="7"/>
    <n v="1"/>
    <n v="70.540000000000006"/>
    <n v="35.81"/>
    <x v="0"/>
    <s v="Snack"/>
    <x v="31"/>
    <x v="0"/>
    <n v="0.02"/>
    <s v="Card"/>
    <s v="Breakfast"/>
    <n v="69.129200000000012"/>
    <s v="Single"/>
    <s v="Ok"/>
    <n v="35.81"/>
    <n v="33.319200000000009"/>
  </r>
  <r>
    <s v="O00120"/>
    <x v="9"/>
    <n v="1"/>
    <n v="20.11"/>
    <n v="8"/>
    <x v="1"/>
    <s v="Beverage+Snack"/>
    <x v="5"/>
    <x v="2"/>
    <n v="0.09"/>
    <s v="UPI"/>
    <s v="Lunch"/>
    <n v="18.3001"/>
    <s v="Single"/>
    <s v="Ok"/>
    <n v="8"/>
    <n v="10.3001"/>
  </r>
  <r>
    <s v="O00120"/>
    <x v="7"/>
    <n v="1"/>
    <n v="70.540000000000006"/>
    <n v="35.81"/>
    <x v="0"/>
    <s v="Beverage+Snack"/>
    <x v="5"/>
    <x v="2"/>
    <n v="0.09"/>
    <s v="UPI"/>
    <s v="Lunch"/>
    <n v="64.191400000000002"/>
    <s v="Single"/>
    <s v="Ok"/>
    <n v="35.81"/>
    <n v="28.381399999999999"/>
  </r>
  <r>
    <s v="O00121"/>
    <x v="13"/>
    <n v="3"/>
    <n v="116.8"/>
    <n v="48.97"/>
    <x v="2"/>
    <s v="Dessert+Snack"/>
    <x v="16"/>
    <x v="2"/>
    <n v="0.11"/>
    <s v="UPI"/>
    <s v="Dinner"/>
    <n v="311.85599999999999"/>
    <s v="Single"/>
    <s v="High Discount"/>
    <n v="146.91"/>
    <n v="164.946"/>
  </r>
  <r>
    <s v="O00121"/>
    <x v="2"/>
    <n v="1"/>
    <n v="76.55"/>
    <n v="38.229999999999997"/>
    <x v="2"/>
    <s v="Dessert+Snack"/>
    <x v="16"/>
    <x v="2"/>
    <n v="0.11"/>
    <s v="UPI"/>
    <s v="Dinner"/>
    <n v="68.129499999999993"/>
    <s v="Single"/>
    <s v="High Discount"/>
    <n v="38.229999999999997"/>
    <n v="29.899499999999996"/>
  </r>
  <r>
    <s v="O00121"/>
    <x v="5"/>
    <n v="2"/>
    <n v="38.06"/>
    <n v="19.55"/>
    <x v="0"/>
    <s v="Dessert+Snack"/>
    <x v="16"/>
    <x v="2"/>
    <n v="0.11"/>
    <s v="UPI"/>
    <s v="Dinner"/>
    <n v="67.746800000000007"/>
    <s v="Single"/>
    <s v="High Discount"/>
    <n v="39.1"/>
    <n v="28.646800000000006"/>
  </r>
  <r>
    <s v="O00121"/>
    <x v="0"/>
    <n v="2"/>
    <n v="52.45"/>
    <n v="25.8"/>
    <x v="0"/>
    <s v="Dessert+Snack"/>
    <x v="16"/>
    <x v="2"/>
    <n v="0.11"/>
    <s v="UPI"/>
    <s v="Dinner"/>
    <n v="93.361000000000004"/>
    <s v="Single"/>
    <s v="High Discount"/>
    <n v="51.6"/>
    <n v="41.761000000000003"/>
  </r>
  <r>
    <s v="O00122"/>
    <x v="14"/>
    <n v="1"/>
    <n v="256.91000000000003"/>
    <n v="121.24"/>
    <x v="3"/>
    <s v="Beverage+Dessert+Hot Meal"/>
    <x v="13"/>
    <x v="2"/>
    <n v="0.03"/>
    <s v="Card"/>
    <s v="Dinner"/>
    <n v="249.20270000000002"/>
    <s v="Combo"/>
    <s v="Ok"/>
    <n v="121.24"/>
    <n v="127.96270000000003"/>
  </r>
  <r>
    <s v="O00122"/>
    <x v="1"/>
    <n v="1"/>
    <n v="30.34"/>
    <n v="14.18"/>
    <x v="1"/>
    <s v="Beverage+Dessert+Hot Meal"/>
    <x v="13"/>
    <x v="2"/>
    <n v="0.03"/>
    <s v="Card"/>
    <s v="Dinner"/>
    <n v="29.4298"/>
    <s v="Combo"/>
    <s v="Ok"/>
    <n v="14.18"/>
    <n v="15.2498"/>
  </r>
  <r>
    <s v="O00122"/>
    <x v="11"/>
    <n v="2"/>
    <n v="57.07"/>
    <n v="29.14"/>
    <x v="2"/>
    <s v="Beverage+Dessert+Hot Meal"/>
    <x v="13"/>
    <x v="2"/>
    <n v="0.03"/>
    <s v="Card"/>
    <s v="Dinner"/>
    <n v="110.7158"/>
    <s v="Combo"/>
    <s v="Ok"/>
    <n v="58.28"/>
    <n v="52.4358"/>
  </r>
  <r>
    <s v="O00122"/>
    <x v="13"/>
    <n v="2"/>
    <n v="116.8"/>
    <n v="48.97"/>
    <x v="2"/>
    <s v="Beverage+Dessert+Hot Meal"/>
    <x v="13"/>
    <x v="2"/>
    <n v="0.03"/>
    <s v="Card"/>
    <s v="Dinner"/>
    <n v="226.59199999999998"/>
    <s v="Combo"/>
    <s v="Ok"/>
    <n v="97.94"/>
    <n v="128.65199999999999"/>
  </r>
  <r>
    <s v="O00123"/>
    <x v="16"/>
    <n v="1"/>
    <n v="146.4"/>
    <n v="80.92"/>
    <x v="3"/>
    <s v="Dessert+Hot Meal+Snack"/>
    <x v="52"/>
    <x v="0"/>
    <n v="0.1"/>
    <s v="Card"/>
    <s v="Lunch"/>
    <n v="131.76000000000002"/>
    <s v="Single"/>
    <s v="High Discount"/>
    <n v="80.92"/>
    <n v="50.840000000000018"/>
  </r>
  <r>
    <s v="O00123"/>
    <x v="6"/>
    <n v="3"/>
    <n v="246.09"/>
    <n v="112.08"/>
    <x v="3"/>
    <s v="Dessert+Hot Meal+Snack"/>
    <x v="52"/>
    <x v="0"/>
    <n v="0.1"/>
    <s v="Card"/>
    <s v="Lunch"/>
    <n v="664.44299999999998"/>
    <s v="Single"/>
    <s v="High Discount"/>
    <n v="336.24"/>
    <n v="328.20299999999997"/>
  </r>
  <r>
    <s v="O00123"/>
    <x v="0"/>
    <n v="3"/>
    <n v="52.45"/>
    <n v="25.8"/>
    <x v="0"/>
    <s v="Dessert+Hot Meal+Snack"/>
    <x v="52"/>
    <x v="0"/>
    <n v="0.1"/>
    <s v="Card"/>
    <s v="Lunch"/>
    <n v="141.61500000000004"/>
    <s v="Single"/>
    <s v="High Discount"/>
    <n v="77.400000000000006"/>
    <n v="64.215000000000032"/>
  </r>
  <r>
    <s v="O00123"/>
    <x v="12"/>
    <n v="1"/>
    <n v="54.2"/>
    <n v="21.95"/>
    <x v="2"/>
    <s v="Dessert+Hot Meal+Snack"/>
    <x v="52"/>
    <x v="0"/>
    <n v="0.1"/>
    <s v="Card"/>
    <s v="Lunch"/>
    <n v="48.78"/>
    <s v="Single"/>
    <s v="High Discount"/>
    <n v="21.95"/>
    <n v="26.830000000000002"/>
  </r>
  <r>
    <s v="O00124"/>
    <x v="13"/>
    <n v="3"/>
    <n v="116.8"/>
    <n v="48.97"/>
    <x v="2"/>
    <s v="Beverage+Dessert+Hot Meal"/>
    <x v="32"/>
    <x v="1"/>
    <n v="0.08"/>
    <s v="Card"/>
    <s v="Breakfast"/>
    <n v="322.36799999999999"/>
    <s v="Combo"/>
    <s v="High Discount"/>
    <n v="146.91"/>
    <n v="175.458"/>
  </r>
  <r>
    <s v="O00124"/>
    <x v="11"/>
    <n v="1"/>
    <n v="57.07"/>
    <n v="29.14"/>
    <x v="2"/>
    <s v="Beverage+Dessert+Hot Meal"/>
    <x v="32"/>
    <x v="1"/>
    <n v="0.08"/>
    <s v="Card"/>
    <s v="Breakfast"/>
    <n v="52.504400000000004"/>
    <s v="Combo"/>
    <s v="High Discount"/>
    <n v="29.14"/>
    <n v="23.364400000000003"/>
  </r>
  <r>
    <s v="O00124"/>
    <x v="3"/>
    <n v="1"/>
    <n v="32.979999999999997"/>
    <n v="11.84"/>
    <x v="1"/>
    <s v="Beverage+Dessert+Hot Meal"/>
    <x v="32"/>
    <x v="1"/>
    <n v="0.08"/>
    <s v="Card"/>
    <s v="Breakfast"/>
    <n v="30.3416"/>
    <s v="Combo"/>
    <s v="High Discount"/>
    <n v="11.84"/>
    <n v="18.5016"/>
  </r>
  <r>
    <s v="O00124"/>
    <x v="6"/>
    <n v="2"/>
    <n v="246.09"/>
    <n v="112.08"/>
    <x v="3"/>
    <s v="Beverage+Dessert+Hot Meal"/>
    <x v="32"/>
    <x v="1"/>
    <n v="0.08"/>
    <s v="Card"/>
    <s v="Breakfast"/>
    <n v="452.80560000000003"/>
    <s v="Combo"/>
    <s v="High Discount"/>
    <n v="224.16"/>
    <n v="228.64560000000003"/>
  </r>
  <r>
    <s v="O00125"/>
    <x v="13"/>
    <n v="1"/>
    <n v="116.8"/>
    <n v="48.97"/>
    <x v="2"/>
    <s v="Dessert"/>
    <x v="38"/>
    <x v="2"/>
    <n v="0.09"/>
    <s v="UPI"/>
    <s v="Lunch"/>
    <n v="106.288"/>
    <s v="Single"/>
    <s v="Ok"/>
    <n v="48.97"/>
    <n v="57.317999999999998"/>
  </r>
  <r>
    <s v="O00125"/>
    <x v="12"/>
    <n v="1"/>
    <n v="54.2"/>
    <n v="21.95"/>
    <x v="2"/>
    <s v="Dessert"/>
    <x v="38"/>
    <x v="2"/>
    <n v="0.09"/>
    <s v="UPI"/>
    <s v="Lunch"/>
    <n v="49.322000000000003"/>
    <s v="Single"/>
    <s v="Ok"/>
    <n v="21.95"/>
    <n v="27.372000000000003"/>
  </r>
  <r>
    <s v="O00126"/>
    <x v="0"/>
    <n v="1"/>
    <n v="52.45"/>
    <n v="25.8"/>
    <x v="0"/>
    <s v="Dessert+Hot Meal+Snack"/>
    <x v="30"/>
    <x v="2"/>
    <n v="0.14000000000000001"/>
    <s v="UPI"/>
    <s v="Dinner"/>
    <n v="45.106999999999999"/>
    <s v="Single"/>
    <s v="High Discount"/>
    <n v="25.8"/>
    <n v="19.306999999999999"/>
  </r>
  <r>
    <s v="O00126"/>
    <x v="16"/>
    <n v="1"/>
    <n v="146.4"/>
    <n v="80.92"/>
    <x v="3"/>
    <s v="Dessert+Hot Meal+Snack"/>
    <x v="30"/>
    <x v="2"/>
    <n v="0.14000000000000001"/>
    <s v="UPI"/>
    <s v="Dinner"/>
    <n v="125.904"/>
    <s v="Single"/>
    <s v="High Discount"/>
    <n v="80.92"/>
    <n v="44.983999999999995"/>
  </r>
  <r>
    <s v="O00126"/>
    <x v="11"/>
    <n v="3"/>
    <n v="57.07"/>
    <n v="29.14"/>
    <x v="2"/>
    <s v="Dessert+Hot Meal+Snack"/>
    <x v="30"/>
    <x v="2"/>
    <n v="0.14000000000000001"/>
    <s v="UPI"/>
    <s v="Dinner"/>
    <n v="147.2406"/>
    <s v="Single"/>
    <s v="High Discount"/>
    <n v="87.42"/>
    <n v="59.820599999999999"/>
  </r>
  <r>
    <s v="O00127"/>
    <x v="7"/>
    <n v="2"/>
    <n v="70.540000000000006"/>
    <n v="35.81"/>
    <x v="0"/>
    <s v="Beverage+Snack"/>
    <x v="23"/>
    <x v="0"/>
    <n v="0.05"/>
    <s v="Cash"/>
    <s v="Lunch"/>
    <n v="134.02600000000001"/>
    <s v="Single"/>
    <s v="Ok"/>
    <n v="71.62"/>
    <n v="62.406000000000006"/>
  </r>
  <r>
    <s v="O00127"/>
    <x v="1"/>
    <n v="2"/>
    <n v="30.34"/>
    <n v="14.18"/>
    <x v="1"/>
    <s v="Beverage+Snack"/>
    <x v="23"/>
    <x v="0"/>
    <n v="0.05"/>
    <s v="Cash"/>
    <s v="Lunch"/>
    <n v="57.645999999999994"/>
    <s v="Single"/>
    <s v="Ok"/>
    <n v="28.36"/>
    <n v="29.285999999999994"/>
  </r>
  <r>
    <s v="O00128"/>
    <x v="7"/>
    <n v="2"/>
    <n v="70.540000000000006"/>
    <n v="35.81"/>
    <x v="0"/>
    <s v="Beverage+Hot Meal+Snack"/>
    <x v="37"/>
    <x v="1"/>
    <n v="0.03"/>
    <s v="Card"/>
    <s v="Dinner"/>
    <n v="136.8476"/>
    <s v="Combo"/>
    <s v="Ok"/>
    <n v="71.62"/>
    <n v="65.227599999999995"/>
  </r>
  <r>
    <s v="O00128"/>
    <x v="14"/>
    <n v="2"/>
    <n v="256.91000000000003"/>
    <n v="121.24"/>
    <x v="3"/>
    <s v="Beverage+Hot Meal+Snack"/>
    <x v="37"/>
    <x v="1"/>
    <n v="0.03"/>
    <s v="Card"/>
    <s v="Dinner"/>
    <n v="498.40540000000004"/>
    <s v="Combo"/>
    <s v="Ok"/>
    <n v="242.48"/>
    <n v="255.92540000000005"/>
  </r>
  <r>
    <s v="O00128"/>
    <x v="3"/>
    <n v="2"/>
    <n v="32.979999999999997"/>
    <n v="11.84"/>
    <x v="1"/>
    <s v="Beverage+Hot Meal+Snack"/>
    <x v="37"/>
    <x v="1"/>
    <n v="0.03"/>
    <s v="Card"/>
    <s v="Dinner"/>
    <n v="63.981199999999994"/>
    <s v="Combo"/>
    <s v="Ok"/>
    <n v="23.68"/>
    <n v="40.301199999999994"/>
  </r>
  <r>
    <s v="O00129"/>
    <x v="4"/>
    <n v="2"/>
    <n v="170.83"/>
    <n v="74.069999999999993"/>
    <x v="3"/>
    <s v="Dessert+Hot Meal"/>
    <x v="22"/>
    <x v="2"/>
    <n v="0.02"/>
    <s v="Card"/>
    <s v="Breakfast"/>
    <n v="334.82679999999999"/>
    <s v="Single"/>
    <s v="Ok"/>
    <n v="148.13999999999999"/>
    <n v="186.68680000000001"/>
  </r>
  <r>
    <s v="O00129"/>
    <x v="12"/>
    <n v="3"/>
    <n v="54.2"/>
    <n v="21.95"/>
    <x v="2"/>
    <s v="Dessert+Hot Meal"/>
    <x v="22"/>
    <x v="2"/>
    <n v="0.02"/>
    <s v="Card"/>
    <s v="Breakfast"/>
    <n v="159.34800000000001"/>
    <s v="Single"/>
    <s v="Ok"/>
    <n v="65.849999999999994"/>
    <n v="93.498000000000019"/>
  </r>
  <r>
    <s v="O00129"/>
    <x v="6"/>
    <n v="1"/>
    <n v="246.09"/>
    <n v="112.08"/>
    <x v="3"/>
    <s v="Dessert+Hot Meal"/>
    <x v="22"/>
    <x v="2"/>
    <n v="0.02"/>
    <s v="Card"/>
    <s v="Breakfast"/>
    <n v="241.16820000000001"/>
    <s v="Single"/>
    <s v="Ok"/>
    <n v="112.08"/>
    <n v="129.08820000000003"/>
  </r>
  <r>
    <s v="O00130"/>
    <x v="13"/>
    <n v="1"/>
    <n v="116.8"/>
    <n v="48.97"/>
    <x v="2"/>
    <s v="Dessert+Snack"/>
    <x v="25"/>
    <x v="2"/>
    <n v="0.03"/>
    <s v="Card"/>
    <s v="Breakfast"/>
    <n v="113.29599999999999"/>
    <s v="Single"/>
    <s v="Ok"/>
    <n v="48.97"/>
    <n v="64.325999999999993"/>
  </r>
  <r>
    <s v="O00130"/>
    <x v="2"/>
    <n v="3"/>
    <n v="76.55"/>
    <n v="38.229999999999997"/>
    <x v="2"/>
    <s v="Dessert+Snack"/>
    <x v="25"/>
    <x v="2"/>
    <n v="0.03"/>
    <s v="Card"/>
    <s v="Breakfast"/>
    <n v="222.76049999999998"/>
    <s v="Single"/>
    <s v="Ok"/>
    <n v="114.69"/>
    <n v="108.07049999999998"/>
  </r>
  <r>
    <s v="O00130"/>
    <x v="7"/>
    <n v="1"/>
    <n v="70.540000000000006"/>
    <n v="35.81"/>
    <x v="0"/>
    <s v="Dessert+Snack"/>
    <x v="25"/>
    <x v="2"/>
    <n v="0.03"/>
    <s v="Card"/>
    <s v="Breakfast"/>
    <n v="68.4238"/>
    <s v="Single"/>
    <s v="Ok"/>
    <n v="35.81"/>
    <n v="32.613799999999998"/>
  </r>
  <r>
    <s v="O00131"/>
    <x v="14"/>
    <n v="1"/>
    <n v="256.91000000000003"/>
    <n v="121.24"/>
    <x v="3"/>
    <s v="Beverage+Hot Meal"/>
    <x v="11"/>
    <x v="0"/>
    <n v="0.06"/>
    <s v="Cash"/>
    <s v="Breakfast"/>
    <n v="241.49540000000002"/>
    <s v="Combo"/>
    <s v="Ok"/>
    <n v="121.24"/>
    <n v="120.25540000000002"/>
  </r>
  <r>
    <s v="O00131"/>
    <x v="16"/>
    <n v="1"/>
    <n v="146.4"/>
    <n v="80.92"/>
    <x v="3"/>
    <s v="Beverage+Hot Meal"/>
    <x v="11"/>
    <x v="0"/>
    <n v="0.06"/>
    <s v="Cash"/>
    <s v="Breakfast"/>
    <n v="137.61599999999999"/>
    <s v="Combo"/>
    <s v="Ok"/>
    <n v="80.92"/>
    <n v="56.695999999999984"/>
  </r>
  <r>
    <s v="O00131"/>
    <x v="8"/>
    <n v="2"/>
    <n v="28.43"/>
    <n v="13.89"/>
    <x v="1"/>
    <s v="Beverage+Hot Meal"/>
    <x v="11"/>
    <x v="0"/>
    <n v="0.06"/>
    <s v="Cash"/>
    <s v="Breakfast"/>
    <n v="53.448399999999999"/>
    <s v="Combo"/>
    <s v="Ok"/>
    <n v="27.78"/>
    <n v="25.668399999999998"/>
  </r>
  <r>
    <s v="O00131"/>
    <x v="4"/>
    <n v="1"/>
    <n v="170.83"/>
    <n v="74.069999999999993"/>
    <x v="3"/>
    <s v="Beverage+Hot Meal"/>
    <x v="11"/>
    <x v="0"/>
    <n v="0.06"/>
    <s v="Cash"/>
    <s v="Breakfast"/>
    <n v="160.58019999999999"/>
    <s v="Combo"/>
    <s v="Ok"/>
    <n v="74.069999999999993"/>
    <n v="86.510199999999998"/>
  </r>
  <r>
    <s v="O00132"/>
    <x v="14"/>
    <n v="1"/>
    <n v="256.91000000000003"/>
    <n v="121.24"/>
    <x v="3"/>
    <s v="Dessert+Hot Meal"/>
    <x v="53"/>
    <x v="0"/>
    <n v="7.0000000000000007E-2"/>
    <s v="Cash"/>
    <s v="Dinner"/>
    <n v="238.9263"/>
    <s v="Single"/>
    <s v="Ok"/>
    <n v="121.24"/>
    <n v="117.6863"/>
  </r>
  <r>
    <s v="O00132"/>
    <x v="13"/>
    <n v="2"/>
    <n v="116.8"/>
    <n v="48.97"/>
    <x v="2"/>
    <s v="Dessert+Hot Meal"/>
    <x v="53"/>
    <x v="0"/>
    <n v="7.0000000000000007E-2"/>
    <s v="Cash"/>
    <s v="Dinner"/>
    <n v="217.24799999999999"/>
    <s v="Single"/>
    <s v="Ok"/>
    <n v="97.94"/>
    <n v="119.30799999999999"/>
  </r>
  <r>
    <s v="O00133"/>
    <x v="8"/>
    <n v="1"/>
    <n v="28.43"/>
    <n v="13.89"/>
    <x v="1"/>
    <s v="Beverage+Dessert"/>
    <x v="25"/>
    <x v="0"/>
    <n v="7.0000000000000007E-2"/>
    <s v="UPI"/>
    <s v="Dinner"/>
    <n v="26.439899999999998"/>
    <s v="Single"/>
    <s v="Ok"/>
    <n v="13.89"/>
    <n v="12.549899999999997"/>
  </r>
  <r>
    <s v="O00133"/>
    <x v="11"/>
    <n v="2"/>
    <n v="57.07"/>
    <n v="29.14"/>
    <x v="2"/>
    <s v="Beverage+Dessert"/>
    <x v="25"/>
    <x v="0"/>
    <n v="7.0000000000000007E-2"/>
    <s v="UPI"/>
    <s v="Dinner"/>
    <n v="106.1502"/>
    <s v="Single"/>
    <s v="Ok"/>
    <n v="58.28"/>
    <n v="47.870199999999997"/>
  </r>
  <r>
    <s v="O00133"/>
    <x v="13"/>
    <n v="2"/>
    <n v="116.8"/>
    <n v="48.97"/>
    <x v="2"/>
    <s v="Beverage+Dessert"/>
    <x v="25"/>
    <x v="0"/>
    <n v="7.0000000000000007E-2"/>
    <s v="UPI"/>
    <s v="Dinner"/>
    <n v="217.24799999999999"/>
    <s v="Single"/>
    <s v="Ok"/>
    <n v="97.94"/>
    <n v="119.30799999999999"/>
  </r>
  <r>
    <s v="O00134"/>
    <x v="3"/>
    <n v="3"/>
    <n v="32.979999999999997"/>
    <n v="11.84"/>
    <x v="1"/>
    <s v="Beverage"/>
    <x v="43"/>
    <x v="1"/>
    <n v="0.09"/>
    <s v="Card"/>
    <s v="Dinner"/>
    <n v="90.035399999999996"/>
    <s v="Single"/>
    <s v="Ok"/>
    <n v="35.519999999999996"/>
    <n v="54.5154"/>
  </r>
  <r>
    <s v="O00135"/>
    <x v="11"/>
    <n v="2"/>
    <n v="57.07"/>
    <n v="29.14"/>
    <x v="2"/>
    <s v="Beverage+Dessert"/>
    <x v="52"/>
    <x v="1"/>
    <n v="0.06"/>
    <s v="UPI"/>
    <s v="Breakfast"/>
    <n v="107.29159999999999"/>
    <s v="Single"/>
    <s v="Ok"/>
    <n v="58.28"/>
    <n v="49.011599999999987"/>
  </r>
  <r>
    <s v="O00135"/>
    <x v="9"/>
    <n v="1"/>
    <n v="20.11"/>
    <n v="8"/>
    <x v="1"/>
    <s v="Beverage+Dessert"/>
    <x v="52"/>
    <x v="1"/>
    <n v="0.06"/>
    <s v="UPI"/>
    <s v="Breakfast"/>
    <n v="18.903399999999998"/>
    <s v="Single"/>
    <s v="Ok"/>
    <n v="8"/>
    <n v="10.903399999999998"/>
  </r>
  <r>
    <s v="O00135"/>
    <x v="3"/>
    <n v="2"/>
    <n v="32.979999999999997"/>
    <n v="11.84"/>
    <x v="1"/>
    <s v="Beverage+Dessert"/>
    <x v="52"/>
    <x v="1"/>
    <n v="0.06"/>
    <s v="UPI"/>
    <s v="Breakfast"/>
    <n v="62.002399999999987"/>
    <s v="Single"/>
    <s v="Ok"/>
    <n v="23.68"/>
    <n v="38.322399999999988"/>
  </r>
  <r>
    <s v="O00136"/>
    <x v="0"/>
    <n v="2"/>
    <n v="52.45"/>
    <n v="25.8"/>
    <x v="0"/>
    <s v="Hot Meal+Snack"/>
    <x v="54"/>
    <x v="0"/>
    <n v="0.12"/>
    <s v="Cash"/>
    <s v="Breakfast"/>
    <n v="92.312000000000012"/>
    <s v="Single"/>
    <s v="High Discount"/>
    <n v="51.6"/>
    <n v="40.71200000000001"/>
  </r>
  <r>
    <s v="O00136"/>
    <x v="15"/>
    <n v="2"/>
    <n v="227.61"/>
    <n v="96.22"/>
    <x v="3"/>
    <s v="Hot Meal+Snack"/>
    <x v="54"/>
    <x v="0"/>
    <n v="0.12"/>
    <s v="Cash"/>
    <s v="Breakfast"/>
    <n v="400.59360000000004"/>
    <s v="Single"/>
    <s v="High Discount"/>
    <n v="192.44"/>
    <n v="208.15360000000004"/>
  </r>
  <r>
    <s v="O00137"/>
    <x v="10"/>
    <n v="1"/>
    <n v="22.2"/>
    <n v="9.3800000000000008"/>
    <x v="1"/>
    <s v="Beverage+Dessert+Hot Meal"/>
    <x v="55"/>
    <x v="0"/>
    <n v="0.05"/>
    <s v="Cash"/>
    <s v="Dinner"/>
    <n v="21.09"/>
    <s v="Combo"/>
    <s v="Ok"/>
    <n v="9.3800000000000008"/>
    <n v="11.709999999999999"/>
  </r>
  <r>
    <s v="O00137"/>
    <x v="3"/>
    <n v="1"/>
    <n v="32.979999999999997"/>
    <n v="11.84"/>
    <x v="1"/>
    <s v="Beverage+Dessert+Hot Meal"/>
    <x v="55"/>
    <x v="0"/>
    <n v="0.05"/>
    <s v="Cash"/>
    <s v="Dinner"/>
    <n v="31.330999999999996"/>
    <s v="Combo"/>
    <s v="Ok"/>
    <n v="11.84"/>
    <n v="19.490999999999996"/>
  </r>
  <r>
    <s v="O00137"/>
    <x v="11"/>
    <n v="2"/>
    <n v="57.07"/>
    <n v="29.14"/>
    <x v="2"/>
    <s v="Beverage+Dessert+Hot Meal"/>
    <x v="55"/>
    <x v="0"/>
    <n v="0.05"/>
    <s v="Cash"/>
    <s v="Dinner"/>
    <n v="108.43299999999999"/>
    <s v="Combo"/>
    <s v="Ok"/>
    <n v="58.28"/>
    <n v="50.152999999999992"/>
  </r>
  <r>
    <s v="O00137"/>
    <x v="16"/>
    <n v="1"/>
    <n v="146.4"/>
    <n v="80.92"/>
    <x v="3"/>
    <s v="Beverage+Dessert+Hot Meal"/>
    <x v="55"/>
    <x v="0"/>
    <n v="0.05"/>
    <s v="Cash"/>
    <s v="Dinner"/>
    <n v="139.08000000000001"/>
    <s v="Combo"/>
    <s v="Ok"/>
    <n v="80.92"/>
    <n v="58.160000000000011"/>
  </r>
  <r>
    <s v="O00138"/>
    <x v="18"/>
    <n v="2"/>
    <n v="50.19"/>
    <n v="22.61"/>
    <x v="0"/>
    <s v="Snack"/>
    <x v="29"/>
    <x v="0"/>
    <n v="0.17"/>
    <s v="Cash"/>
    <s v="Breakfast"/>
    <n v="83.315399999999997"/>
    <s v="Single"/>
    <s v="Ok"/>
    <n v="45.22"/>
    <n v="38.095399999999998"/>
  </r>
  <r>
    <s v="O00139"/>
    <x v="11"/>
    <n v="2"/>
    <n v="57.07"/>
    <n v="29.14"/>
    <x v="2"/>
    <s v="Dessert+Hot Meal+Snack"/>
    <x v="14"/>
    <x v="1"/>
    <n v="0.09"/>
    <s v="UPI"/>
    <s v="Dinner"/>
    <n v="103.8674"/>
    <s v="Single"/>
    <s v="High Discount"/>
    <n v="58.28"/>
    <n v="45.587400000000002"/>
  </r>
  <r>
    <s v="O00139"/>
    <x v="15"/>
    <n v="2"/>
    <n v="227.61"/>
    <n v="96.22"/>
    <x v="3"/>
    <s v="Dessert+Hot Meal+Snack"/>
    <x v="14"/>
    <x v="1"/>
    <n v="0.09"/>
    <s v="UPI"/>
    <s v="Dinner"/>
    <n v="414.25020000000006"/>
    <s v="Single"/>
    <s v="High Discount"/>
    <n v="192.44"/>
    <n v="221.81020000000007"/>
  </r>
  <r>
    <s v="O00139"/>
    <x v="0"/>
    <n v="3"/>
    <n v="52.45"/>
    <n v="25.8"/>
    <x v="0"/>
    <s v="Dessert+Hot Meal+Snack"/>
    <x v="14"/>
    <x v="1"/>
    <n v="0.09"/>
    <s v="UPI"/>
    <s v="Dinner"/>
    <n v="143.18850000000003"/>
    <s v="Single"/>
    <s v="High Discount"/>
    <n v="77.400000000000006"/>
    <n v="65.788500000000028"/>
  </r>
  <r>
    <s v="O00140"/>
    <x v="18"/>
    <n v="3"/>
    <n v="50.19"/>
    <n v="22.61"/>
    <x v="0"/>
    <s v="Beverage+Snack"/>
    <x v="56"/>
    <x v="2"/>
    <n v="0.03"/>
    <s v="Card"/>
    <s v="Lunch"/>
    <n v="146.05289999999999"/>
    <s v="Single"/>
    <s v="Ok"/>
    <n v="67.83"/>
    <n v="78.222899999999996"/>
  </r>
  <r>
    <s v="O00140"/>
    <x v="5"/>
    <n v="2"/>
    <n v="38.06"/>
    <n v="19.55"/>
    <x v="0"/>
    <s v="Beverage+Snack"/>
    <x v="56"/>
    <x v="2"/>
    <n v="0.03"/>
    <s v="Card"/>
    <s v="Lunch"/>
    <n v="73.836399999999998"/>
    <s v="Single"/>
    <s v="Ok"/>
    <n v="39.1"/>
    <n v="34.736399999999996"/>
  </r>
  <r>
    <s v="O00140"/>
    <x v="3"/>
    <n v="1"/>
    <n v="32.979999999999997"/>
    <n v="11.84"/>
    <x v="1"/>
    <s v="Beverage+Snack"/>
    <x v="56"/>
    <x v="2"/>
    <n v="0.03"/>
    <s v="Card"/>
    <s v="Lunch"/>
    <n v="31.990599999999997"/>
    <s v="Single"/>
    <s v="Ok"/>
    <n v="11.84"/>
    <n v="20.150599999999997"/>
  </r>
  <r>
    <s v="O00140"/>
    <x v="1"/>
    <n v="2"/>
    <n v="30.34"/>
    <n v="14.18"/>
    <x v="1"/>
    <s v="Beverage+Snack"/>
    <x v="56"/>
    <x v="2"/>
    <n v="0.03"/>
    <s v="Card"/>
    <s v="Lunch"/>
    <n v="58.8596"/>
    <s v="Single"/>
    <s v="Ok"/>
    <n v="28.36"/>
    <n v="30.499600000000001"/>
  </r>
  <r>
    <s v="O00141"/>
    <x v="0"/>
    <n v="1"/>
    <n v="52.45"/>
    <n v="25.8"/>
    <x v="0"/>
    <s v="Beverage+Snack"/>
    <x v="17"/>
    <x v="2"/>
    <n v="0.02"/>
    <s v="Cash"/>
    <s v="Breakfast"/>
    <n v="51.401000000000003"/>
    <s v="Single"/>
    <s v="Ok"/>
    <n v="25.8"/>
    <n v="25.601000000000003"/>
  </r>
  <r>
    <s v="O00141"/>
    <x v="8"/>
    <n v="1"/>
    <n v="28.43"/>
    <n v="13.89"/>
    <x v="1"/>
    <s v="Beverage+Snack"/>
    <x v="17"/>
    <x v="2"/>
    <n v="0.02"/>
    <s v="Cash"/>
    <s v="Breakfast"/>
    <n v="27.8614"/>
    <s v="Single"/>
    <s v="Ok"/>
    <n v="13.89"/>
    <n v="13.971399999999999"/>
  </r>
  <r>
    <s v="O00142"/>
    <x v="8"/>
    <n v="1"/>
    <n v="28.43"/>
    <n v="13.89"/>
    <x v="1"/>
    <s v="Beverage+Snack"/>
    <x v="52"/>
    <x v="0"/>
    <n v="0.08"/>
    <s v="Card"/>
    <s v="Lunch"/>
    <n v="26.1556"/>
    <s v="Single"/>
    <s v="Ok"/>
    <n v="13.89"/>
    <n v="12.265599999999999"/>
  </r>
  <r>
    <s v="O00142"/>
    <x v="18"/>
    <n v="3"/>
    <n v="50.19"/>
    <n v="22.61"/>
    <x v="0"/>
    <s v="Beverage+Snack"/>
    <x v="52"/>
    <x v="0"/>
    <n v="0.08"/>
    <s v="Card"/>
    <s v="Lunch"/>
    <n v="138.52439999999999"/>
    <s v="Single"/>
    <s v="Ok"/>
    <n v="67.83"/>
    <n v="70.694399999999987"/>
  </r>
  <r>
    <s v="O00143"/>
    <x v="9"/>
    <n v="2"/>
    <n v="20.11"/>
    <n v="8"/>
    <x v="1"/>
    <s v="Beverage"/>
    <x v="24"/>
    <x v="2"/>
    <n v="0.05"/>
    <s v="Cash"/>
    <s v="Breakfast"/>
    <n v="38.208999999999996"/>
    <s v="Single"/>
    <s v="Ok"/>
    <n v="16"/>
    <n v="22.208999999999996"/>
  </r>
  <r>
    <s v="O00144"/>
    <x v="0"/>
    <n v="1"/>
    <n v="52.45"/>
    <n v="25.8"/>
    <x v="0"/>
    <s v="Snack"/>
    <x v="53"/>
    <x v="2"/>
    <n v="0.09"/>
    <s v="Cash"/>
    <s v="Breakfast"/>
    <n v="47.729500000000002"/>
    <s v="Single"/>
    <s v="Ok"/>
    <n v="25.8"/>
    <n v="21.929500000000001"/>
  </r>
  <r>
    <s v="O00145"/>
    <x v="3"/>
    <n v="2"/>
    <n v="32.979999999999997"/>
    <n v="11.84"/>
    <x v="1"/>
    <s v="Beverage+Dessert"/>
    <x v="34"/>
    <x v="0"/>
    <n v="0.08"/>
    <s v="Card"/>
    <s v="Breakfast"/>
    <n v="60.683199999999999"/>
    <s v="Single"/>
    <s v="Ok"/>
    <n v="23.68"/>
    <n v="37.0032"/>
  </r>
  <r>
    <s v="O00145"/>
    <x v="11"/>
    <n v="1"/>
    <n v="57.07"/>
    <n v="29.14"/>
    <x v="2"/>
    <s v="Beverage+Dessert"/>
    <x v="34"/>
    <x v="0"/>
    <n v="0.08"/>
    <s v="Card"/>
    <s v="Breakfast"/>
    <n v="52.504400000000004"/>
    <s v="Single"/>
    <s v="Ok"/>
    <n v="29.14"/>
    <n v="23.364400000000003"/>
  </r>
  <r>
    <s v="O00145"/>
    <x v="13"/>
    <n v="2"/>
    <n v="116.8"/>
    <n v="48.97"/>
    <x v="2"/>
    <s v="Beverage+Dessert"/>
    <x v="34"/>
    <x v="0"/>
    <n v="0.08"/>
    <s v="Card"/>
    <s v="Breakfast"/>
    <n v="214.91200000000001"/>
    <s v="Single"/>
    <s v="Ok"/>
    <n v="97.94"/>
    <n v="116.97200000000001"/>
  </r>
  <r>
    <s v="O00146"/>
    <x v="14"/>
    <n v="3"/>
    <n v="256.91000000000003"/>
    <n v="121.24"/>
    <x v="3"/>
    <s v="Beverage+Dessert+Hot Meal"/>
    <x v="23"/>
    <x v="1"/>
    <n v="0.06"/>
    <s v="Card"/>
    <s v="Breakfast"/>
    <n v="724.48619999999994"/>
    <s v="Combo"/>
    <s v="High Discount"/>
    <n v="363.71999999999997"/>
    <n v="360.76619999999997"/>
  </r>
  <r>
    <s v="O00146"/>
    <x v="10"/>
    <n v="2"/>
    <n v="22.2"/>
    <n v="9.3800000000000008"/>
    <x v="1"/>
    <s v="Beverage+Dessert+Hot Meal"/>
    <x v="23"/>
    <x v="1"/>
    <n v="0.06"/>
    <s v="Card"/>
    <s v="Breakfast"/>
    <n v="41.735999999999997"/>
    <s v="Combo"/>
    <s v="High Discount"/>
    <n v="18.760000000000002"/>
    <n v="22.975999999999996"/>
  </r>
  <r>
    <s v="O00146"/>
    <x v="13"/>
    <n v="1"/>
    <n v="116.8"/>
    <n v="48.97"/>
    <x v="2"/>
    <s v="Beverage+Dessert+Hot Meal"/>
    <x v="23"/>
    <x v="1"/>
    <n v="0.06"/>
    <s v="Card"/>
    <s v="Breakfast"/>
    <n v="109.79199999999999"/>
    <s v="Combo"/>
    <s v="High Discount"/>
    <n v="48.97"/>
    <n v="60.821999999999989"/>
  </r>
  <r>
    <s v="O00146"/>
    <x v="6"/>
    <n v="3"/>
    <n v="246.09"/>
    <n v="112.08"/>
    <x v="3"/>
    <s v="Beverage+Dessert+Hot Meal"/>
    <x v="23"/>
    <x v="1"/>
    <n v="0.06"/>
    <s v="Card"/>
    <s v="Breakfast"/>
    <n v="693.97379999999998"/>
    <s v="Combo"/>
    <s v="High Discount"/>
    <n v="336.24"/>
    <n v="357.73379999999997"/>
  </r>
  <r>
    <s v="O00147"/>
    <x v="7"/>
    <n v="1"/>
    <n v="70.540000000000006"/>
    <n v="35.81"/>
    <x v="0"/>
    <s v="Beverage+Hot Meal+Snack"/>
    <x v="30"/>
    <x v="0"/>
    <n v="0.03"/>
    <s v="Card"/>
    <s v="Dinner"/>
    <n v="68.4238"/>
    <s v="Combo"/>
    <s v="Ok"/>
    <n v="35.81"/>
    <n v="32.613799999999998"/>
  </r>
  <r>
    <s v="O00147"/>
    <x v="4"/>
    <n v="1"/>
    <n v="170.83"/>
    <n v="74.069999999999993"/>
    <x v="3"/>
    <s v="Beverage+Hot Meal+Snack"/>
    <x v="30"/>
    <x v="0"/>
    <n v="0.03"/>
    <s v="Card"/>
    <s v="Dinner"/>
    <n v="165.70510000000002"/>
    <s v="Combo"/>
    <s v="Ok"/>
    <n v="74.069999999999993"/>
    <n v="91.635100000000023"/>
  </r>
  <r>
    <s v="O00147"/>
    <x v="3"/>
    <n v="3"/>
    <n v="32.979999999999997"/>
    <n v="11.84"/>
    <x v="1"/>
    <s v="Beverage+Hot Meal+Snack"/>
    <x v="30"/>
    <x v="0"/>
    <n v="0.03"/>
    <s v="Card"/>
    <s v="Dinner"/>
    <n v="95.971800000000002"/>
    <s v="Combo"/>
    <s v="Ok"/>
    <n v="35.519999999999996"/>
    <n v="60.451800000000006"/>
  </r>
  <r>
    <s v="O00147"/>
    <x v="8"/>
    <n v="1"/>
    <n v="28.43"/>
    <n v="13.89"/>
    <x v="1"/>
    <s v="Beverage+Hot Meal+Snack"/>
    <x v="30"/>
    <x v="0"/>
    <n v="0.03"/>
    <s v="Card"/>
    <s v="Dinner"/>
    <n v="27.577099999999998"/>
    <s v="Combo"/>
    <s v="Ok"/>
    <n v="13.89"/>
    <n v="13.687099999999997"/>
  </r>
  <r>
    <s v="O00148"/>
    <x v="1"/>
    <n v="1"/>
    <n v="30.34"/>
    <n v="14.18"/>
    <x v="1"/>
    <s v="Beverage+Snack"/>
    <x v="15"/>
    <x v="0"/>
    <n v="0"/>
    <s v="Card"/>
    <s v="Breakfast"/>
    <n v="30.34"/>
    <s v="Single"/>
    <s v="Ok"/>
    <n v="14.18"/>
    <n v="16.16"/>
  </r>
  <r>
    <s v="O00148"/>
    <x v="17"/>
    <n v="1"/>
    <n v="39.950000000000003"/>
    <n v="15.51"/>
    <x v="0"/>
    <s v="Beverage+Snack"/>
    <x v="15"/>
    <x v="0"/>
    <n v="0"/>
    <s v="Card"/>
    <s v="Breakfast"/>
    <n v="39.950000000000003"/>
    <s v="Single"/>
    <s v="Ok"/>
    <n v="15.51"/>
    <n v="24.440000000000005"/>
  </r>
  <r>
    <s v="O00149"/>
    <x v="15"/>
    <n v="1"/>
    <n v="227.61"/>
    <n v="96.22"/>
    <x v="3"/>
    <s v="Hot Meal+Snack"/>
    <x v="34"/>
    <x v="1"/>
    <n v="0.04"/>
    <s v="Cash"/>
    <s v="Dinner"/>
    <n v="218.50560000000002"/>
    <s v="Single"/>
    <s v="Ok"/>
    <n v="96.22"/>
    <n v="122.28560000000002"/>
  </r>
  <r>
    <s v="O00149"/>
    <x v="7"/>
    <n v="1"/>
    <n v="70.540000000000006"/>
    <n v="35.81"/>
    <x v="0"/>
    <s v="Hot Meal+Snack"/>
    <x v="34"/>
    <x v="1"/>
    <n v="0.04"/>
    <s v="Cash"/>
    <s v="Dinner"/>
    <n v="67.718400000000003"/>
    <s v="Single"/>
    <s v="Ok"/>
    <n v="35.81"/>
    <n v="31.9084"/>
  </r>
  <r>
    <s v="O00150"/>
    <x v="4"/>
    <n v="2"/>
    <n v="170.83"/>
    <n v="74.069999999999993"/>
    <x v="3"/>
    <s v="Hot Meal"/>
    <x v="11"/>
    <x v="0"/>
    <n v="0.09"/>
    <s v="UPI"/>
    <s v="Breakfast"/>
    <n v="310.91060000000004"/>
    <s v="Single"/>
    <s v="High Discount"/>
    <n v="148.13999999999999"/>
    <n v="162.77060000000006"/>
  </r>
  <r>
    <s v="O00150"/>
    <x v="6"/>
    <n v="1"/>
    <n v="246.09"/>
    <n v="112.08"/>
    <x v="3"/>
    <s v="Hot Meal"/>
    <x v="11"/>
    <x v="0"/>
    <n v="0.09"/>
    <s v="UPI"/>
    <s v="Breakfast"/>
    <n v="223.9419"/>
    <s v="Single"/>
    <s v="High Discount"/>
    <n v="112.08"/>
    <n v="111.86190000000001"/>
  </r>
  <r>
    <s v="O00150"/>
    <x v="15"/>
    <n v="1"/>
    <n v="227.61"/>
    <n v="96.22"/>
    <x v="3"/>
    <s v="Hot Meal"/>
    <x v="11"/>
    <x v="0"/>
    <n v="0.09"/>
    <s v="UPI"/>
    <s v="Breakfast"/>
    <n v="207.12510000000003"/>
    <s v="Single"/>
    <s v="High Discount"/>
    <n v="96.22"/>
    <n v="110.90510000000003"/>
  </r>
  <r>
    <s v="O00151"/>
    <x v="15"/>
    <n v="2"/>
    <n v="227.61"/>
    <n v="96.22"/>
    <x v="3"/>
    <s v="Hot Meal"/>
    <x v="11"/>
    <x v="2"/>
    <n v="7.0000000000000007E-2"/>
    <s v="Card"/>
    <s v="Breakfast"/>
    <n v="423.3546"/>
    <s v="Single"/>
    <s v="High Discount"/>
    <n v="192.44"/>
    <n v="230.91460000000001"/>
  </r>
  <r>
    <s v="O00151"/>
    <x v="16"/>
    <n v="3"/>
    <n v="146.4"/>
    <n v="80.92"/>
    <x v="3"/>
    <s v="Hot Meal"/>
    <x v="11"/>
    <x v="2"/>
    <n v="7.0000000000000007E-2"/>
    <s v="Card"/>
    <s v="Breakfast"/>
    <n v="408.45600000000002"/>
    <s v="Single"/>
    <s v="High Discount"/>
    <n v="242.76"/>
    <n v="165.69600000000003"/>
  </r>
  <r>
    <s v="O00151"/>
    <x v="6"/>
    <n v="3"/>
    <n v="246.09"/>
    <n v="112.08"/>
    <x v="3"/>
    <s v="Hot Meal"/>
    <x v="11"/>
    <x v="2"/>
    <n v="7.0000000000000007E-2"/>
    <s v="Card"/>
    <s v="Breakfast"/>
    <n v="686.59109999999998"/>
    <s v="Single"/>
    <s v="High Discount"/>
    <n v="336.24"/>
    <n v="350.35109999999997"/>
  </r>
  <r>
    <s v="O00152"/>
    <x v="16"/>
    <n v="1"/>
    <n v="146.4"/>
    <n v="80.92"/>
    <x v="3"/>
    <s v="Beverage+Hot Meal"/>
    <x v="42"/>
    <x v="1"/>
    <n v="0.01"/>
    <s v="UPI"/>
    <s v="Breakfast"/>
    <n v="144.93600000000001"/>
    <s v="Combo"/>
    <s v="Ok"/>
    <n v="80.92"/>
    <n v="64.016000000000005"/>
  </r>
  <r>
    <s v="O00152"/>
    <x v="1"/>
    <n v="3"/>
    <n v="30.34"/>
    <n v="14.18"/>
    <x v="1"/>
    <s v="Beverage+Hot Meal"/>
    <x v="42"/>
    <x v="1"/>
    <n v="0.01"/>
    <s v="UPI"/>
    <s v="Breakfast"/>
    <n v="90.109799999999993"/>
    <s v="Combo"/>
    <s v="Ok"/>
    <n v="42.54"/>
    <n v="47.569799999999994"/>
  </r>
  <r>
    <s v="O00153"/>
    <x v="9"/>
    <n v="1"/>
    <n v="20.11"/>
    <n v="8"/>
    <x v="1"/>
    <s v="Beverage"/>
    <x v="51"/>
    <x v="2"/>
    <n v="7.0000000000000007E-2"/>
    <s v="Card"/>
    <s v="Dinner"/>
    <n v="18.702299999999997"/>
    <s v="Single"/>
    <s v="Ok"/>
    <n v="8"/>
    <n v="10.702299999999997"/>
  </r>
  <r>
    <s v="O00153"/>
    <x v="8"/>
    <n v="2"/>
    <n v="28.43"/>
    <n v="13.89"/>
    <x v="1"/>
    <s v="Beverage"/>
    <x v="51"/>
    <x v="2"/>
    <n v="7.0000000000000007E-2"/>
    <s v="Card"/>
    <s v="Dinner"/>
    <n v="52.879799999999996"/>
    <s v="Single"/>
    <s v="Ok"/>
    <n v="27.78"/>
    <n v="25.099799999999995"/>
  </r>
  <r>
    <s v="O00154"/>
    <x v="18"/>
    <n v="1"/>
    <n v="50.19"/>
    <n v="22.61"/>
    <x v="0"/>
    <s v="Beverage+Dessert+Snack"/>
    <x v="50"/>
    <x v="1"/>
    <n v="0.08"/>
    <s v="Cash"/>
    <s v="Lunch"/>
    <n v="46.174799999999998"/>
    <s v="Single"/>
    <s v="Ok"/>
    <n v="22.61"/>
    <n v="23.564799999999998"/>
  </r>
  <r>
    <s v="O00154"/>
    <x v="8"/>
    <n v="2"/>
    <n v="28.43"/>
    <n v="13.89"/>
    <x v="1"/>
    <s v="Beverage+Dessert+Snack"/>
    <x v="50"/>
    <x v="1"/>
    <n v="0.08"/>
    <s v="Cash"/>
    <s v="Lunch"/>
    <n v="52.311199999999999"/>
    <s v="Single"/>
    <s v="Ok"/>
    <n v="27.78"/>
    <n v="24.531199999999998"/>
  </r>
  <r>
    <s v="O00154"/>
    <x v="13"/>
    <n v="2"/>
    <n v="116.8"/>
    <n v="48.97"/>
    <x v="2"/>
    <s v="Beverage+Dessert+Snack"/>
    <x v="50"/>
    <x v="1"/>
    <n v="0.08"/>
    <s v="Cash"/>
    <s v="Lunch"/>
    <n v="214.91200000000001"/>
    <s v="Single"/>
    <s v="Ok"/>
    <n v="97.94"/>
    <n v="116.97200000000001"/>
  </r>
  <r>
    <s v="O00154"/>
    <x v="3"/>
    <n v="1"/>
    <n v="32.979999999999997"/>
    <n v="11.84"/>
    <x v="1"/>
    <s v="Beverage+Dessert+Snack"/>
    <x v="50"/>
    <x v="1"/>
    <n v="0.08"/>
    <s v="Cash"/>
    <s v="Lunch"/>
    <n v="30.3416"/>
    <s v="Single"/>
    <s v="Ok"/>
    <n v="11.84"/>
    <n v="18.5016"/>
  </r>
  <r>
    <s v="O00155"/>
    <x v="17"/>
    <n v="2"/>
    <n v="39.950000000000003"/>
    <n v="15.51"/>
    <x v="0"/>
    <s v="Dessert+Hot Meal+Snack"/>
    <x v="50"/>
    <x v="1"/>
    <n v="0.02"/>
    <s v="Card"/>
    <s v="Breakfast"/>
    <n v="78.302000000000007"/>
    <s v="Single"/>
    <s v="Ok"/>
    <n v="31.02"/>
    <n v="47.282000000000011"/>
  </r>
  <r>
    <s v="O00155"/>
    <x v="0"/>
    <n v="3"/>
    <n v="52.45"/>
    <n v="25.8"/>
    <x v="0"/>
    <s v="Dessert+Hot Meal+Snack"/>
    <x v="50"/>
    <x v="1"/>
    <n v="0.02"/>
    <s v="Card"/>
    <s v="Breakfast"/>
    <n v="154.20300000000003"/>
    <s v="Single"/>
    <s v="Ok"/>
    <n v="77.400000000000006"/>
    <n v="76.803000000000026"/>
  </r>
  <r>
    <s v="O00155"/>
    <x v="14"/>
    <n v="2"/>
    <n v="256.91000000000003"/>
    <n v="121.24"/>
    <x v="3"/>
    <s v="Dessert+Hot Meal+Snack"/>
    <x v="50"/>
    <x v="1"/>
    <n v="0.02"/>
    <s v="Card"/>
    <s v="Breakfast"/>
    <n v="503.54360000000003"/>
    <s v="Single"/>
    <s v="Ok"/>
    <n v="242.48"/>
    <n v="261.06360000000006"/>
  </r>
  <r>
    <s v="O00155"/>
    <x v="11"/>
    <n v="1"/>
    <n v="57.07"/>
    <n v="29.14"/>
    <x v="2"/>
    <s v="Dessert+Hot Meal+Snack"/>
    <x v="50"/>
    <x v="1"/>
    <n v="0.02"/>
    <s v="Card"/>
    <s v="Breakfast"/>
    <n v="55.928599999999996"/>
    <s v="Single"/>
    <s v="Ok"/>
    <n v="29.14"/>
    <n v="26.788599999999995"/>
  </r>
  <r>
    <s v="O00156"/>
    <x v="1"/>
    <n v="3"/>
    <n v="30.34"/>
    <n v="14.18"/>
    <x v="1"/>
    <s v="Beverage+Dessert+Hot Meal+Snack"/>
    <x v="14"/>
    <x v="0"/>
    <n v="7.0000000000000007E-2"/>
    <s v="Card"/>
    <s v="Breakfast"/>
    <n v="84.648599999999988"/>
    <s v="Combo"/>
    <s v="High Discount"/>
    <n v="42.54"/>
    <n v="42.108599999999988"/>
  </r>
  <r>
    <s v="O00156"/>
    <x v="13"/>
    <n v="1"/>
    <n v="116.8"/>
    <n v="48.97"/>
    <x v="2"/>
    <s v="Beverage+Dessert+Hot Meal+Snack"/>
    <x v="14"/>
    <x v="0"/>
    <n v="7.0000000000000007E-2"/>
    <s v="Card"/>
    <s v="Breakfast"/>
    <n v="108.624"/>
    <s v="Combo"/>
    <s v="High Discount"/>
    <n v="48.97"/>
    <n v="59.653999999999996"/>
  </r>
  <r>
    <s v="O00156"/>
    <x v="15"/>
    <n v="3"/>
    <n v="227.61"/>
    <n v="96.22"/>
    <x v="3"/>
    <s v="Beverage+Dessert+Hot Meal+Snack"/>
    <x v="14"/>
    <x v="0"/>
    <n v="7.0000000000000007E-2"/>
    <s v="Card"/>
    <s v="Breakfast"/>
    <n v="635.03189999999995"/>
    <s v="Combo"/>
    <s v="High Discount"/>
    <n v="288.65999999999997"/>
    <n v="346.37189999999998"/>
  </r>
  <r>
    <s v="O00156"/>
    <x v="17"/>
    <n v="3"/>
    <n v="39.950000000000003"/>
    <n v="15.51"/>
    <x v="0"/>
    <s v="Beverage+Dessert+Hot Meal+Snack"/>
    <x v="14"/>
    <x v="0"/>
    <n v="7.0000000000000007E-2"/>
    <s v="Card"/>
    <s v="Breakfast"/>
    <n v="111.4605"/>
    <s v="Combo"/>
    <s v="High Discount"/>
    <n v="46.53"/>
    <n v="64.930499999999995"/>
  </r>
  <r>
    <s v="O00157"/>
    <x v="17"/>
    <n v="3"/>
    <n v="39.950000000000003"/>
    <n v="15.51"/>
    <x v="0"/>
    <s v="Dessert+Hot Meal+Snack"/>
    <x v="16"/>
    <x v="1"/>
    <n v="0.06"/>
    <s v="Cash"/>
    <s v="Dinner"/>
    <n v="112.65900000000001"/>
    <s v="Single"/>
    <s v="High Discount"/>
    <n v="46.53"/>
    <n v="66.129000000000005"/>
  </r>
  <r>
    <s v="O00157"/>
    <x v="6"/>
    <n v="3"/>
    <n v="246.09"/>
    <n v="112.08"/>
    <x v="3"/>
    <s v="Dessert+Hot Meal+Snack"/>
    <x v="16"/>
    <x v="1"/>
    <n v="0.06"/>
    <s v="Cash"/>
    <s v="Dinner"/>
    <n v="693.97379999999998"/>
    <s v="Single"/>
    <s v="High Discount"/>
    <n v="336.24"/>
    <n v="357.73379999999997"/>
  </r>
  <r>
    <s v="O00157"/>
    <x v="11"/>
    <n v="1"/>
    <n v="57.07"/>
    <n v="29.14"/>
    <x v="2"/>
    <s v="Dessert+Hot Meal+Snack"/>
    <x v="16"/>
    <x v="1"/>
    <n v="0.06"/>
    <s v="Cash"/>
    <s v="Dinner"/>
    <n v="53.645799999999994"/>
    <s v="Single"/>
    <s v="High Discount"/>
    <n v="29.14"/>
    <n v="24.505799999999994"/>
  </r>
  <r>
    <s v="O00158"/>
    <x v="9"/>
    <n v="1"/>
    <n v="20.11"/>
    <n v="8"/>
    <x v="1"/>
    <s v="Beverage+Dessert+Snack"/>
    <x v="43"/>
    <x v="2"/>
    <n v="0.01"/>
    <s v="UPI"/>
    <s v="Breakfast"/>
    <n v="19.908899999999999"/>
    <s v="Single"/>
    <s v="Ok"/>
    <n v="8"/>
    <n v="11.908899999999999"/>
  </r>
  <r>
    <s v="O00158"/>
    <x v="12"/>
    <n v="2"/>
    <n v="54.2"/>
    <n v="21.95"/>
    <x v="2"/>
    <s v="Beverage+Dessert+Snack"/>
    <x v="43"/>
    <x v="2"/>
    <n v="0.01"/>
    <s v="UPI"/>
    <s v="Breakfast"/>
    <n v="107.316"/>
    <s v="Single"/>
    <s v="Ok"/>
    <n v="43.9"/>
    <n v="63.416000000000004"/>
  </r>
  <r>
    <s v="O00158"/>
    <x v="11"/>
    <n v="3"/>
    <n v="57.07"/>
    <n v="29.14"/>
    <x v="2"/>
    <s v="Beverage+Dessert+Snack"/>
    <x v="43"/>
    <x v="2"/>
    <n v="0.01"/>
    <s v="UPI"/>
    <s v="Breakfast"/>
    <n v="169.49790000000002"/>
    <s v="Single"/>
    <s v="Ok"/>
    <n v="87.42"/>
    <n v="82.077900000000014"/>
  </r>
  <r>
    <s v="O00158"/>
    <x v="5"/>
    <n v="1"/>
    <n v="38.06"/>
    <n v="19.55"/>
    <x v="0"/>
    <s v="Beverage+Dessert+Snack"/>
    <x v="43"/>
    <x v="2"/>
    <n v="0.01"/>
    <s v="UPI"/>
    <s v="Breakfast"/>
    <n v="37.679400000000001"/>
    <s v="Single"/>
    <s v="Ok"/>
    <n v="19.55"/>
    <n v="18.1294"/>
  </r>
  <r>
    <s v="O00159"/>
    <x v="6"/>
    <n v="1"/>
    <n v="246.09"/>
    <n v="112.08"/>
    <x v="3"/>
    <s v="Hot Meal"/>
    <x v="3"/>
    <x v="2"/>
    <n v="7.0000000000000007E-2"/>
    <s v="UPI"/>
    <s v="Breakfast"/>
    <n v="228.86369999999999"/>
    <s v="Single"/>
    <s v="Ok"/>
    <n v="112.08"/>
    <n v="116.7837"/>
  </r>
  <r>
    <s v="O00160"/>
    <x v="4"/>
    <n v="2"/>
    <n v="170.83"/>
    <n v="74.069999999999993"/>
    <x v="3"/>
    <s v="Hot Meal"/>
    <x v="41"/>
    <x v="0"/>
    <n v="0.08"/>
    <s v="Cash"/>
    <s v="Lunch"/>
    <n v="314.32720000000006"/>
    <s v="Single"/>
    <s v="Ok"/>
    <n v="148.13999999999999"/>
    <n v="166.18720000000008"/>
  </r>
  <r>
    <s v="O00161"/>
    <x v="11"/>
    <n v="1"/>
    <n v="57.07"/>
    <n v="29.14"/>
    <x v="2"/>
    <s v="Beverage+Dessert+Hot Meal"/>
    <x v="30"/>
    <x v="0"/>
    <n v="0.1"/>
    <s v="Card"/>
    <s v="Breakfast"/>
    <n v="51.363"/>
    <s v="Combo"/>
    <s v="High Discount"/>
    <n v="29.14"/>
    <n v="22.222999999999999"/>
  </r>
  <r>
    <s v="O00161"/>
    <x v="14"/>
    <n v="2"/>
    <n v="256.91000000000003"/>
    <n v="121.24"/>
    <x v="3"/>
    <s v="Beverage+Dessert+Hot Meal"/>
    <x v="30"/>
    <x v="0"/>
    <n v="0.1"/>
    <s v="Card"/>
    <s v="Breakfast"/>
    <n v="462.43800000000005"/>
    <s v="Combo"/>
    <s v="High Discount"/>
    <n v="242.48"/>
    <n v="219.95800000000006"/>
  </r>
  <r>
    <s v="O00161"/>
    <x v="8"/>
    <n v="1"/>
    <n v="28.43"/>
    <n v="13.89"/>
    <x v="1"/>
    <s v="Beverage+Dessert+Hot Meal"/>
    <x v="30"/>
    <x v="0"/>
    <n v="0.1"/>
    <s v="Card"/>
    <s v="Breakfast"/>
    <n v="25.587"/>
    <s v="Combo"/>
    <s v="High Discount"/>
    <n v="13.89"/>
    <n v="11.696999999999999"/>
  </r>
  <r>
    <s v="O00161"/>
    <x v="12"/>
    <n v="2"/>
    <n v="54.2"/>
    <n v="21.95"/>
    <x v="2"/>
    <s v="Beverage+Dessert+Hot Meal"/>
    <x v="30"/>
    <x v="0"/>
    <n v="0.1"/>
    <s v="Card"/>
    <s v="Breakfast"/>
    <n v="97.56"/>
    <s v="Combo"/>
    <s v="High Discount"/>
    <n v="43.9"/>
    <n v="53.660000000000004"/>
  </r>
  <r>
    <s v="O00162"/>
    <x v="17"/>
    <n v="2"/>
    <n v="39.950000000000003"/>
    <n v="15.51"/>
    <x v="0"/>
    <s v="Dessert+Hot Meal+Snack"/>
    <x v="51"/>
    <x v="2"/>
    <n v="0.1"/>
    <s v="UPI"/>
    <s v="Breakfast"/>
    <n v="71.910000000000011"/>
    <s v="Single"/>
    <s v="High Discount"/>
    <n v="31.02"/>
    <n v="40.890000000000015"/>
  </r>
  <r>
    <s v="O00162"/>
    <x v="11"/>
    <n v="3"/>
    <n v="57.07"/>
    <n v="29.14"/>
    <x v="2"/>
    <s v="Dessert+Hot Meal+Snack"/>
    <x v="51"/>
    <x v="2"/>
    <n v="0.1"/>
    <s v="UPI"/>
    <s v="Breakfast"/>
    <n v="154.089"/>
    <s v="Single"/>
    <s v="High Discount"/>
    <n v="87.42"/>
    <n v="66.668999999999997"/>
  </r>
  <r>
    <s v="O00162"/>
    <x v="16"/>
    <n v="1"/>
    <n v="146.4"/>
    <n v="80.92"/>
    <x v="3"/>
    <s v="Dessert+Hot Meal+Snack"/>
    <x v="51"/>
    <x v="2"/>
    <n v="0.1"/>
    <s v="UPI"/>
    <s v="Breakfast"/>
    <n v="131.76000000000002"/>
    <s v="Single"/>
    <s v="High Discount"/>
    <n v="80.92"/>
    <n v="50.840000000000018"/>
  </r>
  <r>
    <s v="O00162"/>
    <x v="12"/>
    <n v="1"/>
    <n v="54.2"/>
    <n v="21.95"/>
    <x v="2"/>
    <s v="Dessert+Hot Meal+Snack"/>
    <x v="51"/>
    <x v="2"/>
    <n v="0.1"/>
    <s v="UPI"/>
    <s v="Breakfast"/>
    <n v="48.78"/>
    <s v="Single"/>
    <s v="High Discount"/>
    <n v="21.95"/>
    <n v="26.830000000000002"/>
  </r>
  <r>
    <s v="O00163"/>
    <x v="14"/>
    <n v="2"/>
    <n v="256.91000000000003"/>
    <n v="121.24"/>
    <x v="3"/>
    <s v="Hot Meal+Snack"/>
    <x v="10"/>
    <x v="1"/>
    <n v="0"/>
    <s v="Cash"/>
    <s v="Lunch"/>
    <n v="513.82000000000005"/>
    <s v="Single"/>
    <s v="Ok"/>
    <n v="242.48"/>
    <n v="271.34000000000003"/>
  </r>
  <r>
    <s v="O00163"/>
    <x v="17"/>
    <n v="3"/>
    <n v="39.950000000000003"/>
    <n v="15.51"/>
    <x v="0"/>
    <s v="Hot Meal+Snack"/>
    <x v="10"/>
    <x v="1"/>
    <n v="0"/>
    <s v="Cash"/>
    <s v="Lunch"/>
    <n v="119.85000000000001"/>
    <s v="Single"/>
    <s v="Ok"/>
    <n v="46.53"/>
    <n v="73.320000000000007"/>
  </r>
  <r>
    <s v="O00164"/>
    <x v="7"/>
    <n v="2"/>
    <n v="70.540000000000006"/>
    <n v="35.81"/>
    <x v="0"/>
    <s v="Dessert+Snack"/>
    <x v="14"/>
    <x v="2"/>
    <n v="0.02"/>
    <s v="Cash"/>
    <s v="Dinner"/>
    <n v="138.25840000000002"/>
    <s v="Single"/>
    <s v="Ok"/>
    <n v="71.62"/>
    <n v="66.638400000000019"/>
  </r>
  <r>
    <s v="O00164"/>
    <x v="11"/>
    <n v="1"/>
    <n v="57.07"/>
    <n v="29.14"/>
    <x v="2"/>
    <s v="Dessert+Snack"/>
    <x v="14"/>
    <x v="2"/>
    <n v="0.02"/>
    <s v="Cash"/>
    <s v="Dinner"/>
    <n v="55.928599999999996"/>
    <s v="Single"/>
    <s v="Ok"/>
    <n v="29.14"/>
    <n v="26.788599999999995"/>
  </r>
  <r>
    <s v="O00165"/>
    <x v="10"/>
    <n v="1"/>
    <n v="22.2"/>
    <n v="9.3800000000000008"/>
    <x v="1"/>
    <s v="Beverage+Snack"/>
    <x v="25"/>
    <x v="0"/>
    <n v="0.08"/>
    <s v="Card"/>
    <s v="Lunch"/>
    <n v="20.423999999999999"/>
    <s v="Single"/>
    <s v="Ok"/>
    <n v="9.3800000000000008"/>
    <n v="11.043999999999999"/>
  </r>
  <r>
    <s v="O00165"/>
    <x v="3"/>
    <n v="2"/>
    <n v="32.979999999999997"/>
    <n v="11.84"/>
    <x v="1"/>
    <s v="Beverage+Snack"/>
    <x v="25"/>
    <x v="0"/>
    <n v="0.08"/>
    <s v="Card"/>
    <s v="Lunch"/>
    <n v="60.683199999999999"/>
    <s v="Single"/>
    <s v="Ok"/>
    <n v="23.68"/>
    <n v="37.0032"/>
  </r>
  <r>
    <s v="O00165"/>
    <x v="7"/>
    <n v="1"/>
    <n v="70.540000000000006"/>
    <n v="35.81"/>
    <x v="0"/>
    <s v="Beverage+Snack"/>
    <x v="25"/>
    <x v="0"/>
    <n v="0.08"/>
    <s v="Card"/>
    <s v="Lunch"/>
    <n v="64.896800000000013"/>
    <s v="Single"/>
    <s v="Ok"/>
    <n v="35.81"/>
    <n v="29.086800000000011"/>
  </r>
  <r>
    <s v="O00166"/>
    <x v="3"/>
    <n v="3"/>
    <n v="32.979999999999997"/>
    <n v="11.84"/>
    <x v="1"/>
    <s v="Beverage"/>
    <x v="19"/>
    <x v="0"/>
    <n v="0.08"/>
    <s v="Card"/>
    <s v="Lunch"/>
    <n v="91.024799999999999"/>
    <s v="Single"/>
    <s v="Ok"/>
    <n v="35.519999999999996"/>
    <n v="55.504800000000003"/>
  </r>
  <r>
    <s v="O00167"/>
    <x v="9"/>
    <n v="2"/>
    <n v="20.11"/>
    <n v="8"/>
    <x v="1"/>
    <s v="Beverage"/>
    <x v="40"/>
    <x v="2"/>
    <n v="0.08"/>
    <s v="UPI"/>
    <s v="Breakfast"/>
    <n v="37.002400000000002"/>
    <s v="Single"/>
    <s v="Ok"/>
    <n v="16"/>
    <n v="21.002400000000002"/>
  </r>
  <r>
    <s v="O00168"/>
    <x v="16"/>
    <n v="2"/>
    <n v="146.4"/>
    <n v="80.92"/>
    <x v="3"/>
    <s v="Dessert+Hot Meal+Snack"/>
    <x v="57"/>
    <x v="2"/>
    <n v="0.21"/>
    <s v="UPI"/>
    <s v="Lunch"/>
    <n v="231.31200000000001"/>
    <s v="Single"/>
    <s v="High Discount"/>
    <n v="161.84"/>
    <n v="69.472000000000008"/>
  </r>
  <r>
    <s v="O00168"/>
    <x v="18"/>
    <n v="1"/>
    <n v="50.19"/>
    <n v="22.61"/>
    <x v="0"/>
    <s v="Dessert+Hot Meal+Snack"/>
    <x v="57"/>
    <x v="2"/>
    <n v="0.21"/>
    <s v="UPI"/>
    <s v="Lunch"/>
    <n v="39.650100000000002"/>
    <s v="Single"/>
    <s v="High Discount"/>
    <n v="22.61"/>
    <n v="17.040100000000002"/>
  </r>
  <r>
    <s v="O00168"/>
    <x v="2"/>
    <n v="1"/>
    <n v="76.55"/>
    <n v="38.229999999999997"/>
    <x v="2"/>
    <s v="Dessert+Hot Meal+Snack"/>
    <x v="57"/>
    <x v="2"/>
    <n v="0.21"/>
    <s v="UPI"/>
    <s v="Lunch"/>
    <n v="60.474499999999999"/>
    <s v="Single"/>
    <s v="High Discount"/>
    <n v="38.229999999999997"/>
    <n v="22.244500000000002"/>
  </r>
  <r>
    <s v="O00169"/>
    <x v="11"/>
    <n v="1"/>
    <n v="57.07"/>
    <n v="29.14"/>
    <x v="2"/>
    <s v="Beverage+Dessert+Hot Meal"/>
    <x v="58"/>
    <x v="1"/>
    <n v="0.08"/>
    <s v="Card"/>
    <s v="Breakfast"/>
    <n v="52.504400000000004"/>
    <s v="Combo"/>
    <s v="Ok"/>
    <n v="29.14"/>
    <n v="23.364400000000003"/>
  </r>
  <r>
    <s v="O00169"/>
    <x v="3"/>
    <n v="1"/>
    <n v="32.979999999999997"/>
    <n v="11.84"/>
    <x v="1"/>
    <s v="Beverage+Dessert+Hot Meal"/>
    <x v="58"/>
    <x v="1"/>
    <n v="0.08"/>
    <s v="Card"/>
    <s v="Breakfast"/>
    <n v="30.3416"/>
    <s v="Combo"/>
    <s v="Ok"/>
    <n v="11.84"/>
    <n v="18.5016"/>
  </r>
  <r>
    <s v="O00169"/>
    <x v="15"/>
    <n v="1"/>
    <n v="227.61"/>
    <n v="96.22"/>
    <x v="3"/>
    <s v="Beverage+Dessert+Hot Meal"/>
    <x v="58"/>
    <x v="1"/>
    <n v="0.08"/>
    <s v="Card"/>
    <s v="Breakfast"/>
    <n v="209.40120000000002"/>
    <s v="Combo"/>
    <s v="Ok"/>
    <n v="96.22"/>
    <n v="113.18120000000002"/>
  </r>
  <r>
    <s v="O00169"/>
    <x v="8"/>
    <n v="1"/>
    <n v="28.43"/>
    <n v="13.89"/>
    <x v="1"/>
    <s v="Beverage+Dessert+Hot Meal"/>
    <x v="58"/>
    <x v="1"/>
    <n v="0.08"/>
    <s v="Card"/>
    <s v="Breakfast"/>
    <n v="26.1556"/>
    <s v="Combo"/>
    <s v="Ok"/>
    <n v="13.89"/>
    <n v="12.265599999999999"/>
  </r>
  <r>
    <s v="O00170"/>
    <x v="5"/>
    <n v="1"/>
    <n v="38.06"/>
    <n v="19.55"/>
    <x v="0"/>
    <s v="Beverage+Snack"/>
    <x v="30"/>
    <x v="2"/>
    <n v="0.11"/>
    <s v="UPI"/>
    <s v="Breakfast"/>
    <n v="33.873400000000004"/>
    <s v="Single"/>
    <s v="Ok"/>
    <n v="19.55"/>
    <n v="14.323400000000003"/>
  </r>
  <r>
    <s v="O00170"/>
    <x v="10"/>
    <n v="2"/>
    <n v="22.2"/>
    <n v="9.3800000000000008"/>
    <x v="1"/>
    <s v="Beverage+Snack"/>
    <x v="30"/>
    <x v="2"/>
    <n v="0.11"/>
    <s v="UPI"/>
    <s v="Breakfast"/>
    <n v="39.515999999999998"/>
    <s v="Single"/>
    <s v="Ok"/>
    <n v="18.760000000000002"/>
    <n v="20.755999999999997"/>
  </r>
  <r>
    <s v="O00170"/>
    <x v="18"/>
    <n v="1"/>
    <n v="50.19"/>
    <n v="22.61"/>
    <x v="0"/>
    <s v="Beverage+Snack"/>
    <x v="30"/>
    <x v="2"/>
    <n v="0.11"/>
    <s v="UPI"/>
    <s v="Breakfast"/>
    <n v="44.6691"/>
    <s v="Single"/>
    <s v="Ok"/>
    <n v="22.61"/>
    <n v="22.059100000000001"/>
  </r>
  <r>
    <s v="O00170"/>
    <x v="17"/>
    <n v="1"/>
    <n v="39.950000000000003"/>
    <n v="15.51"/>
    <x v="0"/>
    <s v="Beverage+Snack"/>
    <x v="30"/>
    <x v="2"/>
    <n v="0.11"/>
    <s v="UPI"/>
    <s v="Breakfast"/>
    <n v="35.555500000000002"/>
    <s v="Single"/>
    <s v="Ok"/>
    <n v="15.51"/>
    <n v="20.045500000000004"/>
  </r>
  <r>
    <s v="O00171"/>
    <x v="16"/>
    <n v="1"/>
    <n v="146.4"/>
    <n v="80.92"/>
    <x v="3"/>
    <s v="Hot Meal+Snack"/>
    <x v="52"/>
    <x v="0"/>
    <n v="0.1"/>
    <s v="Card"/>
    <s v="Breakfast"/>
    <n v="131.76000000000002"/>
    <s v="Single"/>
    <s v="High Discount"/>
    <n v="80.92"/>
    <n v="50.840000000000018"/>
  </r>
  <r>
    <s v="O00171"/>
    <x v="7"/>
    <n v="1"/>
    <n v="70.540000000000006"/>
    <n v="35.81"/>
    <x v="0"/>
    <s v="Hot Meal+Snack"/>
    <x v="52"/>
    <x v="0"/>
    <n v="0.1"/>
    <s v="Card"/>
    <s v="Breakfast"/>
    <n v="63.486000000000004"/>
    <s v="Single"/>
    <s v="High Discount"/>
    <n v="35.81"/>
    <n v="27.676000000000002"/>
  </r>
  <r>
    <s v="O00171"/>
    <x v="4"/>
    <n v="2"/>
    <n v="170.83"/>
    <n v="74.069999999999993"/>
    <x v="3"/>
    <s v="Hot Meal+Snack"/>
    <x v="52"/>
    <x v="0"/>
    <n v="0.1"/>
    <s v="Card"/>
    <s v="Breakfast"/>
    <n v="307.49400000000003"/>
    <s v="Single"/>
    <s v="High Discount"/>
    <n v="148.13999999999999"/>
    <n v="159.35400000000004"/>
  </r>
  <r>
    <s v="O00172"/>
    <x v="15"/>
    <n v="2"/>
    <n v="227.61"/>
    <n v="96.22"/>
    <x v="3"/>
    <s v="Hot Meal"/>
    <x v="42"/>
    <x v="0"/>
    <n v="0.09"/>
    <s v="Card"/>
    <s v="Lunch"/>
    <n v="414.25020000000006"/>
    <s v="Single"/>
    <s v="High Discount"/>
    <n v="192.44"/>
    <n v="221.81020000000007"/>
  </r>
  <r>
    <s v="O00173"/>
    <x v="14"/>
    <n v="2"/>
    <n v="256.91000000000003"/>
    <n v="121.24"/>
    <x v="3"/>
    <s v="Hot Meal"/>
    <x v="24"/>
    <x v="0"/>
    <n v="0.05"/>
    <s v="Card"/>
    <s v="Dinner"/>
    <n v="488.12900000000002"/>
    <s v="Single"/>
    <s v="Ok"/>
    <n v="242.48"/>
    <n v="245.64900000000003"/>
  </r>
  <r>
    <s v="O00174"/>
    <x v="9"/>
    <n v="2"/>
    <n v="20.11"/>
    <n v="8"/>
    <x v="1"/>
    <s v="Beverage+Dessert"/>
    <x v="13"/>
    <x v="0"/>
    <n v="0.09"/>
    <s v="UPI"/>
    <s v="Lunch"/>
    <n v="36.600200000000001"/>
    <s v="Single"/>
    <s v="Ok"/>
    <n v="16"/>
    <n v="20.600200000000001"/>
  </r>
  <r>
    <s v="O00174"/>
    <x v="2"/>
    <n v="1"/>
    <n v="76.55"/>
    <n v="38.229999999999997"/>
    <x v="2"/>
    <s v="Beverage+Dessert"/>
    <x v="13"/>
    <x v="0"/>
    <n v="0.09"/>
    <s v="UPI"/>
    <s v="Lunch"/>
    <n v="69.660499999999999"/>
    <s v="Single"/>
    <s v="Ok"/>
    <n v="38.229999999999997"/>
    <n v="31.430500000000002"/>
  </r>
  <r>
    <s v="O00174"/>
    <x v="3"/>
    <n v="2"/>
    <n v="32.979999999999997"/>
    <n v="11.84"/>
    <x v="1"/>
    <s v="Beverage+Dessert"/>
    <x v="13"/>
    <x v="0"/>
    <n v="0.09"/>
    <s v="UPI"/>
    <s v="Lunch"/>
    <n v="60.023599999999995"/>
    <s v="Single"/>
    <s v="Ok"/>
    <n v="23.68"/>
    <n v="36.343599999999995"/>
  </r>
  <r>
    <s v="O00174"/>
    <x v="8"/>
    <n v="3"/>
    <n v="28.43"/>
    <n v="13.89"/>
    <x v="1"/>
    <s v="Beverage+Dessert"/>
    <x v="13"/>
    <x v="0"/>
    <n v="0.09"/>
    <s v="UPI"/>
    <s v="Lunch"/>
    <n v="77.613900000000001"/>
    <s v="Single"/>
    <s v="Ok"/>
    <n v="41.67"/>
    <n v="35.943899999999999"/>
  </r>
  <r>
    <s v="O00175"/>
    <x v="18"/>
    <n v="2"/>
    <n v="50.19"/>
    <n v="22.61"/>
    <x v="0"/>
    <s v="Hot Meal+Snack"/>
    <x v="46"/>
    <x v="1"/>
    <n v="0.03"/>
    <s v="Card"/>
    <s v="Dinner"/>
    <n v="97.368599999999986"/>
    <s v="Single"/>
    <s v="Ok"/>
    <n v="45.22"/>
    <n v="52.148599999999988"/>
  </r>
  <r>
    <s v="O00175"/>
    <x v="15"/>
    <n v="1"/>
    <n v="227.61"/>
    <n v="96.22"/>
    <x v="3"/>
    <s v="Hot Meal+Snack"/>
    <x v="46"/>
    <x v="1"/>
    <n v="0.03"/>
    <s v="Card"/>
    <s v="Dinner"/>
    <n v="220.7817"/>
    <s v="Single"/>
    <s v="Ok"/>
    <n v="96.22"/>
    <n v="124.5617"/>
  </r>
  <r>
    <s v="O00176"/>
    <x v="9"/>
    <n v="1"/>
    <n v="20.11"/>
    <n v="8"/>
    <x v="1"/>
    <s v="Beverage+Hot Meal"/>
    <x v="57"/>
    <x v="1"/>
    <n v="0.05"/>
    <s v="UPI"/>
    <s v="Breakfast"/>
    <n v="19.104499999999998"/>
    <s v="Combo"/>
    <s v="Ok"/>
    <n v="8"/>
    <n v="11.104499999999998"/>
  </r>
  <r>
    <s v="O00176"/>
    <x v="14"/>
    <n v="1"/>
    <n v="256.91000000000003"/>
    <n v="121.24"/>
    <x v="3"/>
    <s v="Beverage+Hot Meal"/>
    <x v="57"/>
    <x v="1"/>
    <n v="0.05"/>
    <s v="UPI"/>
    <s v="Breakfast"/>
    <n v="244.06450000000001"/>
    <s v="Combo"/>
    <s v="Ok"/>
    <n v="121.24"/>
    <n v="122.82450000000001"/>
  </r>
  <r>
    <s v="O00176"/>
    <x v="15"/>
    <n v="1"/>
    <n v="227.61"/>
    <n v="96.22"/>
    <x v="3"/>
    <s v="Beverage+Hot Meal"/>
    <x v="57"/>
    <x v="1"/>
    <n v="0.05"/>
    <s v="UPI"/>
    <s v="Breakfast"/>
    <n v="216.2295"/>
    <s v="Combo"/>
    <s v="Ok"/>
    <n v="96.22"/>
    <n v="120.0095"/>
  </r>
  <r>
    <s v="O00177"/>
    <x v="11"/>
    <n v="1"/>
    <n v="57.07"/>
    <n v="29.14"/>
    <x v="2"/>
    <s v="Beverage+Dessert+Snack"/>
    <x v="41"/>
    <x v="2"/>
    <n v="0.04"/>
    <s v="UPI"/>
    <s v="Breakfast"/>
    <n v="54.787199999999999"/>
    <s v="Single"/>
    <s v="Ok"/>
    <n v="29.14"/>
    <n v="25.647199999999998"/>
  </r>
  <r>
    <s v="O00177"/>
    <x v="8"/>
    <n v="2"/>
    <n v="28.43"/>
    <n v="13.89"/>
    <x v="1"/>
    <s v="Beverage+Dessert+Snack"/>
    <x v="41"/>
    <x v="2"/>
    <n v="0.04"/>
    <s v="UPI"/>
    <s v="Breakfast"/>
    <n v="54.585599999999999"/>
    <s v="Single"/>
    <s v="Ok"/>
    <n v="27.78"/>
    <n v="26.805599999999998"/>
  </r>
  <r>
    <s v="O00177"/>
    <x v="5"/>
    <n v="1"/>
    <n v="38.06"/>
    <n v="19.55"/>
    <x v="0"/>
    <s v="Beverage+Dessert+Snack"/>
    <x v="41"/>
    <x v="2"/>
    <n v="0.04"/>
    <s v="UPI"/>
    <s v="Breakfast"/>
    <n v="36.537599999999998"/>
    <s v="Single"/>
    <s v="Ok"/>
    <n v="19.55"/>
    <n v="16.987599999999997"/>
  </r>
  <r>
    <s v="O00178"/>
    <x v="4"/>
    <n v="2"/>
    <n v="170.83"/>
    <n v="74.069999999999993"/>
    <x v="3"/>
    <s v="Dessert+Hot Meal"/>
    <x v="2"/>
    <x v="1"/>
    <n v="0.06"/>
    <s v="UPI"/>
    <s v="Dinner"/>
    <n v="321.16039999999998"/>
    <s v="Single"/>
    <s v="High Discount"/>
    <n v="148.13999999999999"/>
    <n v="173.0204"/>
  </r>
  <r>
    <s v="O00178"/>
    <x v="12"/>
    <n v="1"/>
    <n v="54.2"/>
    <n v="21.95"/>
    <x v="2"/>
    <s v="Dessert+Hot Meal"/>
    <x v="2"/>
    <x v="1"/>
    <n v="0.06"/>
    <s v="UPI"/>
    <s v="Dinner"/>
    <n v="50.948"/>
    <s v="Single"/>
    <s v="High Discount"/>
    <n v="21.95"/>
    <n v="28.998000000000001"/>
  </r>
  <r>
    <s v="O00178"/>
    <x v="16"/>
    <n v="2"/>
    <n v="146.4"/>
    <n v="80.92"/>
    <x v="3"/>
    <s v="Dessert+Hot Meal"/>
    <x v="2"/>
    <x v="1"/>
    <n v="0.06"/>
    <s v="UPI"/>
    <s v="Dinner"/>
    <n v="275.23199999999997"/>
    <s v="Single"/>
    <s v="High Discount"/>
    <n v="161.84"/>
    <n v="113.39199999999997"/>
  </r>
  <r>
    <s v="O00178"/>
    <x v="13"/>
    <n v="3"/>
    <n v="116.8"/>
    <n v="48.97"/>
    <x v="2"/>
    <s v="Dessert+Hot Meal"/>
    <x v="2"/>
    <x v="1"/>
    <n v="0.06"/>
    <s v="UPI"/>
    <s v="Dinner"/>
    <n v="329.37599999999998"/>
    <s v="Single"/>
    <s v="High Discount"/>
    <n v="146.91"/>
    <n v="182.46599999999998"/>
  </r>
  <r>
    <s v="O00179"/>
    <x v="6"/>
    <n v="1"/>
    <n v="246.09"/>
    <n v="112.08"/>
    <x v="3"/>
    <s v="Hot Meal+Snack"/>
    <x v="21"/>
    <x v="0"/>
    <n v="0.15"/>
    <s v="Card"/>
    <s v="Dinner"/>
    <n v="209.1765"/>
    <s v="Single"/>
    <s v="High Discount"/>
    <n v="112.08"/>
    <n v="97.096500000000006"/>
  </r>
  <r>
    <s v="O00179"/>
    <x v="18"/>
    <n v="2"/>
    <n v="50.19"/>
    <n v="22.61"/>
    <x v="0"/>
    <s v="Hot Meal+Snack"/>
    <x v="21"/>
    <x v="0"/>
    <n v="0.15"/>
    <s v="Card"/>
    <s v="Dinner"/>
    <n v="85.322999999999993"/>
    <s v="Single"/>
    <s v="High Discount"/>
    <n v="45.22"/>
    <n v="40.102999999999994"/>
  </r>
  <r>
    <s v="O00179"/>
    <x v="0"/>
    <n v="1"/>
    <n v="52.45"/>
    <n v="25.8"/>
    <x v="0"/>
    <s v="Hot Meal+Snack"/>
    <x v="21"/>
    <x v="0"/>
    <n v="0.15"/>
    <s v="Card"/>
    <s v="Dinner"/>
    <n v="44.582500000000003"/>
    <s v="Single"/>
    <s v="High Discount"/>
    <n v="25.8"/>
    <n v="18.782500000000002"/>
  </r>
  <r>
    <s v="O00180"/>
    <x v="8"/>
    <n v="1"/>
    <n v="28.43"/>
    <n v="13.89"/>
    <x v="1"/>
    <s v="Beverage"/>
    <x v="58"/>
    <x v="1"/>
    <n v="0"/>
    <s v="Card"/>
    <s v="Lunch"/>
    <n v="28.43"/>
    <s v="Single"/>
    <s v="Ok"/>
    <n v="13.89"/>
    <n v="14.54"/>
  </r>
  <r>
    <s v="O00181"/>
    <x v="15"/>
    <n v="3"/>
    <n v="227.61"/>
    <n v="96.22"/>
    <x v="3"/>
    <s v="Dessert+Hot Meal"/>
    <x v="15"/>
    <x v="1"/>
    <n v="0.09"/>
    <s v="UPI"/>
    <s v="Breakfast"/>
    <n v="621.37530000000004"/>
    <s v="Single"/>
    <s v="High Discount"/>
    <n v="288.65999999999997"/>
    <n v="332.71530000000007"/>
  </r>
  <r>
    <s v="O00181"/>
    <x v="6"/>
    <n v="1"/>
    <n v="246.09"/>
    <n v="112.08"/>
    <x v="3"/>
    <s v="Dessert+Hot Meal"/>
    <x v="15"/>
    <x v="1"/>
    <n v="0.09"/>
    <s v="UPI"/>
    <s v="Breakfast"/>
    <n v="223.9419"/>
    <s v="Single"/>
    <s v="High Discount"/>
    <n v="112.08"/>
    <n v="111.86190000000001"/>
  </r>
  <r>
    <s v="O00181"/>
    <x v="14"/>
    <n v="1"/>
    <n v="256.91000000000003"/>
    <n v="121.24"/>
    <x v="3"/>
    <s v="Dessert+Hot Meal"/>
    <x v="15"/>
    <x v="1"/>
    <n v="0.09"/>
    <s v="UPI"/>
    <s v="Breakfast"/>
    <n v="233.78810000000004"/>
    <s v="Single"/>
    <s v="High Discount"/>
    <n v="121.24"/>
    <n v="112.54810000000005"/>
  </r>
  <r>
    <s v="O00181"/>
    <x v="11"/>
    <n v="2"/>
    <n v="57.07"/>
    <n v="29.14"/>
    <x v="2"/>
    <s v="Dessert+Hot Meal"/>
    <x v="15"/>
    <x v="1"/>
    <n v="0.09"/>
    <s v="UPI"/>
    <s v="Breakfast"/>
    <n v="103.8674"/>
    <s v="Single"/>
    <s v="High Discount"/>
    <n v="58.28"/>
    <n v="45.587400000000002"/>
  </r>
  <r>
    <s v="O00182"/>
    <x v="0"/>
    <n v="1"/>
    <n v="52.45"/>
    <n v="25.8"/>
    <x v="0"/>
    <s v="Snack"/>
    <x v="16"/>
    <x v="0"/>
    <n v="0"/>
    <s v="Card"/>
    <s v="Dinner"/>
    <n v="52.45"/>
    <s v="Single"/>
    <s v="Ok"/>
    <n v="25.8"/>
    <n v="26.650000000000002"/>
  </r>
  <r>
    <s v="O00183"/>
    <x v="1"/>
    <n v="3"/>
    <n v="30.34"/>
    <n v="14.18"/>
    <x v="1"/>
    <s v="Beverage"/>
    <x v="26"/>
    <x v="0"/>
    <n v="0.04"/>
    <s v="Cash"/>
    <s v="Dinner"/>
    <n v="87.379199999999997"/>
    <s v="Single"/>
    <s v="Ok"/>
    <n v="42.54"/>
    <n v="44.839199999999998"/>
  </r>
  <r>
    <s v="O00183"/>
    <x v="3"/>
    <n v="2"/>
    <n v="32.979999999999997"/>
    <n v="11.84"/>
    <x v="1"/>
    <s v="Beverage"/>
    <x v="26"/>
    <x v="0"/>
    <n v="0.04"/>
    <s v="Cash"/>
    <s v="Dinner"/>
    <n v="63.321599999999989"/>
    <s v="Single"/>
    <s v="Ok"/>
    <n v="23.68"/>
    <n v="39.64159999999999"/>
  </r>
  <r>
    <s v="O00184"/>
    <x v="5"/>
    <n v="1"/>
    <n v="38.06"/>
    <n v="19.55"/>
    <x v="0"/>
    <s v="Dessert+Snack"/>
    <x v="46"/>
    <x v="0"/>
    <n v="0.1"/>
    <s v="Card"/>
    <s v="Breakfast"/>
    <n v="34.254000000000005"/>
    <s v="Single"/>
    <s v="Ok"/>
    <n v="19.55"/>
    <n v="14.704000000000004"/>
  </r>
  <r>
    <s v="O00184"/>
    <x v="18"/>
    <n v="1"/>
    <n v="50.19"/>
    <n v="22.61"/>
    <x v="0"/>
    <s v="Dessert+Snack"/>
    <x v="46"/>
    <x v="0"/>
    <n v="0.1"/>
    <s v="Card"/>
    <s v="Breakfast"/>
    <n v="45.170999999999999"/>
    <s v="Single"/>
    <s v="Ok"/>
    <n v="22.61"/>
    <n v="22.561"/>
  </r>
  <r>
    <s v="O00184"/>
    <x v="11"/>
    <n v="1"/>
    <n v="57.07"/>
    <n v="29.14"/>
    <x v="2"/>
    <s v="Dessert+Snack"/>
    <x v="46"/>
    <x v="0"/>
    <n v="0.1"/>
    <s v="Card"/>
    <s v="Breakfast"/>
    <n v="51.363"/>
    <s v="Single"/>
    <s v="Ok"/>
    <n v="29.14"/>
    <n v="22.222999999999999"/>
  </r>
  <r>
    <s v="O00185"/>
    <x v="7"/>
    <n v="1"/>
    <n v="70.540000000000006"/>
    <n v="35.81"/>
    <x v="0"/>
    <s v="Beverage+Dessert+Snack"/>
    <x v="28"/>
    <x v="1"/>
    <n v="0.06"/>
    <s v="UPI"/>
    <s v="Breakfast"/>
    <n v="66.307600000000008"/>
    <s v="Single"/>
    <s v="Ok"/>
    <n v="35.81"/>
    <n v="30.497600000000006"/>
  </r>
  <r>
    <s v="O00185"/>
    <x v="11"/>
    <n v="1"/>
    <n v="57.07"/>
    <n v="29.14"/>
    <x v="2"/>
    <s v="Beverage+Dessert+Snack"/>
    <x v="28"/>
    <x v="1"/>
    <n v="0.06"/>
    <s v="UPI"/>
    <s v="Breakfast"/>
    <n v="53.645799999999994"/>
    <s v="Single"/>
    <s v="Ok"/>
    <n v="29.14"/>
    <n v="24.505799999999994"/>
  </r>
  <r>
    <s v="O00185"/>
    <x v="9"/>
    <n v="1"/>
    <n v="20.11"/>
    <n v="8"/>
    <x v="1"/>
    <s v="Beverage+Dessert+Snack"/>
    <x v="28"/>
    <x v="1"/>
    <n v="0.06"/>
    <s v="UPI"/>
    <s v="Breakfast"/>
    <n v="18.903399999999998"/>
    <s v="Single"/>
    <s v="Ok"/>
    <n v="8"/>
    <n v="10.903399999999998"/>
  </r>
  <r>
    <s v="O00186"/>
    <x v="1"/>
    <n v="2"/>
    <n v="30.34"/>
    <n v="14.18"/>
    <x v="1"/>
    <s v="Beverage"/>
    <x v="26"/>
    <x v="2"/>
    <n v="0.02"/>
    <s v="Cash"/>
    <s v="Breakfast"/>
    <n v="59.4664"/>
    <s v="Single"/>
    <s v="Ok"/>
    <n v="28.36"/>
    <n v="31.106400000000001"/>
  </r>
  <r>
    <s v="O00187"/>
    <x v="7"/>
    <n v="1"/>
    <n v="70.540000000000006"/>
    <n v="35.81"/>
    <x v="0"/>
    <s v="Beverage+Dessert+Hot Meal+Snack"/>
    <x v="36"/>
    <x v="1"/>
    <n v="0.03"/>
    <s v="Cash"/>
    <s v="Breakfast"/>
    <n v="68.4238"/>
    <s v="Combo"/>
    <s v="Ok"/>
    <n v="35.81"/>
    <n v="32.613799999999998"/>
  </r>
  <r>
    <s v="O00187"/>
    <x v="3"/>
    <n v="2"/>
    <n v="32.979999999999997"/>
    <n v="11.84"/>
    <x v="1"/>
    <s v="Beverage+Dessert+Hot Meal+Snack"/>
    <x v="36"/>
    <x v="1"/>
    <n v="0.03"/>
    <s v="Cash"/>
    <s v="Breakfast"/>
    <n v="63.981199999999994"/>
    <s v="Combo"/>
    <s v="Ok"/>
    <n v="23.68"/>
    <n v="40.301199999999994"/>
  </r>
  <r>
    <s v="O00187"/>
    <x v="12"/>
    <n v="2"/>
    <n v="54.2"/>
    <n v="21.95"/>
    <x v="2"/>
    <s v="Beverage+Dessert+Hot Meal+Snack"/>
    <x v="36"/>
    <x v="1"/>
    <n v="0.03"/>
    <s v="Cash"/>
    <s v="Breakfast"/>
    <n v="105.148"/>
    <s v="Combo"/>
    <s v="Ok"/>
    <n v="43.9"/>
    <n v="61.247999999999998"/>
  </r>
  <r>
    <s v="O00187"/>
    <x v="4"/>
    <n v="1"/>
    <n v="170.83"/>
    <n v="74.069999999999993"/>
    <x v="3"/>
    <s v="Beverage+Dessert+Hot Meal+Snack"/>
    <x v="36"/>
    <x v="1"/>
    <n v="0.03"/>
    <s v="Cash"/>
    <s v="Breakfast"/>
    <n v="165.70510000000002"/>
    <s v="Combo"/>
    <s v="Ok"/>
    <n v="74.069999999999993"/>
    <n v="91.635100000000023"/>
  </r>
  <r>
    <s v="O00188"/>
    <x v="10"/>
    <n v="2"/>
    <n v="22.2"/>
    <n v="9.3800000000000008"/>
    <x v="1"/>
    <s v="Beverage+Snack"/>
    <x v="12"/>
    <x v="1"/>
    <n v="0.09"/>
    <s v="UPI"/>
    <s v="Dinner"/>
    <n v="40.404000000000003"/>
    <s v="Single"/>
    <s v="Ok"/>
    <n v="18.760000000000002"/>
    <n v="21.644000000000002"/>
  </r>
  <r>
    <s v="O00188"/>
    <x v="9"/>
    <n v="2"/>
    <n v="20.11"/>
    <n v="8"/>
    <x v="1"/>
    <s v="Beverage+Snack"/>
    <x v="12"/>
    <x v="1"/>
    <n v="0.09"/>
    <s v="UPI"/>
    <s v="Dinner"/>
    <n v="36.600200000000001"/>
    <s v="Single"/>
    <s v="Ok"/>
    <n v="16"/>
    <n v="20.600200000000001"/>
  </r>
  <r>
    <s v="O00188"/>
    <x v="7"/>
    <n v="1"/>
    <n v="70.540000000000006"/>
    <n v="35.81"/>
    <x v="0"/>
    <s v="Beverage+Snack"/>
    <x v="12"/>
    <x v="1"/>
    <n v="0.09"/>
    <s v="UPI"/>
    <s v="Dinner"/>
    <n v="64.191400000000002"/>
    <s v="Single"/>
    <s v="Ok"/>
    <n v="35.81"/>
    <n v="28.381399999999999"/>
  </r>
  <r>
    <s v="O00188"/>
    <x v="18"/>
    <n v="1"/>
    <n v="50.19"/>
    <n v="22.61"/>
    <x v="0"/>
    <s v="Beverage+Snack"/>
    <x v="12"/>
    <x v="1"/>
    <n v="0.09"/>
    <s v="UPI"/>
    <s v="Dinner"/>
    <n v="45.672899999999998"/>
    <s v="Single"/>
    <s v="Ok"/>
    <n v="22.61"/>
    <n v="23.062899999999999"/>
  </r>
  <r>
    <s v="O00189"/>
    <x v="7"/>
    <n v="1"/>
    <n v="70.540000000000006"/>
    <n v="35.81"/>
    <x v="0"/>
    <s v="Beverage+Hot Meal+Snack"/>
    <x v="48"/>
    <x v="2"/>
    <n v="0.03"/>
    <s v="UPI"/>
    <s v="Dinner"/>
    <n v="68.4238"/>
    <s v="Combo"/>
    <s v="Ok"/>
    <n v="35.81"/>
    <n v="32.613799999999998"/>
  </r>
  <r>
    <s v="O00189"/>
    <x v="9"/>
    <n v="2"/>
    <n v="20.11"/>
    <n v="8"/>
    <x v="1"/>
    <s v="Beverage+Hot Meal+Snack"/>
    <x v="48"/>
    <x v="2"/>
    <n v="0.03"/>
    <s v="UPI"/>
    <s v="Dinner"/>
    <n v="39.013399999999997"/>
    <s v="Combo"/>
    <s v="Ok"/>
    <n v="16"/>
    <n v="23.013399999999997"/>
  </r>
  <r>
    <s v="O00189"/>
    <x v="6"/>
    <n v="2"/>
    <n v="246.09"/>
    <n v="112.08"/>
    <x v="3"/>
    <s v="Beverage+Hot Meal+Snack"/>
    <x v="48"/>
    <x v="2"/>
    <n v="0.03"/>
    <s v="UPI"/>
    <s v="Dinner"/>
    <n v="477.41460000000001"/>
    <s v="Combo"/>
    <s v="Ok"/>
    <n v="224.16"/>
    <n v="253.25460000000001"/>
  </r>
  <r>
    <s v="O00190"/>
    <x v="16"/>
    <n v="1"/>
    <n v="146.4"/>
    <n v="80.92"/>
    <x v="3"/>
    <s v="Hot Meal"/>
    <x v="1"/>
    <x v="1"/>
    <n v="7.0000000000000007E-2"/>
    <s v="Cash"/>
    <s v="Lunch"/>
    <n v="136.15199999999999"/>
    <s v="Single"/>
    <s v="Ok"/>
    <n v="80.92"/>
    <n v="55.231999999999985"/>
  </r>
  <r>
    <s v="O00191"/>
    <x v="18"/>
    <n v="2"/>
    <n v="50.19"/>
    <n v="22.61"/>
    <x v="0"/>
    <s v="Dessert+Snack"/>
    <x v="39"/>
    <x v="0"/>
    <n v="0.06"/>
    <s v="Card"/>
    <s v="Breakfast"/>
    <n v="94.357199999999992"/>
    <s v="Single"/>
    <s v="Ok"/>
    <n v="45.22"/>
    <n v="49.137199999999993"/>
  </r>
  <r>
    <s v="O00191"/>
    <x v="11"/>
    <n v="3"/>
    <n v="57.07"/>
    <n v="29.14"/>
    <x v="2"/>
    <s v="Dessert+Snack"/>
    <x v="39"/>
    <x v="0"/>
    <n v="0.06"/>
    <s v="Card"/>
    <s v="Breakfast"/>
    <n v="160.9374"/>
    <s v="Single"/>
    <s v="Ok"/>
    <n v="87.42"/>
    <n v="73.517399999999995"/>
  </r>
  <r>
    <s v="O00192"/>
    <x v="14"/>
    <n v="2"/>
    <n v="256.91000000000003"/>
    <n v="121.24"/>
    <x v="3"/>
    <s v="Hot Meal"/>
    <x v="21"/>
    <x v="1"/>
    <n v="0.03"/>
    <s v="UPI"/>
    <s v="Breakfast"/>
    <n v="498.40540000000004"/>
    <s v="Single"/>
    <s v="Ok"/>
    <n v="242.48"/>
    <n v="255.92540000000005"/>
  </r>
  <r>
    <s v="O00193"/>
    <x v="9"/>
    <n v="1"/>
    <n v="20.11"/>
    <n v="8"/>
    <x v="1"/>
    <s v="Beverage+Dessert+Snack"/>
    <x v="10"/>
    <x v="2"/>
    <n v="0.15"/>
    <s v="Card"/>
    <s v="Lunch"/>
    <n v="17.093499999999999"/>
    <s v="Single"/>
    <s v="Ok"/>
    <n v="8"/>
    <n v="9.0934999999999988"/>
  </r>
  <r>
    <s v="O00193"/>
    <x v="7"/>
    <n v="1"/>
    <n v="70.540000000000006"/>
    <n v="35.81"/>
    <x v="0"/>
    <s v="Beverage+Dessert+Snack"/>
    <x v="10"/>
    <x v="2"/>
    <n v="0.15"/>
    <s v="Card"/>
    <s v="Lunch"/>
    <n v="59.959000000000003"/>
    <s v="Single"/>
    <s v="Ok"/>
    <n v="35.81"/>
    <n v="24.149000000000001"/>
  </r>
  <r>
    <s v="O00193"/>
    <x v="3"/>
    <n v="3"/>
    <n v="32.979999999999997"/>
    <n v="11.84"/>
    <x v="1"/>
    <s v="Beverage+Dessert+Snack"/>
    <x v="10"/>
    <x v="2"/>
    <n v="0.15"/>
    <s v="Card"/>
    <s v="Lunch"/>
    <n v="84.09899999999999"/>
    <s v="Single"/>
    <s v="Ok"/>
    <n v="35.519999999999996"/>
    <n v="48.578999999999994"/>
  </r>
  <r>
    <s v="O00193"/>
    <x v="11"/>
    <n v="1"/>
    <n v="57.07"/>
    <n v="29.14"/>
    <x v="2"/>
    <s v="Beverage+Dessert+Snack"/>
    <x v="10"/>
    <x v="2"/>
    <n v="0.15"/>
    <s v="Card"/>
    <s v="Lunch"/>
    <n v="48.509499999999996"/>
    <s v="Single"/>
    <s v="Ok"/>
    <n v="29.14"/>
    <n v="19.369499999999995"/>
  </r>
  <r>
    <s v="O00194"/>
    <x v="10"/>
    <n v="2"/>
    <n v="22.2"/>
    <n v="9.3800000000000008"/>
    <x v="1"/>
    <s v="Beverage+Snack"/>
    <x v="9"/>
    <x v="0"/>
    <n v="0.09"/>
    <s v="Card"/>
    <s v="Breakfast"/>
    <n v="40.404000000000003"/>
    <s v="Single"/>
    <s v="Ok"/>
    <n v="18.760000000000002"/>
    <n v="21.644000000000002"/>
  </r>
  <r>
    <s v="O00194"/>
    <x v="18"/>
    <n v="2"/>
    <n v="50.19"/>
    <n v="22.61"/>
    <x v="0"/>
    <s v="Beverage+Snack"/>
    <x v="9"/>
    <x v="0"/>
    <n v="0.09"/>
    <s v="Card"/>
    <s v="Breakfast"/>
    <n v="91.345799999999997"/>
    <s v="Single"/>
    <s v="Ok"/>
    <n v="45.22"/>
    <n v="46.125799999999998"/>
  </r>
  <r>
    <s v="O00194"/>
    <x v="0"/>
    <n v="2"/>
    <n v="52.45"/>
    <n v="25.8"/>
    <x v="0"/>
    <s v="Beverage+Snack"/>
    <x v="9"/>
    <x v="0"/>
    <n v="0.09"/>
    <s v="Card"/>
    <s v="Breakfast"/>
    <n v="95.459000000000003"/>
    <s v="Single"/>
    <s v="Ok"/>
    <n v="51.6"/>
    <n v="43.859000000000002"/>
  </r>
  <r>
    <s v="O00195"/>
    <x v="13"/>
    <n v="1"/>
    <n v="116.8"/>
    <n v="48.97"/>
    <x v="2"/>
    <s v="Dessert+Hot Meal+Snack"/>
    <x v="32"/>
    <x v="1"/>
    <n v="0"/>
    <s v="Cash"/>
    <s v="Lunch"/>
    <n v="116.8"/>
    <s v="Single"/>
    <s v="Ok"/>
    <n v="48.97"/>
    <n v="67.83"/>
  </r>
  <r>
    <s v="O00195"/>
    <x v="18"/>
    <n v="2"/>
    <n v="50.19"/>
    <n v="22.61"/>
    <x v="0"/>
    <s v="Dessert+Hot Meal+Snack"/>
    <x v="32"/>
    <x v="1"/>
    <n v="0"/>
    <s v="Cash"/>
    <s v="Lunch"/>
    <n v="100.38"/>
    <s v="Single"/>
    <s v="Ok"/>
    <n v="45.22"/>
    <n v="55.16"/>
  </r>
  <r>
    <s v="O00195"/>
    <x v="14"/>
    <n v="2"/>
    <n v="256.91000000000003"/>
    <n v="121.24"/>
    <x v="3"/>
    <s v="Dessert+Hot Meal+Snack"/>
    <x v="32"/>
    <x v="1"/>
    <n v="0"/>
    <s v="Cash"/>
    <s v="Lunch"/>
    <n v="513.82000000000005"/>
    <s v="Single"/>
    <s v="Ok"/>
    <n v="242.48"/>
    <n v="271.34000000000003"/>
  </r>
  <r>
    <s v="O00196"/>
    <x v="2"/>
    <n v="1"/>
    <n v="76.55"/>
    <n v="38.229999999999997"/>
    <x v="2"/>
    <s v="Dessert+Hot Meal+Snack"/>
    <x v="57"/>
    <x v="0"/>
    <n v="7.0000000000000007E-2"/>
    <s v="UPI"/>
    <s v="Breakfast"/>
    <n v="71.191499999999991"/>
    <s v="Single"/>
    <s v="Ok"/>
    <n v="38.229999999999997"/>
    <n v="32.961499999999994"/>
  </r>
  <r>
    <s v="O00196"/>
    <x v="17"/>
    <n v="3"/>
    <n v="39.950000000000003"/>
    <n v="15.51"/>
    <x v="0"/>
    <s v="Dessert+Hot Meal+Snack"/>
    <x v="57"/>
    <x v="0"/>
    <n v="7.0000000000000007E-2"/>
    <s v="UPI"/>
    <s v="Breakfast"/>
    <n v="111.4605"/>
    <s v="Single"/>
    <s v="Ok"/>
    <n v="46.53"/>
    <n v="64.930499999999995"/>
  </r>
  <r>
    <s v="O00196"/>
    <x v="16"/>
    <n v="1"/>
    <n v="146.4"/>
    <n v="80.92"/>
    <x v="3"/>
    <s v="Dessert+Hot Meal+Snack"/>
    <x v="57"/>
    <x v="0"/>
    <n v="7.0000000000000007E-2"/>
    <s v="UPI"/>
    <s v="Breakfast"/>
    <n v="136.15199999999999"/>
    <s v="Single"/>
    <s v="Ok"/>
    <n v="80.92"/>
    <n v="55.231999999999985"/>
  </r>
  <r>
    <s v="O00197"/>
    <x v="1"/>
    <n v="2"/>
    <n v="30.34"/>
    <n v="14.18"/>
    <x v="1"/>
    <s v="Beverage+Hot Meal"/>
    <x v="56"/>
    <x v="2"/>
    <n v="0.03"/>
    <s v="Card"/>
    <s v="Dinner"/>
    <n v="58.8596"/>
    <s v="Combo"/>
    <s v="Ok"/>
    <n v="28.36"/>
    <n v="30.499600000000001"/>
  </r>
  <r>
    <s v="O00197"/>
    <x v="14"/>
    <n v="1"/>
    <n v="256.91000000000003"/>
    <n v="121.24"/>
    <x v="3"/>
    <s v="Beverage+Hot Meal"/>
    <x v="56"/>
    <x v="2"/>
    <n v="0.03"/>
    <s v="Card"/>
    <s v="Dinner"/>
    <n v="249.20270000000002"/>
    <s v="Combo"/>
    <s v="Ok"/>
    <n v="121.24"/>
    <n v="127.96270000000003"/>
  </r>
  <r>
    <s v="O00198"/>
    <x v="11"/>
    <n v="1"/>
    <n v="57.07"/>
    <n v="29.14"/>
    <x v="2"/>
    <s v="Beverage+Dessert"/>
    <x v="21"/>
    <x v="0"/>
    <n v="0.09"/>
    <s v="UPI"/>
    <s v="Breakfast"/>
    <n v="51.933700000000002"/>
    <s v="Single"/>
    <s v="Ok"/>
    <n v="29.14"/>
    <n v="22.793700000000001"/>
  </r>
  <r>
    <s v="O00198"/>
    <x v="1"/>
    <n v="2"/>
    <n v="30.34"/>
    <n v="14.18"/>
    <x v="1"/>
    <s v="Beverage+Dessert"/>
    <x v="21"/>
    <x v="0"/>
    <n v="0.09"/>
    <s v="UPI"/>
    <s v="Breakfast"/>
    <n v="55.218800000000002"/>
    <s v="Single"/>
    <s v="Ok"/>
    <n v="28.36"/>
    <n v="26.858800000000002"/>
  </r>
  <r>
    <s v="O00199"/>
    <x v="6"/>
    <n v="1"/>
    <n v="246.09"/>
    <n v="112.08"/>
    <x v="3"/>
    <s v="Beverage+Hot Meal"/>
    <x v="54"/>
    <x v="0"/>
    <n v="0.03"/>
    <s v="Card"/>
    <s v="Breakfast"/>
    <n v="238.7073"/>
    <s v="Combo"/>
    <s v="Ok"/>
    <n v="112.08"/>
    <n v="126.62730000000001"/>
  </r>
  <r>
    <s v="O00199"/>
    <x v="14"/>
    <n v="1"/>
    <n v="256.91000000000003"/>
    <n v="121.24"/>
    <x v="3"/>
    <s v="Beverage+Hot Meal"/>
    <x v="54"/>
    <x v="0"/>
    <n v="0.03"/>
    <s v="Card"/>
    <s v="Breakfast"/>
    <n v="249.20270000000002"/>
    <s v="Combo"/>
    <s v="Ok"/>
    <n v="121.24"/>
    <n v="127.96270000000003"/>
  </r>
  <r>
    <s v="O00199"/>
    <x v="4"/>
    <n v="2"/>
    <n v="170.83"/>
    <n v="74.069999999999993"/>
    <x v="3"/>
    <s v="Beverage+Hot Meal"/>
    <x v="54"/>
    <x v="0"/>
    <n v="0.03"/>
    <s v="Card"/>
    <s v="Breakfast"/>
    <n v="331.41020000000003"/>
    <s v="Combo"/>
    <s v="Ok"/>
    <n v="148.13999999999999"/>
    <n v="183.27020000000005"/>
  </r>
  <r>
    <s v="O00199"/>
    <x v="3"/>
    <n v="1"/>
    <n v="32.979999999999997"/>
    <n v="11.84"/>
    <x v="1"/>
    <s v="Beverage+Hot Meal"/>
    <x v="54"/>
    <x v="0"/>
    <n v="0.03"/>
    <s v="Card"/>
    <s v="Breakfast"/>
    <n v="31.990599999999997"/>
    <s v="Combo"/>
    <s v="Ok"/>
    <n v="11.84"/>
    <n v="20.150599999999997"/>
  </r>
  <r>
    <s v="O00200"/>
    <x v="17"/>
    <n v="1"/>
    <n v="39.950000000000003"/>
    <n v="15.51"/>
    <x v="0"/>
    <s v="Snack"/>
    <x v="54"/>
    <x v="1"/>
    <n v="0.06"/>
    <s v="UPI"/>
    <s v="Breakfast"/>
    <n v="37.552999999999997"/>
    <s v="Single"/>
    <s v="Ok"/>
    <n v="15.51"/>
    <n v="22.042999999999999"/>
  </r>
  <r>
    <s v="O00201"/>
    <x v="5"/>
    <n v="1"/>
    <n v="38.06"/>
    <n v="19.55"/>
    <x v="0"/>
    <s v="Snack"/>
    <x v="5"/>
    <x v="0"/>
    <n v="0.08"/>
    <s v="UPI"/>
    <s v="Lunch"/>
    <n v="35.0152"/>
    <s v="Single"/>
    <s v="Ok"/>
    <n v="19.55"/>
    <n v="15.465199999999999"/>
  </r>
  <r>
    <s v="O00202"/>
    <x v="4"/>
    <n v="1"/>
    <n v="170.83"/>
    <n v="74.069999999999993"/>
    <x v="3"/>
    <s v="Hot Meal"/>
    <x v="2"/>
    <x v="0"/>
    <n v="0.09"/>
    <s v="Cash"/>
    <s v="Dinner"/>
    <n v="155.45530000000002"/>
    <s v="Single"/>
    <s v="Ok"/>
    <n v="74.069999999999993"/>
    <n v="81.385300000000029"/>
  </r>
  <r>
    <s v="O00203"/>
    <x v="16"/>
    <n v="1"/>
    <n v="146.4"/>
    <n v="80.92"/>
    <x v="3"/>
    <s v="Dessert+Hot Meal"/>
    <x v="42"/>
    <x v="2"/>
    <n v="0.01"/>
    <s v="Card"/>
    <s v="Breakfast"/>
    <n v="144.93600000000001"/>
    <s v="Single"/>
    <s v="Ok"/>
    <n v="80.92"/>
    <n v="64.016000000000005"/>
  </r>
  <r>
    <s v="O00203"/>
    <x v="12"/>
    <n v="2"/>
    <n v="54.2"/>
    <n v="21.95"/>
    <x v="2"/>
    <s v="Dessert+Hot Meal"/>
    <x v="42"/>
    <x v="2"/>
    <n v="0.01"/>
    <s v="Card"/>
    <s v="Breakfast"/>
    <n v="107.316"/>
    <s v="Single"/>
    <s v="Ok"/>
    <n v="43.9"/>
    <n v="63.416000000000004"/>
  </r>
  <r>
    <s v="O00204"/>
    <x v="10"/>
    <n v="1"/>
    <n v="22.2"/>
    <n v="9.3800000000000008"/>
    <x v="1"/>
    <s v="Beverage+Hot Meal"/>
    <x v="2"/>
    <x v="1"/>
    <n v="0.05"/>
    <s v="UPI"/>
    <s v="Breakfast"/>
    <n v="21.09"/>
    <s v="Combo"/>
    <s v="High Discount"/>
    <n v="9.3800000000000008"/>
    <n v="11.709999999999999"/>
  </r>
  <r>
    <s v="O00204"/>
    <x v="15"/>
    <n v="3"/>
    <n v="227.61"/>
    <n v="96.22"/>
    <x v="3"/>
    <s v="Beverage+Hot Meal"/>
    <x v="2"/>
    <x v="1"/>
    <n v="0.05"/>
    <s v="UPI"/>
    <s v="Breakfast"/>
    <n v="648.68849999999998"/>
    <s v="Combo"/>
    <s v="High Discount"/>
    <n v="288.65999999999997"/>
    <n v="360.02850000000001"/>
  </r>
  <r>
    <s v="O00204"/>
    <x v="6"/>
    <n v="1"/>
    <n v="246.09"/>
    <n v="112.08"/>
    <x v="3"/>
    <s v="Beverage+Hot Meal"/>
    <x v="2"/>
    <x v="1"/>
    <n v="0.05"/>
    <s v="UPI"/>
    <s v="Breakfast"/>
    <n v="233.78549999999998"/>
    <s v="Combo"/>
    <s v="High Discount"/>
    <n v="112.08"/>
    <n v="121.70549999999999"/>
  </r>
  <r>
    <s v="O00205"/>
    <x v="16"/>
    <n v="1"/>
    <n v="146.4"/>
    <n v="80.92"/>
    <x v="3"/>
    <s v="Beverage+Hot Meal+Snack"/>
    <x v="29"/>
    <x v="2"/>
    <n v="0.04"/>
    <s v="UPI"/>
    <s v="Breakfast"/>
    <n v="140.54400000000001"/>
    <s v="Combo"/>
    <s v="Ok"/>
    <n v="80.92"/>
    <n v="59.624000000000009"/>
  </r>
  <r>
    <s v="O00205"/>
    <x v="17"/>
    <n v="2"/>
    <n v="39.950000000000003"/>
    <n v="15.51"/>
    <x v="0"/>
    <s v="Beverage+Hot Meal+Snack"/>
    <x v="29"/>
    <x v="2"/>
    <n v="0.04"/>
    <s v="UPI"/>
    <s v="Breakfast"/>
    <n v="76.704000000000008"/>
    <s v="Combo"/>
    <s v="Ok"/>
    <n v="31.02"/>
    <n v="45.684000000000012"/>
  </r>
  <r>
    <s v="O00205"/>
    <x v="1"/>
    <n v="1"/>
    <n v="30.34"/>
    <n v="14.18"/>
    <x v="1"/>
    <s v="Beverage+Hot Meal+Snack"/>
    <x v="29"/>
    <x v="2"/>
    <n v="0.04"/>
    <s v="UPI"/>
    <s v="Breakfast"/>
    <n v="29.1264"/>
    <s v="Combo"/>
    <s v="Ok"/>
    <n v="14.18"/>
    <n v="14.946400000000001"/>
  </r>
  <r>
    <s v="O00205"/>
    <x v="0"/>
    <n v="1"/>
    <n v="52.45"/>
    <n v="25.8"/>
    <x v="0"/>
    <s v="Beverage+Hot Meal+Snack"/>
    <x v="29"/>
    <x v="2"/>
    <n v="0.04"/>
    <s v="UPI"/>
    <s v="Breakfast"/>
    <n v="50.352000000000004"/>
    <s v="Combo"/>
    <s v="Ok"/>
    <n v="25.8"/>
    <n v="24.552000000000003"/>
  </r>
  <r>
    <s v="O00206"/>
    <x v="8"/>
    <n v="3"/>
    <n v="28.43"/>
    <n v="13.89"/>
    <x v="1"/>
    <s v="Beverage+Snack"/>
    <x v="12"/>
    <x v="0"/>
    <n v="0.03"/>
    <s v="Cash"/>
    <s v="Dinner"/>
    <n v="82.73129999999999"/>
    <s v="Single"/>
    <s v="Ok"/>
    <n v="41.67"/>
    <n v="41.061299999999989"/>
  </r>
  <r>
    <s v="O00206"/>
    <x v="5"/>
    <n v="1"/>
    <n v="38.06"/>
    <n v="19.55"/>
    <x v="0"/>
    <s v="Beverage+Snack"/>
    <x v="12"/>
    <x v="0"/>
    <n v="0.03"/>
    <s v="Cash"/>
    <s v="Dinner"/>
    <n v="36.918199999999999"/>
    <s v="Single"/>
    <s v="Ok"/>
    <n v="19.55"/>
    <n v="17.368199999999998"/>
  </r>
  <r>
    <s v="O00206"/>
    <x v="3"/>
    <n v="2"/>
    <n v="32.979999999999997"/>
    <n v="11.84"/>
    <x v="1"/>
    <s v="Beverage+Snack"/>
    <x v="12"/>
    <x v="0"/>
    <n v="0.03"/>
    <s v="Cash"/>
    <s v="Dinner"/>
    <n v="63.981199999999994"/>
    <s v="Single"/>
    <s v="Ok"/>
    <n v="23.68"/>
    <n v="40.301199999999994"/>
  </r>
  <r>
    <s v="O00206"/>
    <x v="1"/>
    <n v="1"/>
    <n v="30.34"/>
    <n v="14.18"/>
    <x v="1"/>
    <s v="Beverage+Snack"/>
    <x v="12"/>
    <x v="0"/>
    <n v="0.03"/>
    <s v="Cash"/>
    <s v="Dinner"/>
    <n v="29.4298"/>
    <s v="Single"/>
    <s v="Ok"/>
    <n v="14.18"/>
    <n v="15.2498"/>
  </r>
  <r>
    <s v="O00207"/>
    <x v="6"/>
    <n v="1"/>
    <n v="246.09"/>
    <n v="112.08"/>
    <x v="3"/>
    <s v="Dessert+Hot Meal"/>
    <x v="51"/>
    <x v="1"/>
    <n v="0.13"/>
    <s v="Card"/>
    <s v="Breakfast"/>
    <n v="214.09829999999999"/>
    <s v="Single"/>
    <s v="High Discount"/>
    <n v="112.08"/>
    <n v="102.0183"/>
  </r>
  <r>
    <s v="O00207"/>
    <x v="11"/>
    <n v="3"/>
    <n v="57.07"/>
    <n v="29.14"/>
    <x v="2"/>
    <s v="Dessert+Hot Meal"/>
    <x v="51"/>
    <x v="1"/>
    <n v="0.13"/>
    <s v="Card"/>
    <s v="Breakfast"/>
    <n v="148.95269999999999"/>
    <s v="Single"/>
    <s v="High Discount"/>
    <n v="87.42"/>
    <n v="61.532699999999991"/>
  </r>
  <r>
    <s v="O00208"/>
    <x v="10"/>
    <n v="3"/>
    <n v="22.2"/>
    <n v="9.3800000000000008"/>
    <x v="1"/>
    <s v="Beverage+Snack"/>
    <x v="39"/>
    <x v="2"/>
    <n v="0.08"/>
    <s v="Cash"/>
    <s v="Dinner"/>
    <n v="61.271999999999998"/>
    <s v="Single"/>
    <s v="Ok"/>
    <n v="28.14"/>
    <n v="33.131999999999998"/>
  </r>
  <r>
    <s v="O00208"/>
    <x v="5"/>
    <n v="2"/>
    <n v="38.06"/>
    <n v="19.55"/>
    <x v="0"/>
    <s v="Beverage+Snack"/>
    <x v="39"/>
    <x v="2"/>
    <n v="0.08"/>
    <s v="Cash"/>
    <s v="Dinner"/>
    <n v="70.0304"/>
    <s v="Single"/>
    <s v="Ok"/>
    <n v="39.1"/>
    <n v="30.930399999999999"/>
  </r>
  <r>
    <s v="O00209"/>
    <x v="18"/>
    <n v="3"/>
    <n v="50.19"/>
    <n v="22.61"/>
    <x v="0"/>
    <s v="Beverage+Snack"/>
    <x v="18"/>
    <x v="1"/>
    <n v="0.01"/>
    <s v="Card"/>
    <s v="Breakfast"/>
    <n v="149.0643"/>
    <s v="Single"/>
    <s v="Ok"/>
    <n v="67.83"/>
    <n v="81.234300000000005"/>
  </r>
  <r>
    <s v="O00209"/>
    <x v="9"/>
    <n v="1"/>
    <n v="20.11"/>
    <n v="8"/>
    <x v="1"/>
    <s v="Beverage+Snack"/>
    <x v="18"/>
    <x v="1"/>
    <n v="0.01"/>
    <s v="Card"/>
    <s v="Breakfast"/>
    <n v="19.908899999999999"/>
    <s v="Single"/>
    <s v="Ok"/>
    <n v="8"/>
    <n v="11.908899999999999"/>
  </r>
  <r>
    <s v="O00209"/>
    <x v="8"/>
    <n v="2"/>
    <n v="28.43"/>
    <n v="13.89"/>
    <x v="1"/>
    <s v="Beverage+Snack"/>
    <x v="18"/>
    <x v="1"/>
    <n v="0.01"/>
    <s v="Card"/>
    <s v="Breakfast"/>
    <n v="56.291399999999996"/>
    <s v="Single"/>
    <s v="Ok"/>
    <n v="27.78"/>
    <n v="28.511399999999995"/>
  </r>
  <r>
    <s v="O00210"/>
    <x v="9"/>
    <n v="1"/>
    <n v="20.11"/>
    <n v="8"/>
    <x v="1"/>
    <s v="Beverage+Hot Meal"/>
    <x v="55"/>
    <x v="0"/>
    <n v="0.1"/>
    <s v="Card"/>
    <s v="Dinner"/>
    <n v="18.099"/>
    <s v="Combo"/>
    <s v="High Discount"/>
    <n v="8"/>
    <n v="10.099"/>
  </r>
  <r>
    <s v="O00210"/>
    <x v="6"/>
    <n v="2"/>
    <n v="246.09"/>
    <n v="112.08"/>
    <x v="3"/>
    <s v="Beverage+Hot Meal"/>
    <x v="55"/>
    <x v="0"/>
    <n v="0.1"/>
    <s v="Card"/>
    <s v="Dinner"/>
    <n v="442.96199999999999"/>
    <s v="Combo"/>
    <s v="High Discount"/>
    <n v="224.16"/>
    <n v="218.80199999999999"/>
  </r>
  <r>
    <s v="O00210"/>
    <x v="10"/>
    <n v="1"/>
    <n v="22.2"/>
    <n v="9.3800000000000008"/>
    <x v="1"/>
    <s v="Beverage+Hot Meal"/>
    <x v="55"/>
    <x v="0"/>
    <n v="0.1"/>
    <s v="Card"/>
    <s v="Dinner"/>
    <n v="19.98"/>
    <s v="Combo"/>
    <s v="High Discount"/>
    <n v="9.3800000000000008"/>
    <n v="10.6"/>
  </r>
  <r>
    <s v="O00211"/>
    <x v="14"/>
    <n v="3"/>
    <n v="256.91000000000003"/>
    <n v="121.24"/>
    <x v="3"/>
    <s v="Hot Meal+Snack"/>
    <x v="55"/>
    <x v="0"/>
    <n v="0.14000000000000001"/>
    <s v="UPI"/>
    <s v="Dinner"/>
    <n v="662.82780000000002"/>
    <s v="Single"/>
    <s v="High Discount"/>
    <n v="363.71999999999997"/>
    <n v="299.10780000000005"/>
  </r>
  <r>
    <s v="O00211"/>
    <x v="7"/>
    <n v="3"/>
    <n v="70.540000000000006"/>
    <n v="35.81"/>
    <x v="0"/>
    <s v="Hot Meal+Snack"/>
    <x v="55"/>
    <x v="0"/>
    <n v="0.14000000000000001"/>
    <s v="UPI"/>
    <s v="Dinner"/>
    <n v="181.9932"/>
    <s v="Single"/>
    <s v="High Discount"/>
    <n v="107.43"/>
    <n v="74.563199999999995"/>
  </r>
  <r>
    <s v="O00212"/>
    <x v="17"/>
    <n v="1"/>
    <n v="39.950000000000003"/>
    <n v="15.51"/>
    <x v="0"/>
    <s v="Beverage+Dessert+Hot Meal+Snack"/>
    <x v="28"/>
    <x v="0"/>
    <n v="0.1"/>
    <s v="Card"/>
    <s v="Dinner"/>
    <n v="35.955000000000005"/>
    <s v="Combo"/>
    <s v="Ok"/>
    <n v="15.51"/>
    <n v="20.445000000000007"/>
  </r>
  <r>
    <s v="O00212"/>
    <x v="11"/>
    <n v="1"/>
    <n v="57.07"/>
    <n v="29.14"/>
    <x v="2"/>
    <s v="Beverage+Dessert+Hot Meal+Snack"/>
    <x v="28"/>
    <x v="0"/>
    <n v="0.1"/>
    <s v="Card"/>
    <s v="Dinner"/>
    <n v="51.363"/>
    <s v="Combo"/>
    <s v="Ok"/>
    <n v="29.14"/>
    <n v="22.222999999999999"/>
  </r>
  <r>
    <s v="O00212"/>
    <x v="8"/>
    <n v="1"/>
    <n v="28.43"/>
    <n v="13.89"/>
    <x v="1"/>
    <s v="Beverage+Dessert+Hot Meal+Snack"/>
    <x v="28"/>
    <x v="0"/>
    <n v="0.1"/>
    <s v="Card"/>
    <s v="Dinner"/>
    <n v="25.587"/>
    <s v="Combo"/>
    <s v="Ok"/>
    <n v="13.89"/>
    <n v="11.696999999999999"/>
  </r>
  <r>
    <s v="O00212"/>
    <x v="15"/>
    <n v="1"/>
    <n v="227.61"/>
    <n v="96.22"/>
    <x v="3"/>
    <s v="Beverage+Dessert+Hot Meal+Snack"/>
    <x v="28"/>
    <x v="0"/>
    <n v="0.1"/>
    <s v="Card"/>
    <s v="Dinner"/>
    <n v="204.84900000000002"/>
    <s v="Combo"/>
    <s v="Ok"/>
    <n v="96.22"/>
    <n v="108.62900000000002"/>
  </r>
  <r>
    <s v="O00213"/>
    <x v="18"/>
    <n v="2"/>
    <n v="50.19"/>
    <n v="22.61"/>
    <x v="0"/>
    <s v="Hot Meal+Snack"/>
    <x v="18"/>
    <x v="1"/>
    <n v="0"/>
    <s v="Cash"/>
    <s v="Dinner"/>
    <n v="100.38"/>
    <s v="Single"/>
    <s v="Ok"/>
    <n v="45.22"/>
    <n v="55.16"/>
  </r>
  <r>
    <s v="O00213"/>
    <x v="5"/>
    <n v="3"/>
    <n v="38.06"/>
    <n v="19.55"/>
    <x v="0"/>
    <s v="Hot Meal+Snack"/>
    <x v="18"/>
    <x v="1"/>
    <n v="0"/>
    <s v="Cash"/>
    <s v="Dinner"/>
    <n v="114.18"/>
    <s v="Single"/>
    <s v="Ok"/>
    <n v="58.650000000000006"/>
    <n v="55.53"/>
  </r>
  <r>
    <s v="O00213"/>
    <x v="15"/>
    <n v="1"/>
    <n v="227.61"/>
    <n v="96.22"/>
    <x v="3"/>
    <s v="Hot Meal+Snack"/>
    <x v="18"/>
    <x v="1"/>
    <n v="0"/>
    <s v="Cash"/>
    <s v="Dinner"/>
    <n v="227.61"/>
    <s v="Single"/>
    <s v="Ok"/>
    <n v="96.22"/>
    <n v="131.39000000000001"/>
  </r>
  <r>
    <s v="O00214"/>
    <x v="11"/>
    <n v="1"/>
    <n v="57.07"/>
    <n v="29.14"/>
    <x v="2"/>
    <s v="Beverage+Dessert+Hot Meal"/>
    <x v="39"/>
    <x v="0"/>
    <n v="0.04"/>
    <s v="UPI"/>
    <s v="Breakfast"/>
    <n v="54.787199999999999"/>
    <s v="Combo"/>
    <s v="Ok"/>
    <n v="29.14"/>
    <n v="25.647199999999998"/>
  </r>
  <r>
    <s v="O00214"/>
    <x v="10"/>
    <n v="1"/>
    <n v="22.2"/>
    <n v="9.3800000000000008"/>
    <x v="1"/>
    <s v="Beverage+Dessert+Hot Meal"/>
    <x v="39"/>
    <x v="0"/>
    <n v="0.04"/>
    <s v="UPI"/>
    <s v="Breakfast"/>
    <n v="21.311999999999998"/>
    <s v="Combo"/>
    <s v="Ok"/>
    <n v="9.3800000000000008"/>
    <n v="11.931999999999997"/>
  </r>
  <r>
    <s v="O00214"/>
    <x v="15"/>
    <n v="3"/>
    <n v="227.61"/>
    <n v="96.22"/>
    <x v="3"/>
    <s v="Beverage+Dessert+Hot Meal"/>
    <x v="39"/>
    <x v="0"/>
    <n v="0.04"/>
    <s v="UPI"/>
    <s v="Breakfast"/>
    <n v="655.51679999999999"/>
    <s v="Combo"/>
    <s v="Ok"/>
    <n v="288.65999999999997"/>
    <n v="366.85680000000002"/>
  </r>
  <r>
    <s v="O00215"/>
    <x v="18"/>
    <n v="1"/>
    <n v="50.19"/>
    <n v="22.61"/>
    <x v="0"/>
    <s v="Beverage+Dessert+Hot Meal+Snack"/>
    <x v="25"/>
    <x v="2"/>
    <n v="0.11"/>
    <s v="Cash"/>
    <s v="Lunch"/>
    <n v="44.6691"/>
    <s v="Combo"/>
    <s v="High Discount"/>
    <n v="22.61"/>
    <n v="22.059100000000001"/>
  </r>
  <r>
    <s v="O00215"/>
    <x v="16"/>
    <n v="1"/>
    <n v="146.4"/>
    <n v="80.92"/>
    <x v="3"/>
    <s v="Beverage+Dessert+Hot Meal+Snack"/>
    <x v="25"/>
    <x v="2"/>
    <n v="0.11"/>
    <s v="Cash"/>
    <s v="Lunch"/>
    <n v="130.29600000000002"/>
    <s v="Combo"/>
    <s v="High Discount"/>
    <n v="80.92"/>
    <n v="49.376000000000019"/>
  </r>
  <r>
    <s v="O00215"/>
    <x v="9"/>
    <n v="1"/>
    <n v="20.11"/>
    <n v="8"/>
    <x v="1"/>
    <s v="Beverage+Dessert+Hot Meal+Snack"/>
    <x v="25"/>
    <x v="2"/>
    <n v="0.11"/>
    <s v="Cash"/>
    <s v="Lunch"/>
    <n v="17.8979"/>
    <s v="Combo"/>
    <s v="High Discount"/>
    <n v="8"/>
    <n v="9.8978999999999999"/>
  </r>
  <r>
    <s v="O00215"/>
    <x v="2"/>
    <n v="2"/>
    <n v="76.55"/>
    <n v="38.229999999999997"/>
    <x v="2"/>
    <s v="Beverage+Dessert+Hot Meal+Snack"/>
    <x v="25"/>
    <x v="2"/>
    <n v="0.11"/>
    <s v="Cash"/>
    <s v="Lunch"/>
    <n v="136.25899999999999"/>
    <s v="Combo"/>
    <s v="High Discount"/>
    <n v="76.459999999999994"/>
    <n v="59.798999999999992"/>
  </r>
  <r>
    <s v="O00216"/>
    <x v="9"/>
    <n v="2"/>
    <n v="20.11"/>
    <n v="8"/>
    <x v="1"/>
    <s v="Beverage+Snack"/>
    <x v="41"/>
    <x v="2"/>
    <n v="0.03"/>
    <s v="Cash"/>
    <s v="Breakfast"/>
    <n v="39.013399999999997"/>
    <s v="Single"/>
    <s v="Ok"/>
    <n v="16"/>
    <n v="23.013399999999997"/>
  </r>
  <r>
    <s v="O00216"/>
    <x v="1"/>
    <n v="2"/>
    <n v="30.34"/>
    <n v="14.18"/>
    <x v="1"/>
    <s v="Beverage+Snack"/>
    <x v="41"/>
    <x v="2"/>
    <n v="0.03"/>
    <s v="Cash"/>
    <s v="Breakfast"/>
    <n v="58.8596"/>
    <s v="Single"/>
    <s v="Ok"/>
    <n v="28.36"/>
    <n v="30.499600000000001"/>
  </r>
  <r>
    <s v="O00216"/>
    <x v="7"/>
    <n v="1"/>
    <n v="70.540000000000006"/>
    <n v="35.81"/>
    <x v="0"/>
    <s v="Beverage+Snack"/>
    <x v="41"/>
    <x v="2"/>
    <n v="0.03"/>
    <s v="Cash"/>
    <s v="Breakfast"/>
    <n v="68.4238"/>
    <s v="Single"/>
    <s v="Ok"/>
    <n v="35.81"/>
    <n v="32.613799999999998"/>
  </r>
  <r>
    <s v="O00217"/>
    <x v="4"/>
    <n v="1"/>
    <n v="170.83"/>
    <n v="74.069999999999993"/>
    <x v="3"/>
    <s v="Hot Meal+Snack"/>
    <x v="0"/>
    <x v="1"/>
    <n v="0.08"/>
    <s v="Card"/>
    <s v="Breakfast"/>
    <n v="157.16360000000003"/>
    <s v="Single"/>
    <s v="High Discount"/>
    <n v="74.069999999999993"/>
    <n v="83.093600000000038"/>
  </r>
  <r>
    <s v="O00217"/>
    <x v="14"/>
    <n v="1"/>
    <n v="256.91000000000003"/>
    <n v="121.24"/>
    <x v="3"/>
    <s v="Hot Meal+Snack"/>
    <x v="0"/>
    <x v="1"/>
    <n v="0.08"/>
    <s v="Card"/>
    <s v="Breakfast"/>
    <n v="236.35720000000003"/>
    <s v="Single"/>
    <s v="High Discount"/>
    <n v="121.24"/>
    <n v="115.11720000000004"/>
  </r>
  <r>
    <s v="O00217"/>
    <x v="17"/>
    <n v="2"/>
    <n v="39.950000000000003"/>
    <n v="15.51"/>
    <x v="0"/>
    <s v="Hot Meal+Snack"/>
    <x v="0"/>
    <x v="1"/>
    <n v="0.08"/>
    <s v="Card"/>
    <s v="Breakfast"/>
    <n v="73.50800000000001"/>
    <s v="Single"/>
    <s v="High Discount"/>
    <n v="31.02"/>
    <n v="42.488000000000014"/>
  </r>
  <r>
    <s v="O00217"/>
    <x v="0"/>
    <n v="3"/>
    <n v="52.45"/>
    <n v="25.8"/>
    <x v="0"/>
    <s v="Hot Meal+Snack"/>
    <x v="0"/>
    <x v="1"/>
    <n v="0.08"/>
    <s v="Card"/>
    <s v="Breakfast"/>
    <n v="144.76200000000003"/>
    <s v="Single"/>
    <s v="High Discount"/>
    <n v="77.400000000000006"/>
    <n v="67.362000000000023"/>
  </r>
  <r>
    <s v="O00218"/>
    <x v="8"/>
    <n v="1"/>
    <n v="28.43"/>
    <n v="13.89"/>
    <x v="1"/>
    <s v="Beverage"/>
    <x v="3"/>
    <x v="0"/>
    <n v="0.09"/>
    <s v="UPI"/>
    <s v="Dinner"/>
    <n v="25.871300000000002"/>
    <s v="Single"/>
    <s v="Ok"/>
    <n v="13.89"/>
    <n v="11.981300000000001"/>
  </r>
  <r>
    <s v="O00219"/>
    <x v="11"/>
    <n v="2"/>
    <n v="57.07"/>
    <n v="29.14"/>
    <x v="2"/>
    <s v="Dessert+Hot Meal"/>
    <x v="3"/>
    <x v="0"/>
    <n v="0.02"/>
    <s v="Card"/>
    <s v="Lunch"/>
    <n v="111.85719999999999"/>
    <s v="Single"/>
    <s v="Ok"/>
    <n v="58.28"/>
    <n v="53.577199999999991"/>
  </r>
  <r>
    <s v="O00219"/>
    <x v="15"/>
    <n v="1"/>
    <n v="227.61"/>
    <n v="96.22"/>
    <x v="3"/>
    <s v="Dessert+Hot Meal"/>
    <x v="3"/>
    <x v="0"/>
    <n v="0.02"/>
    <s v="Card"/>
    <s v="Lunch"/>
    <n v="223.05780000000001"/>
    <s v="Single"/>
    <s v="Ok"/>
    <n v="96.22"/>
    <n v="126.83780000000002"/>
  </r>
  <r>
    <s v="O00219"/>
    <x v="4"/>
    <n v="2"/>
    <n v="170.83"/>
    <n v="74.069999999999993"/>
    <x v="3"/>
    <s v="Dessert+Hot Meal"/>
    <x v="3"/>
    <x v="0"/>
    <n v="0.02"/>
    <s v="Card"/>
    <s v="Lunch"/>
    <n v="334.82679999999999"/>
    <s v="Single"/>
    <s v="Ok"/>
    <n v="148.13999999999999"/>
    <n v="186.68680000000001"/>
  </r>
  <r>
    <s v="O00220"/>
    <x v="2"/>
    <n v="3"/>
    <n v="76.55"/>
    <n v="38.229999999999997"/>
    <x v="2"/>
    <s v="Dessert+Hot Meal"/>
    <x v="33"/>
    <x v="2"/>
    <n v="0.06"/>
    <s v="Card"/>
    <s v="Breakfast"/>
    <n v="215.87099999999995"/>
    <s v="Single"/>
    <s v="Ok"/>
    <n v="114.69"/>
    <n v="101.18099999999995"/>
  </r>
  <r>
    <s v="O00220"/>
    <x v="15"/>
    <n v="1"/>
    <n v="227.61"/>
    <n v="96.22"/>
    <x v="3"/>
    <s v="Dessert+Hot Meal"/>
    <x v="33"/>
    <x v="2"/>
    <n v="0.06"/>
    <s v="Card"/>
    <s v="Breakfast"/>
    <n v="213.95339999999999"/>
    <s v="Single"/>
    <s v="Ok"/>
    <n v="96.22"/>
    <n v="117.73339999999999"/>
  </r>
  <r>
    <s v="O00220"/>
    <x v="12"/>
    <n v="3"/>
    <n v="54.2"/>
    <n v="21.95"/>
    <x v="2"/>
    <s v="Dessert+Hot Meal"/>
    <x v="33"/>
    <x v="2"/>
    <n v="0.06"/>
    <s v="Card"/>
    <s v="Breakfast"/>
    <n v="152.84400000000002"/>
    <s v="Single"/>
    <s v="Ok"/>
    <n v="65.849999999999994"/>
    <n v="86.994000000000028"/>
  </r>
  <r>
    <s v="O00221"/>
    <x v="11"/>
    <n v="1"/>
    <n v="57.07"/>
    <n v="29.14"/>
    <x v="2"/>
    <s v="Dessert"/>
    <x v="42"/>
    <x v="1"/>
    <n v="0"/>
    <s v="Card"/>
    <s v="Breakfast"/>
    <n v="57.07"/>
    <s v="Single"/>
    <s v="Ok"/>
    <n v="29.14"/>
    <n v="27.93"/>
  </r>
  <r>
    <s v="O00222"/>
    <x v="17"/>
    <n v="1"/>
    <n v="39.950000000000003"/>
    <n v="15.51"/>
    <x v="0"/>
    <s v="Beverage+Dessert+Snack"/>
    <x v="36"/>
    <x v="0"/>
    <n v="0.02"/>
    <s v="Card"/>
    <s v="Dinner"/>
    <n v="39.151000000000003"/>
    <s v="Single"/>
    <s v="Ok"/>
    <n v="15.51"/>
    <n v="23.641000000000005"/>
  </r>
  <r>
    <s v="O00222"/>
    <x v="9"/>
    <n v="2"/>
    <n v="20.11"/>
    <n v="8"/>
    <x v="1"/>
    <s v="Beverage+Dessert+Snack"/>
    <x v="36"/>
    <x v="0"/>
    <n v="0.02"/>
    <s v="Card"/>
    <s v="Dinner"/>
    <n v="39.415599999999998"/>
    <s v="Single"/>
    <s v="Ok"/>
    <n v="16"/>
    <n v="23.415599999999998"/>
  </r>
  <r>
    <s v="O00222"/>
    <x v="1"/>
    <n v="2"/>
    <n v="30.34"/>
    <n v="14.18"/>
    <x v="1"/>
    <s v="Beverage+Dessert+Snack"/>
    <x v="36"/>
    <x v="0"/>
    <n v="0.02"/>
    <s v="Card"/>
    <s v="Dinner"/>
    <n v="59.4664"/>
    <s v="Single"/>
    <s v="Ok"/>
    <n v="28.36"/>
    <n v="31.106400000000001"/>
  </r>
  <r>
    <s v="O00222"/>
    <x v="12"/>
    <n v="3"/>
    <n v="54.2"/>
    <n v="21.95"/>
    <x v="2"/>
    <s v="Beverage+Dessert+Snack"/>
    <x v="36"/>
    <x v="0"/>
    <n v="0.02"/>
    <s v="Card"/>
    <s v="Dinner"/>
    <n v="159.34800000000001"/>
    <s v="Single"/>
    <s v="Ok"/>
    <n v="65.849999999999994"/>
    <n v="93.498000000000019"/>
  </r>
  <r>
    <s v="O00223"/>
    <x v="12"/>
    <n v="2"/>
    <n v="54.2"/>
    <n v="21.95"/>
    <x v="2"/>
    <s v="Beverage+Dessert"/>
    <x v="59"/>
    <x v="1"/>
    <n v="0.05"/>
    <s v="Cash"/>
    <s v="Dinner"/>
    <n v="102.98"/>
    <s v="Single"/>
    <s v="Ok"/>
    <n v="43.9"/>
    <n v="59.080000000000005"/>
  </r>
  <r>
    <s v="O00223"/>
    <x v="10"/>
    <n v="1"/>
    <n v="22.2"/>
    <n v="9.3800000000000008"/>
    <x v="1"/>
    <s v="Beverage+Dessert"/>
    <x v="59"/>
    <x v="1"/>
    <n v="0.05"/>
    <s v="Cash"/>
    <s v="Dinner"/>
    <n v="21.09"/>
    <s v="Single"/>
    <s v="Ok"/>
    <n v="9.3800000000000008"/>
    <n v="11.709999999999999"/>
  </r>
  <r>
    <s v="O00223"/>
    <x v="8"/>
    <n v="2"/>
    <n v="28.43"/>
    <n v="13.89"/>
    <x v="1"/>
    <s v="Beverage+Dessert"/>
    <x v="59"/>
    <x v="1"/>
    <n v="0.05"/>
    <s v="Cash"/>
    <s v="Dinner"/>
    <n v="54.016999999999996"/>
    <s v="Single"/>
    <s v="Ok"/>
    <n v="27.78"/>
    <n v="26.236999999999995"/>
  </r>
  <r>
    <s v="O00224"/>
    <x v="0"/>
    <n v="3"/>
    <n v="52.45"/>
    <n v="25.8"/>
    <x v="0"/>
    <s v="Snack"/>
    <x v="2"/>
    <x v="0"/>
    <n v="0.01"/>
    <s v="UPI"/>
    <s v="Breakfast"/>
    <n v="155.77650000000003"/>
    <s v="Single"/>
    <s v="Ok"/>
    <n v="77.400000000000006"/>
    <n v="78.376500000000021"/>
  </r>
  <r>
    <s v="O00225"/>
    <x v="7"/>
    <n v="1"/>
    <n v="70.540000000000006"/>
    <n v="35.81"/>
    <x v="0"/>
    <s v="Beverage+Hot Meal+Snack"/>
    <x v="6"/>
    <x v="1"/>
    <n v="0.13"/>
    <s v="Cash"/>
    <s v="Breakfast"/>
    <n v="61.369800000000005"/>
    <s v="Combo"/>
    <s v="High Discount"/>
    <n v="35.81"/>
    <n v="25.559800000000003"/>
  </r>
  <r>
    <s v="O00225"/>
    <x v="8"/>
    <n v="2"/>
    <n v="28.43"/>
    <n v="13.89"/>
    <x v="1"/>
    <s v="Beverage+Hot Meal+Snack"/>
    <x v="6"/>
    <x v="1"/>
    <n v="0.13"/>
    <s v="Cash"/>
    <s v="Breakfast"/>
    <n v="49.468199999999996"/>
    <s v="Combo"/>
    <s v="High Discount"/>
    <n v="27.78"/>
    <n v="21.688199999999995"/>
  </r>
  <r>
    <s v="O00225"/>
    <x v="14"/>
    <n v="3"/>
    <n v="256.91000000000003"/>
    <n v="121.24"/>
    <x v="3"/>
    <s v="Beverage+Hot Meal+Snack"/>
    <x v="6"/>
    <x v="1"/>
    <n v="0.13"/>
    <s v="Cash"/>
    <s v="Breakfast"/>
    <n v="670.53510000000006"/>
    <s v="Combo"/>
    <s v="High Discount"/>
    <n v="363.71999999999997"/>
    <n v="306.81510000000009"/>
  </r>
  <r>
    <s v="O00225"/>
    <x v="1"/>
    <n v="2"/>
    <n v="30.34"/>
    <n v="14.18"/>
    <x v="1"/>
    <s v="Beverage+Hot Meal+Snack"/>
    <x v="6"/>
    <x v="1"/>
    <n v="0.13"/>
    <s v="Cash"/>
    <s v="Breakfast"/>
    <n v="52.791600000000003"/>
    <s v="Combo"/>
    <s v="High Discount"/>
    <n v="28.36"/>
    <n v="24.431600000000003"/>
  </r>
  <r>
    <s v="O00226"/>
    <x v="1"/>
    <n v="1"/>
    <n v="30.34"/>
    <n v="14.18"/>
    <x v="1"/>
    <s v="Beverage+Dessert+Hot Meal"/>
    <x v="4"/>
    <x v="0"/>
    <n v="0"/>
    <s v="UPI"/>
    <s v="Dinner"/>
    <n v="30.34"/>
    <s v="Combo"/>
    <s v="Ok"/>
    <n v="14.18"/>
    <n v="16.16"/>
  </r>
  <r>
    <s v="O00226"/>
    <x v="16"/>
    <n v="1"/>
    <n v="146.4"/>
    <n v="80.92"/>
    <x v="3"/>
    <s v="Beverage+Dessert+Hot Meal"/>
    <x v="4"/>
    <x v="0"/>
    <n v="0"/>
    <s v="UPI"/>
    <s v="Dinner"/>
    <n v="146.4"/>
    <s v="Combo"/>
    <s v="Ok"/>
    <n v="80.92"/>
    <n v="65.48"/>
  </r>
  <r>
    <s v="O00226"/>
    <x v="2"/>
    <n v="2"/>
    <n v="76.55"/>
    <n v="38.229999999999997"/>
    <x v="2"/>
    <s v="Beverage+Dessert+Hot Meal"/>
    <x v="4"/>
    <x v="0"/>
    <n v="0"/>
    <s v="UPI"/>
    <s v="Dinner"/>
    <n v="153.1"/>
    <s v="Combo"/>
    <s v="Ok"/>
    <n v="76.459999999999994"/>
    <n v="76.64"/>
  </r>
  <r>
    <s v="O00227"/>
    <x v="4"/>
    <n v="2"/>
    <n v="170.83"/>
    <n v="74.069999999999993"/>
    <x v="3"/>
    <s v="Dessert+Hot Meal"/>
    <x v="46"/>
    <x v="1"/>
    <n v="0.04"/>
    <s v="UPI"/>
    <s v="Dinner"/>
    <n v="327.99360000000001"/>
    <s v="Single"/>
    <s v="Ok"/>
    <n v="148.13999999999999"/>
    <n v="179.85360000000003"/>
  </r>
  <r>
    <s v="O00227"/>
    <x v="12"/>
    <n v="1"/>
    <n v="54.2"/>
    <n v="21.95"/>
    <x v="2"/>
    <s v="Dessert+Hot Meal"/>
    <x v="46"/>
    <x v="1"/>
    <n v="0.04"/>
    <s v="UPI"/>
    <s v="Dinner"/>
    <n v="52.032000000000004"/>
    <s v="Single"/>
    <s v="Ok"/>
    <n v="21.95"/>
    <n v="30.082000000000004"/>
  </r>
  <r>
    <s v="O00228"/>
    <x v="12"/>
    <n v="2"/>
    <n v="54.2"/>
    <n v="21.95"/>
    <x v="2"/>
    <s v="Dessert"/>
    <x v="33"/>
    <x v="2"/>
    <n v="7.0000000000000007E-2"/>
    <s v="UPI"/>
    <s v="Breakfast"/>
    <n v="100.812"/>
    <s v="Single"/>
    <s v="Ok"/>
    <n v="43.9"/>
    <n v="56.911999999999999"/>
  </r>
  <r>
    <s v="O00229"/>
    <x v="6"/>
    <n v="1"/>
    <n v="246.09"/>
    <n v="112.08"/>
    <x v="3"/>
    <s v="Dessert+Hot Meal+Snack"/>
    <x v="29"/>
    <x v="2"/>
    <n v="0.12"/>
    <s v="Cash"/>
    <s v="Breakfast"/>
    <n v="216.5592"/>
    <s v="Single"/>
    <s v="High Discount"/>
    <n v="112.08"/>
    <n v="104.47920000000001"/>
  </r>
  <r>
    <s v="O00229"/>
    <x v="12"/>
    <n v="3"/>
    <n v="54.2"/>
    <n v="21.95"/>
    <x v="2"/>
    <s v="Dessert+Hot Meal+Snack"/>
    <x v="29"/>
    <x v="2"/>
    <n v="0.12"/>
    <s v="Cash"/>
    <s v="Breakfast"/>
    <n v="143.08800000000002"/>
    <s v="Single"/>
    <s v="High Discount"/>
    <n v="65.849999999999994"/>
    <n v="77.238000000000028"/>
  </r>
  <r>
    <s v="O00229"/>
    <x v="7"/>
    <n v="1"/>
    <n v="70.540000000000006"/>
    <n v="35.81"/>
    <x v="0"/>
    <s v="Dessert+Hot Meal+Snack"/>
    <x v="29"/>
    <x v="2"/>
    <n v="0.12"/>
    <s v="Cash"/>
    <s v="Breakfast"/>
    <n v="62.075200000000002"/>
    <s v="Single"/>
    <s v="High Discount"/>
    <n v="35.81"/>
    <n v="26.2652"/>
  </r>
  <r>
    <s v="O00229"/>
    <x v="5"/>
    <n v="1"/>
    <n v="38.06"/>
    <n v="19.55"/>
    <x v="0"/>
    <s v="Dessert+Hot Meal+Snack"/>
    <x v="29"/>
    <x v="2"/>
    <n v="0.12"/>
    <s v="Cash"/>
    <s v="Breakfast"/>
    <n v="33.492800000000003"/>
    <s v="Single"/>
    <s v="High Discount"/>
    <n v="19.55"/>
    <n v="13.942800000000002"/>
  </r>
  <r>
    <s v="O00230"/>
    <x v="4"/>
    <n v="1"/>
    <n v="170.83"/>
    <n v="74.069999999999993"/>
    <x v="3"/>
    <s v="Beverage+Hot Meal"/>
    <x v="21"/>
    <x v="1"/>
    <n v="0"/>
    <s v="UPI"/>
    <s v="Dinner"/>
    <n v="170.83"/>
    <s v="Combo"/>
    <s v="Ok"/>
    <n v="74.069999999999993"/>
    <n v="96.760000000000019"/>
  </r>
  <r>
    <s v="O00230"/>
    <x v="8"/>
    <n v="1"/>
    <n v="28.43"/>
    <n v="13.89"/>
    <x v="1"/>
    <s v="Beverage+Hot Meal"/>
    <x v="21"/>
    <x v="1"/>
    <n v="0"/>
    <s v="UPI"/>
    <s v="Dinner"/>
    <n v="28.43"/>
    <s v="Combo"/>
    <s v="Ok"/>
    <n v="13.89"/>
    <n v="14.54"/>
  </r>
  <r>
    <s v="O00231"/>
    <x v="13"/>
    <n v="1"/>
    <n v="116.8"/>
    <n v="48.97"/>
    <x v="2"/>
    <s v="Beverage+Dessert+Snack"/>
    <x v="21"/>
    <x v="2"/>
    <n v="0.11"/>
    <s v="Cash"/>
    <s v="Dinner"/>
    <n v="103.952"/>
    <s v="Single"/>
    <s v="High Discount"/>
    <n v="48.97"/>
    <n v="54.981999999999999"/>
  </r>
  <r>
    <s v="O00231"/>
    <x v="0"/>
    <n v="2"/>
    <n v="52.45"/>
    <n v="25.8"/>
    <x v="0"/>
    <s v="Beverage+Dessert+Snack"/>
    <x v="21"/>
    <x v="2"/>
    <n v="0.11"/>
    <s v="Cash"/>
    <s v="Dinner"/>
    <n v="93.361000000000004"/>
    <s v="Single"/>
    <s v="High Discount"/>
    <n v="51.6"/>
    <n v="41.761000000000003"/>
  </r>
  <r>
    <s v="O00231"/>
    <x v="3"/>
    <n v="2"/>
    <n v="32.979999999999997"/>
    <n v="11.84"/>
    <x v="1"/>
    <s v="Beverage+Dessert+Snack"/>
    <x v="21"/>
    <x v="2"/>
    <n v="0.11"/>
    <s v="Cash"/>
    <s v="Dinner"/>
    <n v="58.704399999999993"/>
    <s v="Single"/>
    <s v="High Discount"/>
    <n v="23.68"/>
    <n v="35.024399999999993"/>
  </r>
  <r>
    <s v="O00231"/>
    <x v="2"/>
    <n v="3"/>
    <n v="76.55"/>
    <n v="38.229999999999997"/>
    <x v="2"/>
    <s v="Beverage+Dessert+Snack"/>
    <x v="21"/>
    <x v="2"/>
    <n v="0.11"/>
    <s v="Cash"/>
    <s v="Dinner"/>
    <n v="204.38849999999999"/>
    <s v="Single"/>
    <s v="High Discount"/>
    <n v="114.69"/>
    <n v="89.698499999999996"/>
  </r>
  <r>
    <s v="O00232"/>
    <x v="10"/>
    <n v="1"/>
    <n v="22.2"/>
    <n v="9.3800000000000008"/>
    <x v="1"/>
    <s v="Beverage+Hot Meal"/>
    <x v="9"/>
    <x v="0"/>
    <n v="0.06"/>
    <s v="UPI"/>
    <s v="Breakfast"/>
    <n v="20.867999999999999"/>
    <s v="Combo"/>
    <s v="Ok"/>
    <n v="9.3800000000000008"/>
    <n v="11.487999999999998"/>
  </r>
  <r>
    <s v="O00232"/>
    <x v="6"/>
    <n v="2"/>
    <n v="246.09"/>
    <n v="112.08"/>
    <x v="3"/>
    <s v="Beverage+Hot Meal"/>
    <x v="9"/>
    <x v="0"/>
    <n v="0.06"/>
    <s v="UPI"/>
    <s v="Breakfast"/>
    <n v="462.64920000000001"/>
    <s v="Combo"/>
    <s v="Ok"/>
    <n v="224.16"/>
    <n v="238.48920000000001"/>
  </r>
  <r>
    <s v="O00233"/>
    <x v="18"/>
    <n v="2"/>
    <n v="50.19"/>
    <n v="22.61"/>
    <x v="0"/>
    <s v="Beverage+Snack"/>
    <x v="40"/>
    <x v="1"/>
    <n v="0.02"/>
    <s v="UPI"/>
    <s v="Lunch"/>
    <n v="98.372399999999999"/>
    <s v="Single"/>
    <s v="Ok"/>
    <n v="45.22"/>
    <n v="53.1524"/>
  </r>
  <r>
    <s v="O00233"/>
    <x v="1"/>
    <n v="1"/>
    <n v="30.34"/>
    <n v="14.18"/>
    <x v="1"/>
    <s v="Beverage+Snack"/>
    <x v="40"/>
    <x v="1"/>
    <n v="0.02"/>
    <s v="UPI"/>
    <s v="Lunch"/>
    <n v="29.7332"/>
    <s v="Single"/>
    <s v="Ok"/>
    <n v="14.18"/>
    <n v="15.5532"/>
  </r>
  <r>
    <s v="O00234"/>
    <x v="17"/>
    <n v="1"/>
    <n v="39.950000000000003"/>
    <n v="15.51"/>
    <x v="0"/>
    <s v="Snack"/>
    <x v="17"/>
    <x v="0"/>
    <n v="0.08"/>
    <s v="UPI"/>
    <s v="Breakfast"/>
    <n v="36.754000000000005"/>
    <s v="Single"/>
    <s v="Ok"/>
    <n v="15.51"/>
    <n v="21.244000000000007"/>
  </r>
  <r>
    <s v="O00235"/>
    <x v="16"/>
    <n v="1"/>
    <n v="146.4"/>
    <n v="80.92"/>
    <x v="3"/>
    <s v="Hot Meal"/>
    <x v="43"/>
    <x v="1"/>
    <n v="7.0000000000000007E-2"/>
    <s v="UPI"/>
    <s v="Dinner"/>
    <n v="136.15199999999999"/>
    <s v="Single"/>
    <s v="Ok"/>
    <n v="80.92"/>
    <n v="55.231999999999985"/>
  </r>
  <r>
    <s v="O00236"/>
    <x v="7"/>
    <n v="2"/>
    <n v="70.540000000000006"/>
    <n v="35.81"/>
    <x v="0"/>
    <s v="Dessert+Snack"/>
    <x v="4"/>
    <x v="1"/>
    <n v="0.04"/>
    <s v="Card"/>
    <s v="Breakfast"/>
    <n v="135.43680000000001"/>
    <s v="Single"/>
    <s v="Ok"/>
    <n v="71.62"/>
    <n v="63.816800000000001"/>
  </r>
  <r>
    <s v="O00236"/>
    <x v="11"/>
    <n v="1"/>
    <n v="57.07"/>
    <n v="29.14"/>
    <x v="2"/>
    <s v="Dessert+Snack"/>
    <x v="4"/>
    <x v="1"/>
    <n v="0.04"/>
    <s v="Card"/>
    <s v="Breakfast"/>
    <n v="54.787199999999999"/>
    <s v="Single"/>
    <s v="Ok"/>
    <n v="29.14"/>
    <n v="25.647199999999998"/>
  </r>
  <r>
    <s v="O00237"/>
    <x v="17"/>
    <n v="2"/>
    <n v="39.950000000000003"/>
    <n v="15.51"/>
    <x v="0"/>
    <s v="Snack"/>
    <x v="51"/>
    <x v="0"/>
    <n v="0.06"/>
    <s v="Cash"/>
    <s v="Dinner"/>
    <n v="75.105999999999995"/>
    <s v="Single"/>
    <s v="Ok"/>
    <n v="31.02"/>
    <n v="44.085999999999999"/>
  </r>
  <r>
    <s v="O00238"/>
    <x v="2"/>
    <n v="2"/>
    <n v="76.55"/>
    <n v="38.229999999999997"/>
    <x v="2"/>
    <s v="Beverage+Dessert+Snack"/>
    <x v="49"/>
    <x v="0"/>
    <n v="0.04"/>
    <s v="Cash"/>
    <s v="Lunch"/>
    <n v="146.976"/>
    <s v="Single"/>
    <s v="Ok"/>
    <n v="76.459999999999994"/>
    <n v="70.516000000000005"/>
  </r>
  <r>
    <s v="O00238"/>
    <x v="10"/>
    <n v="1"/>
    <n v="22.2"/>
    <n v="9.3800000000000008"/>
    <x v="1"/>
    <s v="Beverage+Dessert+Snack"/>
    <x v="49"/>
    <x v="0"/>
    <n v="0.04"/>
    <s v="Cash"/>
    <s v="Lunch"/>
    <n v="21.311999999999998"/>
    <s v="Single"/>
    <s v="Ok"/>
    <n v="9.3800000000000008"/>
    <n v="11.931999999999997"/>
  </r>
  <r>
    <s v="O00238"/>
    <x v="7"/>
    <n v="2"/>
    <n v="70.540000000000006"/>
    <n v="35.81"/>
    <x v="0"/>
    <s v="Beverage+Dessert+Snack"/>
    <x v="49"/>
    <x v="0"/>
    <n v="0.04"/>
    <s v="Cash"/>
    <s v="Lunch"/>
    <n v="135.43680000000001"/>
    <s v="Single"/>
    <s v="Ok"/>
    <n v="71.62"/>
    <n v="63.816800000000001"/>
  </r>
  <r>
    <s v="O00238"/>
    <x v="8"/>
    <n v="2"/>
    <n v="28.43"/>
    <n v="13.89"/>
    <x v="1"/>
    <s v="Beverage+Dessert+Snack"/>
    <x v="49"/>
    <x v="0"/>
    <n v="0.04"/>
    <s v="Cash"/>
    <s v="Lunch"/>
    <n v="54.585599999999999"/>
    <s v="Single"/>
    <s v="Ok"/>
    <n v="27.78"/>
    <n v="26.805599999999998"/>
  </r>
  <r>
    <s v="O00239"/>
    <x v="9"/>
    <n v="3"/>
    <n v="20.11"/>
    <n v="8"/>
    <x v="1"/>
    <s v="Beverage+Dessert+Hot Meal"/>
    <x v="30"/>
    <x v="0"/>
    <n v="0.06"/>
    <s v="UPI"/>
    <s v="Dinner"/>
    <n v="56.710199999999993"/>
    <s v="Combo"/>
    <s v="Ok"/>
    <n v="24"/>
    <n v="32.710199999999993"/>
  </r>
  <r>
    <s v="O00239"/>
    <x v="2"/>
    <n v="1"/>
    <n v="76.55"/>
    <n v="38.229999999999997"/>
    <x v="2"/>
    <s v="Beverage+Dessert+Hot Meal"/>
    <x v="30"/>
    <x v="0"/>
    <n v="0.06"/>
    <s v="UPI"/>
    <s v="Dinner"/>
    <n v="71.956999999999994"/>
    <s v="Combo"/>
    <s v="Ok"/>
    <n v="38.229999999999997"/>
    <n v="33.726999999999997"/>
  </r>
  <r>
    <s v="O00239"/>
    <x v="16"/>
    <n v="2"/>
    <n v="146.4"/>
    <n v="80.92"/>
    <x v="3"/>
    <s v="Beverage+Dessert+Hot Meal"/>
    <x v="30"/>
    <x v="0"/>
    <n v="0.06"/>
    <s v="UPI"/>
    <s v="Dinner"/>
    <n v="275.23199999999997"/>
    <s v="Combo"/>
    <s v="Ok"/>
    <n v="161.84"/>
    <n v="113.39199999999997"/>
  </r>
  <r>
    <s v="O00240"/>
    <x v="7"/>
    <n v="3"/>
    <n v="70.540000000000006"/>
    <n v="35.81"/>
    <x v="0"/>
    <s v="Dessert+Hot Meal+Snack"/>
    <x v="49"/>
    <x v="1"/>
    <n v="0.09"/>
    <s v="UPI"/>
    <s v="Dinner"/>
    <n v="192.57420000000002"/>
    <s v="Single"/>
    <s v="High Discount"/>
    <n v="107.43"/>
    <n v="85.144200000000012"/>
  </r>
  <r>
    <s v="O00240"/>
    <x v="4"/>
    <n v="2"/>
    <n v="170.83"/>
    <n v="74.069999999999993"/>
    <x v="3"/>
    <s v="Dessert+Hot Meal+Snack"/>
    <x v="49"/>
    <x v="1"/>
    <n v="0.09"/>
    <s v="UPI"/>
    <s v="Dinner"/>
    <n v="310.91060000000004"/>
    <s v="Single"/>
    <s v="High Discount"/>
    <n v="148.13999999999999"/>
    <n v="162.77060000000006"/>
  </r>
  <r>
    <s v="O00240"/>
    <x v="2"/>
    <n v="3"/>
    <n v="76.55"/>
    <n v="38.229999999999997"/>
    <x v="2"/>
    <s v="Dessert+Hot Meal+Snack"/>
    <x v="49"/>
    <x v="1"/>
    <n v="0.09"/>
    <s v="UPI"/>
    <s v="Dinner"/>
    <n v="208.98149999999998"/>
    <s v="Single"/>
    <s v="High Discount"/>
    <n v="114.69"/>
    <n v="94.291499999999985"/>
  </r>
  <r>
    <s v="O00240"/>
    <x v="14"/>
    <n v="2"/>
    <n v="256.91000000000003"/>
    <n v="121.24"/>
    <x v="3"/>
    <s v="Dessert+Hot Meal+Snack"/>
    <x v="49"/>
    <x v="1"/>
    <n v="0.09"/>
    <s v="UPI"/>
    <s v="Dinner"/>
    <n v="467.57620000000009"/>
    <s v="Single"/>
    <s v="High Discount"/>
    <n v="242.48"/>
    <n v="225.0962000000001"/>
  </r>
  <r>
    <s v="O00241"/>
    <x v="1"/>
    <n v="1"/>
    <n v="30.34"/>
    <n v="14.18"/>
    <x v="1"/>
    <s v="Beverage+Dessert"/>
    <x v="17"/>
    <x v="0"/>
    <n v="0.12"/>
    <s v="Card"/>
    <s v="Breakfast"/>
    <n v="26.699200000000001"/>
    <s v="Single"/>
    <s v="Ok"/>
    <n v="14.18"/>
    <n v="12.519200000000001"/>
  </r>
  <r>
    <s v="O00241"/>
    <x v="13"/>
    <n v="1"/>
    <n v="116.8"/>
    <n v="48.97"/>
    <x v="2"/>
    <s v="Beverage+Dessert"/>
    <x v="17"/>
    <x v="0"/>
    <n v="0.12"/>
    <s v="Card"/>
    <s v="Breakfast"/>
    <n v="102.78399999999999"/>
    <s v="Single"/>
    <s v="Ok"/>
    <n v="48.97"/>
    <n v="53.813999999999993"/>
  </r>
  <r>
    <s v="O00242"/>
    <x v="5"/>
    <n v="1"/>
    <n v="38.06"/>
    <n v="19.55"/>
    <x v="0"/>
    <s v="Hot Meal+Snack"/>
    <x v="25"/>
    <x v="0"/>
    <n v="0.01"/>
    <s v="UPI"/>
    <s v="Breakfast"/>
    <n v="37.679400000000001"/>
    <s v="Single"/>
    <s v="Ok"/>
    <n v="19.55"/>
    <n v="18.1294"/>
  </r>
  <r>
    <s v="O00242"/>
    <x v="14"/>
    <n v="2"/>
    <n v="256.91000000000003"/>
    <n v="121.24"/>
    <x v="3"/>
    <s v="Hot Meal+Snack"/>
    <x v="25"/>
    <x v="0"/>
    <n v="0.01"/>
    <s v="UPI"/>
    <s v="Breakfast"/>
    <n v="508.68180000000007"/>
    <s v="Single"/>
    <s v="Ok"/>
    <n v="242.48"/>
    <n v="266.20180000000005"/>
  </r>
  <r>
    <s v="O00242"/>
    <x v="17"/>
    <n v="2"/>
    <n v="39.950000000000003"/>
    <n v="15.51"/>
    <x v="0"/>
    <s v="Hot Meal+Snack"/>
    <x v="25"/>
    <x v="0"/>
    <n v="0.01"/>
    <s v="UPI"/>
    <s v="Breakfast"/>
    <n v="79.100999999999999"/>
    <s v="Single"/>
    <s v="Ok"/>
    <n v="31.02"/>
    <n v="48.081000000000003"/>
  </r>
  <r>
    <s v="O00242"/>
    <x v="6"/>
    <n v="2"/>
    <n v="246.09"/>
    <n v="112.08"/>
    <x v="3"/>
    <s v="Hot Meal+Snack"/>
    <x v="25"/>
    <x v="0"/>
    <n v="0.01"/>
    <s v="UPI"/>
    <s v="Breakfast"/>
    <n v="487.25819999999999"/>
    <s v="Single"/>
    <s v="Ok"/>
    <n v="224.16"/>
    <n v="263.09820000000002"/>
  </r>
  <r>
    <s v="O00243"/>
    <x v="11"/>
    <n v="2"/>
    <n v="57.07"/>
    <n v="29.14"/>
    <x v="2"/>
    <s v="Dessert"/>
    <x v="35"/>
    <x v="1"/>
    <n v="0.15"/>
    <s v="Card"/>
    <s v="Breakfast"/>
    <n v="97.018999999999991"/>
    <s v="Single"/>
    <s v="Ok"/>
    <n v="58.28"/>
    <n v="38.73899999999999"/>
  </r>
  <r>
    <s v="O00243"/>
    <x v="13"/>
    <n v="1"/>
    <n v="116.8"/>
    <n v="48.97"/>
    <x v="2"/>
    <s v="Dessert"/>
    <x v="35"/>
    <x v="1"/>
    <n v="0.15"/>
    <s v="Card"/>
    <s v="Breakfast"/>
    <n v="99.28"/>
    <s v="Single"/>
    <s v="Ok"/>
    <n v="48.97"/>
    <n v="50.31"/>
  </r>
  <r>
    <s v="O00244"/>
    <x v="9"/>
    <n v="1"/>
    <n v="20.11"/>
    <n v="8"/>
    <x v="1"/>
    <s v="Beverage+Hot Meal+Snack"/>
    <x v="17"/>
    <x v="1"/>
    <n v="0"/>
    <s v="UPI"/>
    <s v="Breakfast"/>
    <n v="20.11"/>
    <s v="Combo"/>
    <s v="Ok"/>
    <n v="8"/>
    <n v="12.11"/>
  </r>
  <r>
    <s v="O00244"/>
    <x v="17"/>
    <n v="3"/>
    <n v="39.950000000000003"/>
    <n v="15.51"/>
    <x v="0"/>
    <s v="Beverage+Hot Meal+Snack"/>
    <x v="17"/>
    <x v="1"/>
    <n v="0"/>
    <s v="UPI"/>
    <s v="Breakfast"/>
    <n v="119.85000000000001"/>
    <s v="Combo"/>
    <s v="Ok"/>
    <n v="46.53"/>
    <n v="73.320000000000007"/>
  </r>
  <r>
    <s v="O00244"/>
    <x v="0"/>
    <n v="1"/>
    <n v="52.45"/>
    <n v="25.8"/>
    <x v="0"/>
    <s v="Beverage+Hot Meal+Snack"/>
    <x v="17"/>
    <x v="1"/>
    <n v="0"/>
    <s v="UPI"/>
    <s v="Breakfast"/>
    <n v="52.45"/>
    <s v="Combo"/>
    <s v="Ok"/>
    <n v="25.8"/>
    <n v="26.650000000000002"/>
  </r>
  <r>
    <s v="O00244"/>
    <x v="15"/>
    <n v="1"/>
    <n v="227.61"/>
    <n v="96.22"/>
    <x v="3"/>
    <s v="Beverage+Hot Meal+Snack"/>
    <x v="17"/>
    <x v="1"/>
    <n v="0"/>
    <s v="UPI"/>
    <s v="Breakfast"/>
    <n v="227.61"/>
    <s v="Combo"/>
    <s v="Ok"/>
    <n v="96.22"/>
    <n v="131.39000000000001"/>
  </r>
  <r>
    <s v="O00245"/>
    <x v="15"/>
    <n v="1"/>
    <n v="227.61"/>
    <n v="96.22"/>
    <x v="3"/>
    <s v="Hot Meal+Snack"/>
    <x v="16"/>
    <x v="1"/>
    <n v="0.05"/>
    <s v="UPI"/>
    <s v="Lunch"/>
    <n v="216.2295"/>
    <s v="Single"/>
    <s v="Ok"/>
    <n v="96.22"/>
    <n v="120.0095"/>
  </r>
  <r>
    <s v="O00245"/>
    <x v="18"/>
    <n v="1"/>
    <n v="50.19"/>
    <n v="22.61"/>
    <x v="0"/>
    <s v="Hot Meal+Snack"/>
    <x v="16"/>
    <x v="1"/>
    <n v="0.05"/>
    <s v="UPI"/>
    <s v="Lunch"/>
    <n v="47.680499999999995"/>
    <s v="Single"/>
    <s v="Ok"/>
    <n v="22.61"/>
    <n v="25.070499999999996"/>
  </r>
  <r>
    <s v="O00245"/>
    <x v="16"/>
    <n v="2"/>
    <n v="146.4"/>
    <n v="80.92"/>
    <x v="3"/>
    <s v="Hot Meal+Snack"/>
    <x v="16"/>
    <x v="1"/>
    <n v="0.05"/>
    <s v="UPI"/>
    <s v="Lunch"/>
    <n v="278.16000000000003"/>
    <s v="Single"/>
    <s v="Ok"/>
    <n v="161.84"/>
    <n v="116.32000000000002"/>
  </r>
  <r>
    <s v="O00245"/>
    <x v="0"/>
    <n v="1"/>
    <n v="52.45"/>
    <n v="25.8"/>
    <x v="0"/>
    <s v="Hot Meal+Snack"/>
    <x v="16"/>
    <x v="1"/>
    <n v="0.05"/>
    <s v="UPI"/>
    <s v="Lunch"/>
    <n v="49.827500000000001"/>
    <s v="Single"/>
    <s v="Ok"/>
    <n v="25.8"/>
    <n v="24.0275"/>
  </r>
  <r>
    <s v="O00246"/>
    <x v="7"/>
    <n v="3"/>
    <n v="70.540000000000006"/>
    <n v="35.81"/>
    <x v="0"/>
    <s v="Snack"/>
    <x v="47"/>
    <x v="2"/>
    <n v="0.08"/>
    <s v="Card"/>
    <s v="Lunch"/>
    <n v="194.69040000000001"/>
    <s v="Single"/>
    <s v="Ok"/>
    <n v="107.43"/>
    <n v="87.260400000000004"/>
  </r>
  <r>
    <s v="O00247"/>
    <x v="4"/>
    <n v="2"/>
    <n v="170.83"/>
    <n v="74.069999999999993"/>
    <x v="3"/>
    <s v="Hot Meal"/>
    <x v="2"/>
    <x v="2"/>
    <n v="7.0000000000000007E-2"/>
    <s v="Card"/>
    <s v="Breakfast"/>
    <n v="317.74380000000002"/>
    <s v="Single"/>
    <s v="High Discount"/>
    <n v="148.13999999999999"/>
    <n v="169.60380000000004"/>
  </r>
  <r>
    <s v="O00247"/>
    <x v="6"/>
    <n v="2"/>
    <n v="246.09"/>
    <n v="112.08"/>
    <x v="3"/>
    <s v="Hot Meal"/>
    <x v="2"/>
    <x v="2"/>
    <n v="7.0000000000000007E-2"/>
    <s v="Card"/>
    <s v="Breakfast"/>
    <n v="457.72739999999999"/>
    <s v="Single"/>
    <s v="High Discount"/>
    <n v="224.16"/>
    <n v="233.56739999999999"/>
  </r>
  <r>
    <s v="O00248"/>
    <x v="17"/>
    <n v="1"/>
    <n v="39.950000000000003"/>
    <n v="15.51"/>
    <x v="0"/>
    <s v="Hot Meal+Snack"/>
    <x v="47"/>
    <x v="2"/>
    <n v="0.04"/>
    <s v="Cash"/>
    <s v="Breakfast"/>
    <n v="38.352000000000004"/>
    <s v="Single"/>
    <s v="Ok"/>
    <n v="15.51"/>
    <n v="22.842000000000006"/>
  </r>
  <r>
    <s v="O00248"/>
    <x v="6"/>
    <n v="1"/>
    <n v="246.09"/>
    <n v="112.08"/>
    <x v="3"/>
    <s v="Hot Meal+Snack"/>
    <x v="47"/>
    <x v="2"/>
    <n v="0.04"/>
    <s v="Cash"/>
    <s v="Breakfast"/>
    <n v="236.24639999999999"/>
    <s v="Single"/>
    <s v="Ok"/>
    <n v="112.08"/>
    <n v="124.1664"/>
  </r>
  <r>
    <s v="O00249"/>
    <x v="4"/>
    <n v="2"/>
    <n v="170.83"/>
    <n v="74.069999999999993"/>
    <x v="3"/>
    <s v="Dessert+Hot Meal"/>
    <x v="18"/>
    <x v="1"/>
    <n v="0.05"/>
    <s v="Cash"/>
    <s v="Dinner"/>
    <n v="324.577"/>
    <s v="Single"/>
    <s v="Ok"/>
    <n v="148.13999999999999"/>
    <n v="176.43700000000001"/>
  </r>
  <r>
    <s v="O00249"/>
    <x v="6"/>
    <n v="1"/>
    <n v="246.09"/>
    <n v="112.08"/>
    <x v="3"/>
    <s v="Dessert+Hot Meal"/>
    <x v="18"/>
    <x v="1"/>
    <n v="0.05"/>
    <s v="Cash"/>
    <s v="Dinner"/>
    <n v="233.78549999999998"/>
    <s v="Single"/>
    <s v="Ok"/>
    <n v="112.08"/>
    <n v="121.70549999999999"/>
  </r>
  <r>
    <s v="O00249"/>
    <x v="11"/>
    <n v="1"/>
    <n v="57.07"/>
    <n v="29.14"/>
    <x v="2"/>
    <s v="Dessert+Hot Meal"/>
    <x v="18"/>
    <x v="1"/>
    <n v="0.05"/>
    <s v="Cash"/>
    <s v="Dinner"/>
    <n v="54.216499999999996"/>
    <s v="Single"/>
    <s v="Ok"/>
    <n v="29.14"/>
    <n v="25.076499999999996"/>
  </r>
  <r>
    <s v="O00250"/>
    <x v="9"/>
    <n v="3"/>
    <n v="20.11"/>
    <n v="8"/>
    <x v="1"/>
    <s v="Beverage+Dessert+Hot Meal"/>
    <x v="31"/>
    <x v="0"/>
    <n v="0.04"/>
    <s v="UPI"/>
    <s v="Lunch"/>
    <n v="57.916799999999995"/>
    <s v="Combo"/>
    <s v="High Discount"/>
    <n v="24"/>
    <n v="33.916799999999995"/>
  </r>
  <r>
    <s v="O00250"/>
    <x v="15"/>
    <n v="2"/>
    <n v="227.61"/>
    <n v="96.22"/>
    <x v="3"/>
    <s v="Beverage+Dessert+Hot Meal"/>
    <x v="31"/>
    <x v="0"/>
    <n v="0.04"/>
    <s v="UPI"/>
    <s v="Lunch"/>
    <n v="437.01120000000003"/>
    <s v="Combo"/>
    <s v="High Discount"/>
    <n v="192.44"/>
    <n v="244.57120000000003"/>
  </r>
  <r>
    <s v="O00250"/>
    <x v="11"/>
    <n v="2"/>
    <n v="57.07"/>
    <n v="29.14"/>
    <x v="2"/>
    <s v="Beverage+Dessert+Hot Meal"/>
    <x v="31"/>
    <x v="0"/>
    <n v="0.04"/>
    <s v="UPI"/>
    <s v="Lunch"/>
    <n v="109.5744"/>
    <s v="Combo"/>
    <s v="High Discount"/>
    <n v="58.28"/>
    <n v="51.294399999999996"/>
  </r>
  <r>
    <s v="O00250"/>
    <x v="6"/>
    <n v="2"/>
    <n v="246.09"/>
    <n v="112.08"/>
    <x v="3"/>
    <s v="Beverage+Dessert+Hot Meal"/>
    <x v="31"/>
    <x v="0"/>
    <n v="0.04"/>
    <s v="UPI"/>
    <s v="Lunch"/>
    <n v="472.49279999999999"/>
    <s v="Combo"/>
    <s v="High Discount"/>
    <n v="224.16"/>
    <n v="248.33279999999999"/>
  </r>
  <r>
    <s v="O00251"/>
    <x v="15"/>
    <n v="3"/>
    <n v="227.61"/>
    <n v="96.22"/>
    <x v="3"/>
    <s v="Hot Meal+Snack"/>
    <x v="56"/>
    <x v="0"/>
    <n v="0.04"/>
    <s v="Card"/>
    <s v="Breakfast"/>
    <n v="655.51679999999999"/>
    <s v="Single"/>
    <s v="High Discount"/>
    <n v="288.65999999999997"/>
    <n v="366.85680000000002"/>
  </r>
  <r>
    <s v="O00251"/>
    <x v="18"/>
    <n v="1"/>
    <n v="50.19"/>
    <n v="22.61"/>
    <x v="0"/>
    <s v="Hot Meal+Snack"/>
    <x v="56"/>
    <x v="0"/>
    <n v="0.04"/>
    <s v="Card"/>
    <s v="Breakfast"/>
    <n v="48.182399999999994"/>
    <s v="Single"/>
    <s v="High Discount"/>
    <n v="22.61"/>
    <n v="25.572399999999995"/>
  </r>
  <r>
    <s v="O00251"/>
    <x v="16"/>
    <n v="2"/>
    <n v="146.4"/>
    <n v="80.92"/>
    <x v="3"/>
    <s v="Hot Meal+Snack"/>
    <x v="56"/>
    <x v="0"/>
    <n v="0.04"/>
    <s v="Card"/>
    <s v="Breakfast"/>
    <n v="281.08800000000002"/>
    <s v="Single"/>
    <s v="High Discount"/>
    <n v="161.84"/>
    <n v="119.24800000000002"/>
  </r>
  <r>
    <s v="O00251"/>
    <x v="14"/>
    <n v="2"/>
    <n v="256.91000000000003"/>
    <n v="121.24"/>
    <x v="3"/>
    <s v="Hot Meal+Snack"/>
    <x v="56"/>
    <x v="0"/>
    <n v="0.04"/>
    <s v="Card"/>
    <s v="Breakfast"/>
    <n v="493.2672"/>
    <s v="Single"/>
    <s v="High Discount"/>
    <n v="242.48"/>
    <n v="250.78720000000001"/>
  </r>
  <r>
    <s v="O00252"/>
    <x v="5"/>
    <n v="2"/>
    <n v="38.06"/>
    <n v="19.55"/>
    <x v="0"/>
    <s v="Hot Meal+Snack"/>
    <x v="11"/>
    <x v="0"/>
    <n v="0.09"/>
    <s v="Cash"/>
    <s v="Breakfast"/>
    <n v="69.269200000000012"/>
    <s v="Single"/>
    <s v="High Discount"/>
    <n v="39.1"/>
    <n v="30.169200000000011"/>
  </r>
  <r>
    <s v="O00252"/>
    <x v="14"/>
    <n v="1"/>
    <n v="256.91000000000003"/>
    <n v="121.24"/>
    <x v="3"/>
    <s v="Hot Meal+Snack"/>
    <x v="11"/>
    <x v="0"/>
    <n v="0.09"/>
    <s v="Cash"/>
    <s v="Breakfast"/>
    <n v="233.78810000000004"/>
    <s v="Single"/>
    <s v="High Discount"/>
    <n v="121.24"/>
    <n v="112.54810000000005"/>
  </r>
  <r>
    <s v="O00252"/>
    <x v="15"/>
    <n v="3"/>
    <n v="227.61"/>
    <n v="96.22"/>
    <x v="3"/>
    <s v="Hot Meal+Snack"/>
    <x v="11"/>
    <x v="0"/>
    <n v="0.09"/>
    <s v="Cash"/>
    <s v="Breakfast"/>
    <n v="621.37530000000004"/>
    <s v="Single"/>
    <s v="High Discount"/>
    <n v="288.65999999999997"/>
    <n v="332.71530000000007"/>
  </r>
  <r>
    <s v="O00253"/>
    <x v="15"/>
    <n v="1"/>
    <n v="227.61"/>
    <n v="96.22"/>
    <x v="3"/>
    <s v="Hot Meal+Snack"/>
    <x v="46"/>
    <x v="2"/>
    <n v="7.0000000000000007E-2"/>
    <s v="UPI"/>
    <s v="Breakfast"/>
    <n v="211.6773"/>
    <s v="Single"/>
    <s v="Ok"/>
    <n v="96.22"/>
    <n v="115.4573"/>
  </r>
  <r>
    <s v="O00253"/>
    <x v="0"/>
    <n v="1"/>
    <n v="52.45"/>
    <n v="25.8"/>
    <x v="0"/>
    <s v="Hot Meal+Snack"/>
    <x v="46"/>
    <x v="2"/>
    <n v="7.0000000000000007E-2"/>
    <s v="UPI"/>
    <s v="Breakfast"/>
    <n v="48.778500000000001"/>
    <s v="Single"/>
    <s v="Ok"/>
    <n v="25.8"/>
    <n v="22.9785"/>
  </r>
  <r>
    <s v="O00254"/>
    <x v="7"/>
    <n v="2"/>
    <n v="70.540000000000006"/>
    <n v="35.81"/>
    <x v="0"/>
    <s v="Beverage+Hot Meal+Snack"/>
    <x v="25"/>
    <x v="1"/>
    <n v="0.03"/>
    <s v="Cash"/>
    <s v="Breakfast"/>
    <n v="136.8476"/>
    <s v="Combo"/>
    <s v="Ok"/>
    <n v="71.62"/>
    <n v="65.227599999999995"/>
  </r>
  <r>
    <s v="O00254"/>
    <x v="5"/>
    <n v="2"/>
    <n v="38.06"/>
    <n v="19.55"/>
    <x v="0"/>
    <s v="Beverage+Hot Meal+Snack"/>
    <x v="25"/>
    <x v="1"/>
    <n v="0.03"/>
    <s v="Cash"/>
    <s v="Breakfast"/>
    <n v="73.836399999999998"/>
    <s v="Combo"/>
    <s v="Ok"/>
    <n v="39.1"/>
    <n v="34.736399999999996"/>
  </r>
  <r>
    <s v="O00254"/>
    <x v="10"/>
    <n v="2"/>
    <n v="22.2"/>
    <n v="9.3800000000000008"/>
    <x v="1"/>
    <s v="Beverage+Hot Meal+Snack"/>
    <x v="25"/>
    <x v="1"/>
    <n v="0.03"/>
    <s v="Cash"/>
    <s v="Breakfast"/>
    <n v="43.067999999999998"/>
    <s v="Combo"/>
    <s v="Ok"/>
    <n v="18.760000000000002"/>
    <n v="24.307999999999996"/>
  </r>
  <r>
    <s v="O00254"/>
    <x v="15"/>
    <n v="1"/>
    <n v="227.61"/>
    <n v="96.22"/>
    <x v="3"/>
    <s v="Beverage+Hot Meal+Snack"/>
    <x v="25"/>
    <x v="1"/>
    <n v="0.03"/>
    <s v="Cash"/>
    <s v="Breakfast"/>
    <n v="220.7817"/>
    <s v="Combo"/>
    <s v="Ok"/>
    <n v="96.22"/>
    <n v="124.5617"/>
  </r>
  <r>
    <s v="O00255"/>
    <x v="17"/>
    <n v="2"/>
    <n v="39.950000000000003"/>
    <n v="15.51"/>
    <x v="0"/>
    <s v="Hot Meal+Snack"/>
    <x v="18"/>
    <x v="0"/>
    <n v="0.1"/>
    <s v="UPI"/>
    <s v="Dinner"/>
    <n v="71.910000000000011"/>
    <s v="Single"/>
    <s v="High Discount"/>
    <n v="31.02"/>
    <n v="40.890000000000015"/>
  </r>
  <r>
    <s v="O00255"/>
    <x v="15"/>
    <n v="1"/>
    <n v="227.61"/>
    <n v="96.22"/>
    <x v="3"/>
    <s v="Hot Meal+Snack"/>
    <x v="18"/>
    <x v="0"/>
    <n v="0.1"/>
    <s v="UPI"/>
    <s v="Dinner"/>
    <n v="204.84900000000002"/>
    <s v="Single"/>
    <s v="High Discount"/>
    <n v="96.22"/>
    <n v="108.62900000000002"/>
  </r>
  <r>
    <s v="O00255"/>
    <x v="14"/>
    <n v="1"/>
    <n v="256.91000000000003"/>
    <n v="121.24"/>
    <x v="3"/>
    <s v="Hot Meal+Snack"/>
    <x v="18"/>
    <x v="0"/>
    <n v="0.1"/>
    <s v="UPI"/>
    <s v="Dinner"/>
    <n v="231.21900000000002"/>
    <s v="Single"/>
    <s v="High Discount"/>
    <n v="121.24"/>
    <n v="109.97900000000003"/>
  </r>
  <r>
    <s v="O00256"/>
    <x v="10"/>
    <n v="1"/>
    <n v="22.2"/>
    <n v="9.3800000000000008"/>
    <x v="1"/>
    <s v="Beverage+Hot Meal+Snack"/>
    <x v="45"/>
    <x v="0"/>
    <n v="7.0000000000000007E-2"/>
    <s v="UPI"/>
    <s v="Dinner"/>
    <n v="20.645999999999997"/>
    <s v="Combo"/>
    <s v="Ok"/>
    <n v="9.3800000000000008"/>
    <n v="11.265999999999996"/>
  </r>
  <r>
    <s v="O00256"/>
    <x v="0"/>
    <n v="1"/>
    <n v="52.45"/>
    <n v="25.8"/>
    <x v="0"/>
    <s v="Beverage+Hot Meal+Snack"/>
    <x v="45"/>
    <x v="0"/>
    <n v="7.0000000000000007E-2"/>
    <s v="UPI"/>
    <s v="Dinner"/>
    <n v="48.778500000000001"/>
    <s v="Combo"/>
    <s v="Ok"/>
    <n v="25.8"/>
    <n v="22.9785"/>
  </r>
  <r>
    <s v="O00256"/>
    <x v="16"/>
    <n v="2"/>
    <n v="146.4"/>
    <n v="80.92"/>
    <x v="3"/>
    <s v="Beverage+Hot Meal+Snack"/>
    <x v="45"/>
    <x v="0"/>
    <n v="7.0000000000000007E-2"/>
    <s v="UPI"/>
    <s v="Dinner"/>
    <n v="272.30399999999997"/>
    <s v="Combo"/>
    <s v="Ok"/>
    <n v="161.84"/>
    <n v="110.46399999999997"/>
  </r>
  <r>
    <s v="O00257"/>
    <x v="11"/>
    <n v="1"/>
    <n v="57.07"/>
    <n v="29.14"/>
    <x v="2"/>
    <s v="Beverage+Dessert+Snack"/>
    <x v="26"/>
    <x v="2"/>
    <n v="0.09"/>
    <s v="UPI"/>
    <s v="Breakfast"/>
    <n v="51.933700000000002"/>
    <s v="Single"/>
    <s v="Ok"/>
    <n v="29.14"/>
    <n v="22.793700000000001"/>
  </r>
  <r>
    <s v="O00257"/>
    <x v="18"/>
    <n v="1"/>
    <n v="50.19"/>
    <n v="22.61"/>
    <x v="0"/>
    <s v="Beverage+Dessert+Snack"/>
    <x v="26"/>
    <x v="2"/>
    <n v="0.09"/>
    <s v="UPI"/>
    <s v="Breakfast"/>
    <n v="45.672899999999998"/>
    <s v="Single"/>
    <s v="Ok"/>
    <n v="22.61"/>
    <n v="23.062899999999999"/>
  </r>
  <r>
    <s v="O00257"/>
    <x v="10"/>
    <n v="3"/>
    <n v="22.2"/>
    <n v="9.3800000000000008"/>
    <x v="1"/>
    <s v="Beverage+Dessert+Snack"/>
    <x v="26"/>
    <x v="2"/>
    <n v="0.09"/>
    <s v="UPI"/>
    <s v="Breakfast"/>
    <n v="60.605999999999995"/>
    <s v="Single"/>
    <s v="Ok"/>
    <n v="28.14"/>
    <n v="32.465999999999994"/>
  </r>
  <r>
    <s v="O00258"/>
    <x v="3"/>
    <n v="2"/>
    <n v="32.979999999999997"/>
    <n v="11.84"/>
    <x v="1"/>
    <s v="Beverage+Hot Meal+Snack"/>
    <x v="22"/>
    <x v="1"/>
    <n v="0.09"/>
    <s v="Cash"/>
    <s v="Breakfast"/>
    <n v="60.023599999999995"/>
    <s v="Combo"/>
    <s v="High Discount"/>
    <n v="23.68"/>
    <n v="36.343599999999995"/>
  </r>
  <r>
    <s v="O00258"/>
    <x v="7"/>
    <n v="3"/>
    <n v="70.540000000000006"/>
    <n v="35.81"/>
    <x v="0"/>
    <s v="Beverage+Hot Meal+Snack"/>
    <x v="22"/>
    <x v="1"/>
    <n v="0.09"/>
    <s v="Cash"/>
    <s v="Breakfast"/>
    <n v="192.57420000000002"/>
    <s v="Combo"/>
    <s v="High Discount"/>
    <n v="107.43"/>
    <n v="85.144200000000012"/>
  </r>
  <r>
    <s v="O00258"/>
    <x v="8"/>
    <n v="1"/>
    <n v="28.43"/>
    <n v="13.89"/>
    <x v="1"/>
    <s v="Beverage+Hot Meal+Snack"/>
    <x v="22"/>
    <x v="1"/>
    <n v="0.09"/>
    <s v="Cash"/>
    <s v="Breakfast"/>
    <n v="25.871300000000002"/>
    <s v="Combo"/>
    <s v="High Discount"/>
    <n v="13.89"/>
    <n v="11.981300000000001"/>
  </r>
  <r>
    <s v="O00258"/>
    <x v="16"/>
    <n v="2"/>
    <n v="146.4"/>
    <n v="80.92"/>
    <x v="3"/>
    <s v="Beverage+Hot Meal+Snack"/>
    <x v="22"/>
    <x v="1"/>
    <n v="0.09"/>
    <s v="Cash"/>
    <s v="Breakfast"/>
    <n v="266.44800000000004"/>
    <s v="Combo"/>
    <s v="High Discount"/>
    <n v="161.84"/>
    <n v="104.60800000000003"/>
  </r>
  <r>
    <s v="O00259"/>
    <x v="6"/>
    <n v="1"/>
    <n v="246.09"/>
    <n v="112.08"/>
    <x v="3"/>
    <s v="Hot Meal+Snack"/>
    <x v="37"/>
    <x v="0"/>
    <n v="0.03"/>
    <s v="Cash"/>
    <s v="Breakfast"/>
    <n v="238.7073"/>
    <s v="Single"/>
    <s v="Ok"/>
    <n v="112.08"/>
    <n v="126.62730000000001"/>
  </r>
  <r>
    <s v="O00259"/>
    <x v="7"/>
    <n v="2"/>
    <n v="70.540000000000006"/>
    <n v="35.81"/>
    <x v="0"/>
    <s v="Hot Meal+Snack"/>
    <x v="37"/>
    <x v="0"/>
    <n v="0.03"/>
    <s v="Cash"/>
    <s v="Breakfast"/>
    <n v="136.8476"/>
    <s v="Single"/>
    <s v="Ok"/>
    <n v="71.62"/>
    <n v="65.227599999999995"/>
  </r>
  <r>
    <s v="O00260"/>
    <x v="15"/>
    <n v="1"/>
    <n v="227.61"/>
    <n v="96.22"/>
    <x v="3"/>
    <s v="Hot Meal"/>
    <x v="26"/>
    <x v="2"/>
    <n v="0.04"/>
    <s v="UPI"/>
    <s v="Breakfast"/>
    <n v="218.50560000000002"/>
    <s v="Single"/>
    <s v="Ok"/>
    <n v="96.22"/>
    <n v="122.28560000000002"/>
  </r>
  <r>
    <s v="O00260"/>
    <x v="16"/>
    <n v="2"/>
    <n v="146.4"/>
    <n v="80.92"/>
    <x v="3"/>
    <s v="Hot Meal"/>
    <x v="26"/>
    <x v="2"/>
    <n v="0.04"/>
    <s v="UPI"/>
    <s v="Breakfast"/>
    <n v="281.08800000000002"/>
    <s v="Single"/>
    <s v="Ok"/>
    <n v="161.84"/>
    <n v="119.24800000000002"/>
  </r>
  <r>
    <s v="O00261"/>
    <x v="8"/>
    <n v="2"/>
    <n v="28.43"/>
    <n v="13.89"/>
    <x v="1"/>
    <s v="Beverage+Hot Meal+Snack"/>
    <x v="47"/>
    <x v="1"/>
    <n v="0.09"/>
    <s v="Card"/>
    <s v="Dinner"/>
    <n v="51.742600000000003"/>
    <s v="Combo"/>
    <s v="Ok"/>
    <n v="27.78"/>
    <n v="23.962600000000002"/>
  </r>
  <r>
    <s v="O00261"/>
    <x v="0"/>
    <n v="1"/>
    <n v="52.45"/>
    <n v="25.8"/>
    <x v="0"/>
    <s v="Beverage+Hot Meal+Snack"/>
    <x v="47"/>
    <x v="1"/>
    <n v="0.09"/>
    <s v="Card"/>
    <s v="Dinner"/>
    <n v="47.729500000000002"/>
    <s v="Combo"/>
    <s v="Ok"/>
    <n v="25.8"/>
    <n v="21.929500000000001"/>
  </r>
  <r>
    <s v="O00261"/>
    <x v="16"/>
    <n v="1"/>
    <n v="146.4"/>
    <n v="80.92"/>
    <x v="3"/>
    <s v="Beverage+Hot Meal+Snack"/>
    <x v="47"/>
    <x v="1"/>
    <n v="0.09"/>
    <s v="Card"/>
    <s v="Dinner"/>
    <n v="133.22400000000002"/>
    <s v="Combo"/>
    <s v="Ok"/>
    <n v="80.92"/>
    <n v="52.304000000000016"/>
  </r>
  <r>
    <s v="O00262"/>
    <x v="2"/>
    <n v="2"/>
    <n v="76.55"/>
    <n v="38.229999999999997"/>
    <x v="2"/>
    <s v="Dessert+Hot Meal"/>
    <x v="47"/>
    <x v="1"/>
    <n v="0.08"/>
    <s v="Card"/>
    <s v="Breakfast"/>
    <n v="140.852"/>
    <s v="Single"/>
    <s v="High Discount"/>
    <n v="76.459999999999994"/>
    <n v="64.39200000000001"/>
  </r>
  <r>
    <s v="O00262"/>
    <x v="12"/>
    <n v="1"/>
    <n v="54.2"/>
    <n v="21.95"/>
    <x v="2"/>
    <s v="Dessert+Hot Meal"/>
    <x v="47"/>
    <x v="1"/>
    <n v="0.08"/>
    <s v="Card"/>
    <s v="Breakfast"/>
    <n v="49.864000000000004"/>
    <s v="Single"/>
    <s v="High Discount"/>
    <n v="21.95"/>
    <n v="27.914000000000005"/>
  </r>
  <r>
    <s v="O00262"/>
    <x v="14"/>
    <n v="2"/>
    <n v="256.91000000000003"/>
    <n v="121.24"/>
    <x v="3"/>
    <s v="Dessert+Hot Meal"/>
    <x v="47"/>
    <x v="1"/>
    <n v="0.08"/>
    <s v="Card"/>
    <s v="Breakfast"/>
    <n v="472.71440000000007"/>
    <s v="Single"/>
    <s v="High Discount"/>
    <n v="242.48"/>
    <n v="230.23440000000008"/>
  </r>
  <r>
    <s v="O00263"/>
    <x v="14"/>
    <n v="1"/>
    <n v="256.91000000000003"/>
    <n v="121.24"/>
    <x v="3"/>
    <s v="Dessert+Hot Meal"/>
    <x v="6"/>
    <x v="2"/>
    <n v="0.06"/>
    <s v="UPI"/>
    <s v="Breakfast"/>
    <n v="241.49540000000002"/>
    <s v="Single"/>
    <s v="Ok"/>
    <n v="121.24"/>
    <n v="120.25540000000002"/>
  </r>
  <r>
    <s v="O00263"/>
    <x v="2"/>
    <n v="2"/>
    <n v="76.55"/>
    <n v="38.229999999999997"/>
    <x v="2"/>
    <s v="Dessert+Hot Meal"/>
    <x v="6"/>
    <x v="2"/>
    <n v="0.06"/>
    <s v="UPI"/>
    <s v="Breakfast"/>
    <n v="143.91399999999999"/>
    <s v="Single"/>
    <s v="Ok"/>
    <n v="76.459999999999994"/>
    <n v="67.453999999999994"/>
  </r>
  <r>
    <s v="O00264"/>
    <x v="8"/>
    <n v="1"/>
    <n v="28.43"/>
    <n v="13.89"/>
    <x v="1"/>
    <s v="Beverage+Dessert"/>
    <x v="15"/>
    <x v="1"/>
    <n v="0.06"/>
    <s v="UPI"/>
    <s v="Breakfast"/>
    <n v="26.7242"/>
    <s v="Single"/>
    <s v="Ok"/>
    <n v="13.89"/>
    <n v="12.834199999999999"/>
  </r>
  <r>
    <s v="O00264"/>
    <x v="2"/>
    <n v="2"/>
    <n v="76.55"/>
    <n v="38.229999999999997"/>
    <x v="2"/>
    <s v="Beverage+Dessert"/>
    <x v="15"/>
    <x v="1"/>
    <n v="0.06"/>
    <s v="UPI"/>
    <s v="Breakfast"/>
    <n v="143.91399999999999"/>
    <s v="Single"/>
    <s v="Ok"/>
    <n v="76.459999999999994"/>
    <n v="67.453999999999994"/>
  </r>
  <r>
    <s v="O00264"/>
    <x v="13"/>
    <n v="3"/>
    <n v="116.8"/>
    <n v="48.97"/>
    <x v="2"/>
    <s v="Beverage+Dessert"/>
    <x v="15"/>
    <x v="1"/>
    <n v="0.06"/>
    <s v="UPI"/>
    <s v="Breakfast"/>
    <n v="329.37599999999998"/>
    <s v="Single"/>
    <s v="Ok"/>
    <n v="146.91"/>
    <n v="182.46599999999998"/>
  </r>
  <r>
    <s v="O00265"/>
    <x v="1"/>
    <n v="2"/>
    <n v="30.34"/>
    <n v="14.18"/>
    <x v="1"/>
    <s v="Beverage+Hot Meal"/>
    <x v="51"/>
    <x v="0"/>
    <n v="0.11"/>
    <s v="Card"/>
    <s v="Breakfast"/>
    <n v="54.005200000000002"/>
    <s v="Combo"/>
    <s v="High Discount"/>
    <n v="28.36"/>
    <n v="25.645200000000003"/>
  </r>
  <r>
    <s v="O00265"/>
    <x v="9"/>
    <n v="2"/>
    <n v="20.11"/>
    <n v="8"/>
    <x v="1"/>
    <s v="Beverage+Hot Meal"/>
    <x v="51"/>
    <x v="0"/>
    <n v="0.11"/>
    <s v="Card"/>
    <s v="Breakfast"/>
    <n v="35.7958"/>
    <s v="Combo"/>
    <s v="High Discount"/>
    <n v="16"/>
    <n v="19.7958"/>
  </r>
  <r>
    <s v="O00265"/>
    <x v="6"/>
    <n v="2"/>
    <n v="246.09"/>
    <n v="112.08"/>
    <x v="3"/>
    <s v="Beverage+Hot Meal"/>
    <x v="51"/>
    <x v="0"/>
    <n v="0.11"/>
    <s v="Card"/>
    <s v="Breakfast"/>
    <n v="438.04020000000003"/>
    <s v="Combo"/>
    <s v="High Discount"/>
    <n v="224.16"/>
    <n v="213.88020000000003"/>
  </r>
  <r>
    <s v="O00266"/>
    <x v="13"/>
    <n v="2"/>
    <n v="116.8"/>
    <n v="48.97"/>
    <x v="2"/>
    <s v="Dessert+Hot Meal"/>
    <x v="7"/>
    <x v="0"/>
    <n v="0.04"/>
    <s v="Card"/>
    <s v="Breakfast"/>
    <n v="224.256"/>
    <s v="Single"/>
    <s v="Ok"/>
    <n v="97.94"/>
    <n v="126.316"/>
  </r>
  <r>
    <s v="O00266"/>
    <x v="15"/>
    <n v="1"/>
    <n v="227.61"/>
    <n v="96.22"/>
    <x v="3"/>
    <s v="Dessert+Hot Meal"/>
    <x v="7"/>
    <x v="0"/>
    <n v="0.04"/>
    <s v="Card"/>
    <s v="Breakfast"/>
    <n v="218.50560000000002"/>
    <s v="Single"/>
    <s v="Ok"/>
    <n v="96.22"/>
    <n v="122.28560000000002"/>
  </r>
  <r>
    <s v="O00267"/>
    <x v="15"/>
    <n v="1"/>
    <n v="227.61"/>
    <n v="96.22"/>
    <x v="3"/>
    <s v="Beverage+Hot Meal"/>
    <x v="25"/>
    <x v="1"/>
    <n v="0.08"/>
    <s v="UPI"/>
    <s v="Breakfast"/>
    <n v="209.40120000000002"/>
    <s v="Combo"/>
    <s v="High Discount"/>
    <n v="96.22"/>
    <n v="113.18120000000002"/>
  </r>
  <r>
    <s v="O00267"/>
    <x v="6"/>
    <n v="1"/>
    <n v="246.09"/>
    <n v="112.08"/>
    <x v="3"/>
    <s v="Beverage+Hot Meal"/>
    <x v="25"/>
    <x v="1"/>
    <n v="0.08"/>
    <s v="UPI"/>
    <s v="Breakfast"/>
    <n v="226.40280000000001"/>
    <s v="Combo"/>
    <s v="High Discount"/>
    <n v="112.08"/>
    <n v="114.32280000000002"/>
  </r>
  <r>
    <s v="O00267"/>
    <x v="9"/>
    <n v="1"/>
    <n v="20.11"/>
    <n v="8"/>
    <x v="1"/>
    <s v="Beverage+Hot Meal"/>
    <x v="25"/>
    <x v="1"/>
    <n v="0.08"/>
    <s v="UPI"/>
    <s v="Breakfast"/>
    <n v="18.501200000000001"/>
    <s v="Combo"/>
    <s v="High Discount"/>
    <n v="8"/>
    <n v="10.501200000000001"/>
  </r>
  <r>
    <s v="O00267"/>
    <x v="8"/>
    <n v="3"/>
    <n v="28.43"/>
    <n v="13.89"/>
    <x v="1"/>
    <s v="Beverage+Hot Meal"/>
    <x v="25"/>
    <x v="1"/>
    <n v="0.08"/>
    <s v="UPI"/>
    <s v="Breakfast"/>
    <n v="78.466799999999992"/>
    <s v="Combo"/>
    <s v="High Discount"/>
    <n v="41.67"/>
    <n v="36.79679999999999"/>
  </r>
  <r>
    <s v="O00268"/>
    <x v="18"/>
    <n v="1"/>
    <n v="50.19"/>
    <n v="22.61"/>
    <x v="0"/>
    <s v="Dessert+Hot Meal+Snack"/>
    <x v="12"/>
    <x v="0"/>
    <n v="0.05"/>
    <s v="Cash"/>
    <s v="Breakfast"/>
    <n v="47.680499999999995"/>
    <s v="Single"/>
    <s v="High Discount"/>
    <n v="22.61"/>
    <n v="25.070499999999996"/>
  </r>
  <r>
    <s v="O00268"/>
    <x v="14"/>
    <n v="3"/>
    <n v="256.91000000000003"/>
    <n v="121.24"/>
    <x v="3"/>
    <s v="Dessert+Hot Meal+Snack"/>
    <x v="12"/>
    <x v="0"/>
    <n v="0.05"/>
    <s v="Cash"/>
    <s v="Breakfast"/>
    <n v="732.19349999999997"/>
    <s v="Single"/>
    <s v="High Discount"/>
    <n v="363.71999999999997"/>
    <n v="368.4735"/>
  </r>
  <r>
    <s v="O00268"/>
    <x v="11"/>
    <n v="3"/>
    <n v="57.07"/>
    <n v="29.14"/>
    <x v="2"/>
    <s v="Dessert+Hot Meal+Snack"/>
    <x v="12"/>
    <x v="0"/>
    <n v="0.05"/>
    <s v="Cash"/>
    <s v="Breakfast"/>
    <n v="162.64949999999999"/>
    <s v="Single"/>
    <s v="High Discount"/>
    <n v="87.42"/>
    <n v="75.229499999999987"/>
  </r>
  <r>
    <s v="O00269"/>
    <x v="14"/>
    <n v="3"/>
    <n v="256.91000000000003"/>
    <n v="121.24"/>
    <x v="3"/>
    <s v="Beverage+Hot Meal+Snack"/>
    <x v="59"/>
    <x v="0"/>
    <n v="0.05"/>
    <s v="Cash"/>
    <s v="Lunch"/>
    <n v="732.19349999999997"/>
    <s v="Combo"/>
    <s v="High Discount"/>
    <n v="363.71999999999997"/>
    <n v="368.4735"/>
  </r>
  <r>
    <s v="O00269"/>
    <x v="8"/>
    <n v="1"/>
    <n v="28.43"/>
    <n v="13.89"/>
    <x v="1"/>
    <s v="Beverage+Hot Meal+Snack"/>
    <x v="59"/>
    <x v="0"/>
    <n v="0.05"/>
    <s v="Cash"/>
    <s v="Lunch"/>
    <n v="27.008499999999998"/>
    <s v="Combo"/>
    <s v="High Discount"/>
    <n v="13.89"/>
    <n v="13.118499999999997"/>
  </r>
  <r>
    <s v="O00269"/>
    <x v="15"/>
    <n v="1"/>
    <n v="227.61"/>
    <n v="96.22"/>
    <x v="3"/>
    <s v="Beverage+Hot Meal+Snack"/>
    <x v="59"/>
    <x v="0"/>
    <n v="0.05"/>
    <s v="Cash"/>
    <s v="Lunch"/>
    <n v="216.2295"/>
    <s v="Combo"/>
    <s v="High Discount"/>
    <n v="96.22"/>
    <n v="120.0095"/>
  </r>
  <r>
    <s v="O00269"/>
    <x v="7"/>
    <n v="2"/>
    <n v="70.540000000000006"/>
    <n v="35.81"/>
    <x v="0"/>
    <s v="Beverage+Hot Meal+Snack"/>
    <x v="59"/>
    <x v="0"/>
    <n v="0.05"/>
    <s v="Cash"/>
    <s v="Lunch"/>
    <n v="134.02600000000001"/>
    <s v="Combo"/>
    <s v="High Discount"/>
    <n v="71.62"/>
    <n v="62.406000000000006"/>
  </r>
  <r>
    <s v="O00270"/>
    <x v="6"/>
    <n v="3"/>
    <n v="246.09"/>
    <n v="112.08"/>
    <x v="3"/>
    <s v="Hot Meal+Snack"/>
    <x v="38"/>
    <x v="2"/>
    <n v="0.1"/>
    <s v="Card"/>
    <s v="Lunch"/>
    <n v="664.44299999999998"/>
    <s v="Single"/>
    <s v="High Discount"/>
    <n v="336.24"/>
    <n v="328.20299999999997"/>
  </r>
  <r>
    <s v="O00270"/>
    <x v="14"/>
    <n v="3"/>
    <n v="256.91000000000003"/>
    <n v="121.24"/>
    <x v="3"/>
    <s v="Hot Meal+Snack"/>
    <x v="38"/>
    <x v="2"/>
    <n v="0.1"/>
    <s v="Card"/>
    <s v="Lunch"/>
    <n v="693.65700000000004"/>
    <s v="Single"/>
    <s v="High Discount"/>
    <n v="363.71999999999997"/>
    <n v="329.93700000000007"/>
  </r>
  <r>
    <s v="O00270"/>
    <x v="7"/>
    <n v="2"/>
    <n v="70.540000000000006"/>
    <n v="35.81"/>
    <x v="0"/>
    <s v="Hot Meal+Snack"/>
    <x v="38"/>
    <x v="2"/>
    <n v="0.1"/>
    <s v="Card"/>
    <s v="Lunch"/>
    <n v="126.97200000000001"/>
    <s v="Single"/>
    <s v="High Discount"/>
    <n v="71.62"/>
    <n v="55.352000000000004"/>
  </r>
  <r>
    <s v="O00271"/>
    <x v="10"/>
    <n v="1"/>
    <n v="22.2"/>
    <n v="9.3800000000000008"/>
    <x v="1"/>
    <s v="Beverage+Dessert"/>
    <x v="50"/>
    <x v="2"/>
    <n v="0.09"/>
    <s v="Card"/>
    <s v="Breakfast"/>
    <n v="20.202000000000002"/>
    <s v="Single"/>
    <s v="Ok"/>
    <n v="9.3800000000000008"/>
    <n v="10.822000000000001"/>
  </r>
  <r>
    <s v="O00271"/>
    <x v="2"/>
    <n v="1"/>
    <n v="76.55"/>
    <n v="38.229999999999997"/>
    <x v="2"/>
    <s v="Beverage+Dessert"/>
    <x v="50"/>
    <x v="2"/>
    <n v="0.09"/>
    <s v="Card"/>
    <s v="Breakfast"/>
    <n v="69.660499999999999"/>
    <s v="Single"/>
    <s v="Ok"/>
    <n v="38.229999999999997"/>
    <n v="31.430500000000002"/>
  </r>
  <r>
    <s v="O00271"/>
    <x v="12"/>
    <n v="1"/>
    <n v="54.2"/>
    <n v="21.95"/>
    <x v="2"/>
    <s v="Beverage+Dessert"/>
    <x v="50"/>
    <x v="2"/>
    <n v="0.09"/>
    <s v="Card"/>
    <s v="Breakfast"/>
    <n v="49.322000000000003"/>
    <s v="Single"/>
    <s v="Ok"/>
    <n v="21.95"/>
    <n v="27.372000000000003"/>
  </r>
  <r>
    <s v="O00272"/>
    <x v="16"/>
    <n v="1"/>
    <n v="146.4"/>
    <n v="80.92"/>
    <x v="3"/>
    <s v="Beverage+Hot Meal+Snack"/>
    <x v="29"/>
    <x v="2"/>
    <n v="0.09"/>
    <s v="UPI"/>
    <s v="Breakfast"/>
    <n v="133.22400000000002"/>
    <s v="Combo"/>
    <s v="Ok"/>
    <n v="80.92"/>
    <n v="52.304000000000016"/>
  </r>
  <r>
    <s v="O00272"/>
    <x v="10"/>
    <n v="3"/>
    <n v="22.2"/>
    <n v="9.3800000000000008"/>
    <x v="1"/>
    <s v="Beverage+Hot Meal+Snack"/>
    <x v="29"/>
    <x v="2"/>
    <n v="0.09"/>
    <s v="UPI"/>
    <s v="Breakfast"/>
    <n v="60.605999999999995"/>
    <s v="Combo"/>
    <s v="Ok"/>
    <n v="28.14"/>
    <n v="32.465999999999994"/>
  </r>
  <r>
    <s v="O00272"/>
    <x v="5"/>
    <n v="1"/>
    <n v="38.06"/>
    <n v="19.55"/>
    <x v="0"/>
    <s v="Beverage+Hot Meal+Snack"/>
    <x v="29"/>
    <x v="2"/>
    <n v="0.09"/>
    <s v="UPI"/>
    <s v="Breakfast"/>
    <n v="34.634600000000006"/>
    <s v="Combo"/>
    <s v="Ok"/>
    <n v="19.55"/>
    <n v="15.084600000000005"/>
  </r>
  <r>
    <s v="O00273"/>
    <x v="13"/>
    <n v="3"/>
    <n v="116.8"/>
    <n v="48.97"/>
    <x v="2"/>
    <s v="Dessert"/>
    <x v="41"/>
    <x v="0"/>
    <n v="0.11"/>
    <s v="Card"/>
    <s v="Dinner"/>
    <n v="311.85599999999999"/>
    <s v="Single"/>
    <s v="Ok"/>
    <n v="146.91"/>
    <n v="164.946"/>
  </r>
  <r>
    <s v="O00274"/>
    <x v="5"/>
    <n v="1"/>
    <n v="38.06"/>
    <n v="19.55"/>
    <x v="0"/>
    <s v="Beverage+Hot Meal+Snack"/>
    <x v="59"/>
    <x v="0"/>
    <n v="0.06"/>
    <s v="Card"/>
    <s v="Dinner"/>
    <n v="35.776400000000002"/>
    <s v="Combo"/>
    <s v="High Discount"/>
    <n v="19.55"/>
    <n v="16.226400000000002"/>
  </r>
  <r>
    <s v="O00274"/>
    <x v="10"/>
    <n v="1"/>
    <n v="22.2"/>
    <n v="9.3800000000000008"/>
    <x v="1"/>
    <s v="Beverage+Hot Meal+Snack"/>
    <x v="59"/>
    <x v="0"/>
    <n v="0.06"/>
    <s v="Card"/>
    <s v="Dinner"/>
    <n v="20.867999999999999"/>
    <s v="Combo"/>
    <s v="High Discount"/>
    <n v="9.3800000000000008"/>
    <n v="11.487999999999998"/>
  </r>
  <r>
    <s v="O00274"/>
    <x v="18"/>
    <n v="2"/>
    <n v="50.19"/>
    <n v="22.61"/>
    <x v="0"/>
    <s v="Beverage+Hot Meal+Snack"/>
    <x v="59"/>
    <x v="0"/>
    <n v="0.06"/>
    <s v="Card"/>
    <s v="Dinner"/>
    <n v="94.357199999999992"/>
    <s v="Combo"/>
    <s v="High Discount"/>
    <n v="45.22"/>
    <n v="49.137199999999993"/>
  </r>
  <r>
    <s v="O00274"/>
    <x v="14"/>
    <n v="2"/>
    <n v="256.91000000000003"/>
    <n v="121.24"/>
    <x v="3"/>
    <s v="Beverage+Hot Meal+Snack"/>
    <x v="59"/>
    <x v="0"/>
    <n v="0.06"/>
    <s v="Card"/>
    <s v="Dinner"/>
    <n v="482.99080000000004"/>
    <s v="Combo"/>
    <s v="High Discount"/>
    <n v="242.48"/>
    <n v="240.51080000000005"/>
  </r>
  <r>
    <s v="O00275"/>
    <x v="1"/>
    <n v="2"/>
    <n v="30.34"/>
    <n v="14.18"/>
    <x v="1"/>
    <s v="Beverage+Dessert+Hot Meal+Snack"/>
    <x v="17"/>
    <x v="2"/>
    <n v="0.09"/>
    <s v="UPI"/>
    <s v="Dinner"/>
    <n v="55.218800000000002"/>
    <s v="Combo"/>
    <s v="High Discount"/>
    <n v="28.36"/>
    <n v="26.858800000000002"/>
  </r>
  <r>
    <s v="O00275"/>
    <x v="4"/>
    <n v="2"/>
    <n v="170.83"/>
    <n v="74.069999999999993"/>
    <x v="3"/>
    <s v="Beverage+Dessert+Hot Meal+Snack"/>
    <x v="17"/>
    <x v="2"/>
    <n v="0.09"/>
    <s v="UPI"/>
    <s v="Dinner"/>
    <n v="310.91060000000004"/>
    <s v="Combo"/>
    <s v="High Discount"/>
    <n v="148.13999999999999"/>
    <n v="162.77060000000006"/>
  </r>
  <r>
    <s v="O00275"/>
    <x v="13"/>
    <n v="3"/>
    <n v="116.8"/>
    <n v="48.97"/>
    <x v="2"/>
    <s v="Beverage+Dessert+Hot Meal+Snack"/>
    <x v="17"/>
    <x v="2"/>
    <n v="0.09"/>
    <s v="UPI"/>
    <s v="Dinner"/>
    <n v="318.86399999999998"/>
    <s v="Combo"/>
    <s v="High Discount"/>
    <n v="146.91"/>
    <n v="171.95399999999998"/>
  </r>
  <r>
    <s v="O00275"/>
    <x v="18"/>
    <n v="3"/>
    <n v="50.19"/>
    <n v="22.61"/>
    <x v="0"/>
    <s v="Beverage+Dessert+Hot Meal+Snack"/>
    <x v="17"/>
    <x v="2"/>
    <n v="0.09"/>
    <s v="UPI"/>
    <s v="Dinner"/>
    <n v="137.0187"/>
    <s v="Combo"/>
    <s v="High Discount"/>
    <n v="67.83"/>
    <n v="69.188699999999997"/>
  </r>
  <r>
    <s v="O00276"/>
    <x v="5"/>
    <n v="1"/>
    <n v="38.06"/>
    <n v="19.55"/>
    <x v="0"/>
    <s v="Beverage+Dessert+Snack"/>
    <x v="37"/>
    <x v="1"/>
    <n v="0.05"/>
    <s v="UPI"/>
    <s v="Dinner"/>
    <n v="36.157000000000004"/>
    <s v="Single"/>
    <s v="Ok"/>
    <n v="19.55"/>
    <n v="16.607000000000003"/>
  </r>
  <r>
    <s v="O00276"/>
    <x v="9"/>
    <n v="2"/>
    <n v="20.11"/>
    <n v="8"/>
    <x v="1"/>
    <s v="Beverage+Dessert+Snack"/>
    <x v="37"/>
    <x v="1"/>
    <n v="0.05"/>
    <s v="UPI"/>
    <s v="Dinner"/>
    <n v="38.208999999999996"/>
    <s v="Single"/>
    <s v="Ok"/>
    <n v="16"/>
    <n v="22.208999999999996"/>
  </r>
  <r>
    <s v="O00276"/>
    <x v="13"/>
    <n v="3"/>
    <n v="116.8"/>
    <n v="48.97"/>
    <x v="2"/>
    <s v="Beverage+Dessert+Snack"/>
    <x v="37"/>
    <x v="1"/>
    <n v="0.05"/>
    <s v="UPI"/>
    <s v="Dinner"/>
    <n v="332.87999999999994"/>
    <s v="Single"/>
    <s v="Ok"/>
    <n v="146.91"/>
    <n v="185.96999999999994"/>
  </r>
  <r>
    <s v="O00277"/>
    <x v="5"/>
    <n v="1"/>
    <n v="38.06"/>
    <n v="19.55"/>
    <x v="0"/>
    <s v="Snack"/>
    <x v="56"/>
    <x v="2"/>
    <n v="7.0000000000000007E-2"/>
    <s v="Cash"/>
    <s v="Breakfast"/>
    <n v="35.395800000000001"/>
    <s v="Single"/>
    <s v="Ok"/>
    <n v="19.55"/>
    <n v="15.845800000000001"/>
  </r>
  <r>
    <s v="O00277"/>
    <x v="17"/>
    <n v="1"/>
    <n v="39.950000000000003"/>
    <n v="15.51"/>
    <x v="0"/>
    <s v="Snack"/>
    <x v="56"/>
    <x v="2"/>
    <n v="7.0000000000000007E-2"/>
    <s v="Cash"/>
    <s v="Breakfast"/>
    <n v="37.153500000000001"/>
    <s v="Single"/>
    <s v="Ok"/>
    <n v="15.51"/>
    <n v="21.643500000000003"/>
  </r>
  <r>
    <s v="O00278"/>
    <x v="4"/>
    <n v="1"/>
    <n v="170.83"/>
    <n v="74.069999999999993"/>
    <x v="3"/>
    <s v="Beverage+Dessert+Hot Meal"/>
    <x v="48"/>
    <x v="0"/>
    <n v="0.05"/>
    <s v="UPI"/>
    <s v="Dinner"/>
    <n v="162.2885"/>
    <s v="Combo"/>
    <s v="Ok"/>
    <n v="74.069999999999993"/>
    <n v="88.218500000000006"/>
  </r>
  <r>
    <s v="O00278"/>
    <x v="1"/>
    <n v="1"/>
    <n v="30.34"/>
    <n v="14.18"/>
    <x v="1"/>
    <s v="Beverage+Dessert+Hot Meal"/>
    <x v="48"/>
    <x v="0"/>
    <n v="0.05"/>
    <s v="UPI"/>
    <s v="Dinner"/>
    <n v="28.822999999999997"/>
    <s v="Combo"/>
    <s v="Ok"/>
    <n v="14.18"/>
    <n v="14.642999999999997"/>
  </r>
  <r>
    <s v="O00278"/>
    <x v="13"/>
    <n v="2"/>
    <n v="116.8"/>
    <n v="48.97"/>
    <x v="2"/>
    <s v="Beverage+Dessert+Hot Meal"/>
    <x v="48"/>
    <x v="0"/>
    <n v="0.05"/>
    <s v="UPI"/>
    <s v="Dinner"/>
    <n v="221.92"/>
    <s v="Combo"/>
    <s v="Ok"/>
    <n v="97.94"/>
    <n v="123.97999999999999"/>
  </r>
  <r>
    <s v="O00279"/>
    <x v="1"/>
    <n v="1"/>
    <n v="30.34"/>
    <n v="14.18"/>
    <x v="1"/>
    <s v="Beverage"/>
    <x v="15"/>
    <x v="1"/>
    <n v="0.06"/>
    <s v="Cash"/>
    <s v="Dinner"/>
    <n v="28.519599999999997"/>
    <s v="Single"/>
    <s v="Ok"/>
    <n v="14.18"/>
    <n v="14.339599999999997"/>
  </r>
  <r>
    <s v="O00280"/>
    <x v="8"/>
    <n v="1"/>
    <n v="28.43"/>
    <n v="13.89"/>
    <x v="1"/>
    <s v="Beverage+Hot Meal"/>
    <x v="52"/>
    <x v="1"/>
    <n v="0.08"/>
    <s v="Cash"/>
    <s v="Breakfast"/>
    <n v="26.1556"/>
    <s v="Combo"/>
    <s v="Ok"/>
    <n v="13.89"/>
    <n v="12.265599999999999"/>
  </r>
  <r>
    <s v="O00280"/>
    <x v="1"/>
    <n v="3"/>
    <n v="30.34"/>
    <n v="14.18"/>
    <x v="1"/>
    <s v="Beverage+Hot Meal"/>
    <x v="52"/>
    <x v="1"/>
    <n v="0.08"/>
    <s v="Cash"/>
    <s v="Breakfast"/>
    <n v="83.738399999999999"/>
    <s v="Combo"/>
    <s v="Ok"/>
    <n v="42.54"/>
    <n v="41.198399999999999"/>
  </r>
  <r>
    <s v="O00280"/>
    <x v="4"/>
    <n v="1"/>
    <n v="170.83"/>
    <n v="74.069999999999993"/>
    <x v="3"/>
    <s v="Beverage+Hot Meal"/>
    <x v="52"/>
    <x v="1"/>
    <n v="0.08"/>
    <s v="Cash"/>
    <s v="Breakfast"/>
    <n v="157.16360000000003"/>
    <s v="Combo"/>
    <s v="Ok"/>
    <n v="74.069999999999993"/>
    <n v="83.093600000000038"/>
  </r>
  <r>
    <s v="O00281"/>
    <x v="1"/>
    <n v="1"/>
    <n v="30.34"/>
    <n v="14.18"/>
    <x v="1"/>
    <s v="Beverage"/>
    <x v="16"/>
    <x v="0"/>
    <n v="0.03"/>
    <s v="Cash"/>
    <s v="Breakfast"/>
    <n v="29.4298"/>
    <s v="Single"/>
    <s v="Ok"/>
    <n v="14.18"/>
    <n v="15.2498"/>
  </r>
  <r>
    <s v="O00282"/>
    <x v="17"/>
    <n v="2"/>
    <n v="39.950000000000003"/>
    <n v="15.51"/>
    <x v="0"/>
    <s v="Beverage+Snack"/>
    <x v="48"/>
    <x v="2"/>
    <n v="0.14000000000000001"/>
    <s v="UPI"/>
    <s v="Lunch"/>
    <n v="68.713999999999999"/>
    <s v="Single"/>
    <s v="High Discount"/>
    <n v="31.02"/>
    <n v="37.694000000000003"/>
  </r>
  <r>
    <s v="O00282"/>
    <x v="7"/>
    <n v="3"/>
    <n v="70.540000000000006"/>
    <n v="35.81"/>
    <x v="0"/>
    <s v="Beverage+Snack"/>
    <x v="48"/>
    <x v="2"/>
    <n v="0.14000000000000001"/>
    <s v="UPI"/>
    <s v="Lunch"/>
    <n v="181.9932"/>
    <s v="Single"/>
    <s v="High Discount"/>
    <n v="107.43"/>
    <n v="74.563199999999995"/>
  </r>
  <r>
    <s v="O00282"/>
    <x v="1"/>
    <n v="1"/>
    <n v="30.34"/>
    <n v="14.18"/>
    <x v="1"/>
    <s v="Beverage+Snack"/>
    <x v="48"/>
    <x v="2"/>
    <n v="0.14000000000000001"/>
    <s v="UPI"/>
    <s v="Lunch"/>
    <n v="26.092399999999998"/>
    <s v="Single"/>
    <s v="High Discount"/>
    <n v="14.18"/>
    <n v="11.912399999999998"/>
  </r>
  <r>
    <s v="O00283"/>
    <x v="15"/>
    <n v="3"/>
    <n v="227.61"/>
    <n v="96.22"/>
    <x v="3"/>
    <s v="Beverage+Hot Meal+Snack"/>
    <x v="12"/>
    <x v="0"/>
    <n v="0.02"/>
    <s v="Card"/>
    <s v="Dinner"/>
    <n v="669.17340000000002"/>
    <s v="Combo"/>
    <s v="Ok"/>
    <n v="288.65999999999997"/>
    <n v="380.51340000000005"/>
  </r>
  <r>
    <s v="O00283"/>
    <x v="17"/>
    <n v="2"/>
    <n v="39.950000000000003"/>
    <n v="15.51"/>
    <x v="0"/>
    <s v="Beverage+Hot Meal+Snack"/>
    <x v="12"/>
    <x v="0"/>
    <n v="0.02"/>
    <s v="Card"/>
    <s v="Dinner"/>
    <n v="78.302000000000007"/>
    <s v="Combo"/>
    <s v="Ok"/>
    <n v="31.02"/>
    <n v="47.282000000000011"/>
  </r>
  <r>
    <s v="O00283"/>
    <x v="4"/>
    <n v="2"/>
    <n v="170.83"/>
    <n v="74.069999999999993"/>
    <x v="3"/>
    <s v="Beverage+Hot Meal+Snack"/>
    <x v="12"/>
    <x v="0"/>
    <n v="0.02"/>
    <s v="Card"/>
    <s v="Dinner"/>
    <n v="334.82679999999999"/>
    <s v="Combo"/>
    <s v="Ok"/>
    <n v="148.13999999999999"/>
    <n v="186.68680000000001"/>
  </r>
  <r>
    <s v="O00283"/>
    <x v="1"/>
    <n v="1"/>
    <n v="30.34"/>
    <n v="14.18"/>
    <x v="1"/>
    <s v="Beverage+Hot Meal+Snack"/>
    <x v="12"/>
    <x v="0"/>
    <n v="0.02"/>
    <s v="Card"/>
    <s v="Dinner"/>
    <n v="29.7332"/>
    <s v="Combo"/>
    <s v="Ok"/>
    <n v="14.18"/>
    <n v="15.5532"/>
  </r>
  <r>
    <s v="O00284"/>
    <x v="2"/>
    <n v="1"/>
    <n v="76.55"/>
    <n v="38.229999999999997"/>
    <x v="2"/>
    <s v="Dessert+Snack"/>
    <x v="53"/>
    <x v="2"/>
    <n v="0.01"/>
    <s v="Cash"/>
    <s v="Lunch"/>
    <n v="75.784499999999994"/>
    <s v="Single"/>
    <s v="Ok"/>
    <n v="38.229999999999997"/>
    <n v="37.554499999999997"/>
  </r>
  <r>
    <s v="O00284"/>
    <x v="18"/>
    <n v="3"/>
    <n v="50.19"/>
    <n v="22.61"/>
    <x v="0"/>
    <s v="Dessert+Snack"/>
    <x v="53"/>
    <x v="2"/>
    <n v="0.01"/>
    <s v="Cash"/>
    <s v="Lunch"/>
    <n v="149.0643"/>
    <s v="Single"/>
    <s v="Ok"/>
    <n v="67.83"/>
    <n v="81.234300000000005"/>
  </r>
  <r>
    <s v="O00284"/>
    <x v="0"/>
    <n v="2"/>
    <n v="52.45"/>
    <n v="25.8"/>
    <x v="0"/>
    <s v="Dessert+Snack"/>
    <x v="53"/>
    <x v="2"/>
    <n v="0.01"/>
    <s v="Cash"/>
    <s v="Lunch"/>
    <n v="103.851"/>
    <s v="Single"/>
    <s v="Ok"/>
    <n v="51.6"/>
    <n v="52.250999999999998"/>
  </r>
  <r>
    <s v="O00285"/>
    <x v="12"/>
    <n v="1"/>
    <n v="54.2"/>
    <n v="21.95"/>
    <x v="2"/>
    <s v="Dessert+Hot Meal+Snack"/>
    <x v="32"/>
    <x v="2"/>
    <n v="0.11"/>
    <s v="Cash"/>
    <s v="Breakfast"/>
    <n v="48.238000000000007"/>
    <s v="Single"/>
    <s v="High Discount"/>
    <n v="21.95"/>
    <n v="26.288000000000007"/>
  </r>
  <r>
    <s v="O00285"/>
    <x v="0"/>
    <n v="1"/>
    <n v="52.45"/>
    <n v="25.8"/>
    <x v="0"/>
    <s v="Dessert+Hot Meal+Snack"/>
    <x v="32"/>
    <x v="2"/>
    <n v="0.11"/>
    <s v="Cash"/>
    <s v="Breakfast"/>
    <n v="46.680500000000002"/>
    <s v="Single"/>
    <s v="High Discount"/>
    <n v="25.8"/>
    <n v="20.880500000000001"/>
  </r>
  <r>
    <s v="O00285"/>
    <x v="4"/>
    <n v="1"/>
    <n v="170.83"/>
    <n v="74.069999999999993"/>
    <x v="3"/>
    <s v="Dessert+Hot Meal+Snack"/>
    <x v="32"/>
    <x v="2"/>
    <n v="0.11"/>
    <s v="Cash"/>
    <s v="Breakfast"/>
    <n v="152.03870000000001"/>
    <s v="Single"/>
    <s v="High Discount"/>
    <n v="74.069999999999993"/>
    <n v="77.968700000000013"/>
  </r>
  <r>
    <s v="O00285"/>
    <x v="18"/>
    <n v="3"/>
    <n v="50.19"/>
    <n v="22.61"/>
    <x v="0"/>
    <s v="Dessert+Hot Meal+Snack"/>
    <x v="32"/>
    <x v="2"/>
    <n v="0.11"/>
    <s v="Cash"/>
    <s v="Breakfast"/>
    <n v="134.00729999999999"/>
    <s v="Single"/>
    <s v="High Discount"/>
    <n v="67.83"/>
    <n v="66.177299999999988"/>
  </r>
  <r>
    <s v="O00286"/>
    <x v="2"/>
    <n v="2"/>
    <n v="76.55"/>
    <n v="38.229999999999997"/>
    <x v="2"/>
    <s v="Dessert+Hot Meal"/>
    <x v="29"/>
    <x v="0"/>
    <n v="0.09"/>
    <s v="Card"/>
    <s v="Breakfast"/>
    <n v="139.321"/>
    <s v="Single"/>
    <s v="Ok"/>
    <n v="76.459999999999994"/>
    <n v="62.861000000000004"/>
  </r>
  <r>
    <s v="O00286"/>
    <x v="4"/>
    <n v="1"/>
    <n v="170.83"/>
    <n v="74.069999999999993"/>
    <x v="3"/>
    <s v="Dessert+Hot Meal"/>
    <x v="29"/>
    <x v="0"/>
    <n v="0.09"/>
    <s v="Card"/>
    <s v="Breakfast"/>
    <n v="155.45530000000002"/>
    <s v="Single"/>
    <s v="Ok"/>
    <n v="74.069999999999993"/>
    <n v="81.385300000000029"/>
  </r>
  <r>
    <s v="O00287"/>
    <x v="16"/>
    <n v="1"/>
    <n v="146.4"/>
    <n v="80.92"/>
    <x v="3"/>
    <s v="Hot Meal"/>
    <x v="37"/>
    <x v="0"/>
    <n v="0.08"/>
    <s v="UPI"/>
    <s v="Breakfast"/>
    <n v="134.68800000000002"/>
    <s v="Single"/>
    <s v="Ok"/>
    <n v="80.92"/>
    <n v="53.768000000000015"/>
  </r>
  <r>
    <s v="O00287"/>
    <x v="14"/>
    <n v="1"/>
    <n v="256.91000000000003"/>
    <n v="121.24"/>
    <x v="3"/>
    <s v="Hot Meal"/>
    <x v="37"/>
    <x v="0"/>
    <n v="0.08"/>
    <s v="UPI"/>
    <s v="Breakfast"/>
    <n v="236.35720000000003"/>
    <s v="Single"/>
    <s v="Ok"/>
    <n v="121.24"/>
    <n v="115.11720000000004"/>
  </r>
  <r>
    <s v="O00288"/>
    <x v="4"/>
    <n v="1"/>
    <n v="170.83"/>
    <n v="74.069999999999993"/>
    <x v="3"/>
    <s v="Beverage+Hot Meal+Snack"/>
    <x v="16"/>
    <x v="2"/>
    <n v="0.09"/>
    <s v="Cash"/>
    <s v="Dinner"/>
    <n v="155.45530000000002"/>
    <s v="Combo"/>
    <s v="Ok"/>
    <n v="74.069999999999993"/>
    <n v="81.385300000000029"/>
  </r>
  <r>
    <s v="O00288"/>
    <x v="0"/>
    <n v="2"/>
    <n v="52.45"/>
    <n v="25.8"/>
    <x v="0"/>
    <s v="Beverage+Hot Meal+Snack"/>
    <x v="16"/>
    <x v="2"/>
    <n v="0.09"/>
    <s v="Cash"/>
    <s v="Dinner"/>
    <n v="95.459000000000003"/>
    <s v="Combo"/>
    <s v="Ok"/>
    <n v="51.6"/>
    <n v="43.859000000000002"/>
  </r>
  <r>
    <s v="O00288"/>
    <x v="10"/>
    <n v="2"/>
    <n v="22.2"/>
    <n v="9.3800000000000008"/>
    <x v="1"/>
    <s v="Beverage+Hot Meal+Snack"/>
    <x v="16"/>
    <x v="2"/>
    <n v="0.09"/>
    <s v="Cash"/>
    <s v="Dinner"/>
    <n v="40.404000000000003"/>
    <s v="Combo"/>
    <s v="Ok"/>
    <n v="18.760000000000002"/>
    <n v="21.644000000000002"/>
  </r>
  <r>
    <s v="O00289"/>
    <x v="7"/>
    <n v="3"/>
    <n v="70.540000000000006"/>
    <n v="35.81"/>
    <x v="0"/>
    <s v="Beverage+Dessert+Snack"/>
    <x v="42"/>
    <x v="0"/>
    <n v="0.06"/>
    <s v="Card"/>
    <s v="Breakfast"/>
    <n v="198.9228"/>
    <s v="Single"/>
    <s v="Ok"/>
    <n v="107.43"/>
    <n v="91.492799999999988"/>
  </r>
  <r>
    <s v="O00289"/>
    <x v="9"/>
    <n v="1"/>
    <n v="20.11"/>
    <n v="8"/>
    <x v="1"/>
    <s v="Beverage+Dessert+Snack"/>
    <x v="42"/>
    <x v="0"/>
    <n v="0.06"/>
    <s v="Card"/>
    <s v="Breakfast"/>
    <n v="18.903399999999998"/>
    <s v="Single"/>
    <s v="Ok"/>
    <n v="8"/>
    <n v="10.903399999999998"/>
  </r>
  <r>
    <s v="O00289"/>
    <x v="2"/>
    <n v="1"/>
    <n v="76.55"/>
    <n v="38.229999999999997"/>
    <x v="2"/>
    <s v="Beverage+Dessert+Snack"/>
    <x v="42"/>
    <x v="0"/>
    <n v="0.06"/>
    <s v="Card"/>
    <s v="Breakfast"/>
    <n v="71.956999999999994"/>
    <s v="Single"/>
    <s v="Ok"/>
    <n v="38.229999999999997"/>
    <n v="33.726999999999997"/>
  </r>
  <r>
    <s v="O00290"/>
    <x v="3"/>
    <n v="1"/>
    <n v="32.979999999999997"/>
    <n v="11.84"/>
    <x v="1"/>
    <s v="Beverage"/>
    <x v="31"/>
    <x v="0"/>
    <n v="0.02"/>
    <s v="Card"/>
    <s v="Breakfast"/>
    <n v="32.320399999999999"/>
    <s v="Single"/>
    <s v="Ok"/>
    <n v="11.84"/>
    <n v="20.480399999999999"/>
  </r>
  <r>
    <s v="O00290"/>
    <x v="9"/>
    <n v="1"/>
    <n v="20.11"/>
    <n v="8"/>
    <x v="1"/>
    <s v="Beverage"/>
    <x v="31"/>
    <x v="0"/>
    <n v="0.02"/>
    <s v="Card"/>
    <s v="Breakfast"/>
    <n v="19.707799999999999"/>
    <s v="Single"/>
    <s v="Ok"/>
    <n v="8"/>
    <n v="11.707799999999999"/>
  </r>
  <r>
    <s v="O00291"/>
    <x v="14"/>
    <n v="2"/>
    <n v="256.91000000000003"/>
    <n v="121.24"/>
    <x v="3"/>
    <s v="Hot Meal"/>
    <x v="17"/>
    <x v="2"/>
    <n v="0.06"/>
    <s v="Card"/>
    <s v="Breakfast"/>
    <n v="482.99080000000004"/>
    <s v="Single"/>
    <s v="Ok"/>
    <n v="242.48"/>
    <n v="240.51080000000005"/>
  </r>
  <r>
    <s v="O00292"/>
    <x v="9"/>
    <n v="1"/>
    <n v="20.11"/>
    <n v="8"/>
    <x v="1"/>
    <s v="Beverage"/>
    <x v="58"/>
    <x v="0"/>
    <n v="0.03"/>
    <s v="UPI"/>
    <s v="Dinner"/>
    <n v="19.506699999999999"/>
    <s v="Single"/>
    <s v="Ok"/>
    <n v="8"/>
    <n v="11.506699999999999"/>
  </r>
  <r>
    <s v="O00292"/>
    <x v="1"/>
    <n v="2"/>
    <n v="30.34"/>
    <n v="14.18"/>
    <x v="1"/>
    <s v="Beverage"/>
    <x v="58"/>
    <x v="0"/>
    <n v="0.03"/>
    <s v="UPI"/>
    <s v="Dinner"/>
    <n v="58.8596"/>
    <s v="Single"/>
    <s v="Ok"/>
    <n v="28.36"/>
    <n v="30.499600000000001"/>
  </r>
  <r>
    <s v="O00293"/>
    <x v="15"/>
    <n v="2"/>
    <n v="227.61"/>
    <n v="96.22"/>
    <x v="3"/>
    <s v="Beverage+Hot Meal"/>
    <x v="57"/>
    <x v="1"/>
    <n v="0.1"/>
    <s v="UPI"/>
    <s v="Lunch"/>
    <n v="409.69800000000004"/>
    <s v="Combo"/>
    <s v="High Discount"/>
    <n v="192.44"/>
    <n v="217.25800000000004"/>
  </r>
  <r>
    <s v="O00293"/>
    <x v="1"/>
    <n v="2"/>
    <n v="30.34"/>
    <n v="14.18"/>
    <x v="1"/>
    <s v="Beverage+Hot Meal"/>
    <x v="57"/>
    <x v="1"/>
    <n v="0.1"/>
    <s v="UPI"/>
    <s v="Lunch"/>
    <n v="54.612000000000002"/>
    <s v="Combo"/>
    <s v="High Discount"/>
    <n v="28.36"/>
    <n v="26.252000000000002"/>
  </r>
  <r>
    <s v="O00294"/>
    <x v="8"/>
    <n v="2"/>
    <n v="28.43"/>
    <n v="13.89"/>
    <x v="1"/>
    <s v="Beverage"/>
    <x v="42"/>
    <x v="0"/>
    <n v="0.05"/>
    <s v="Cash"/>
    <s v="Dinner"/>
    <n v="54.016999999999996"/>
    <s v="Single"/>
    <s v="Ok"/>
    <n v="27.78"/>
    <n v="26.236999999999995"/>
  </r>
  <r>
    <s v="O00295"/>
    <x v="11"/>
    <n v="1"/>
    <n v="57.07"/>
    <n v="29.14"/>
    <x v="2"/>
    <s v="Beverage+Dessert"/>
    <x v="34"/>
    <x v="1"/>
    <n v="0.03"/>
    <s v="Cash"/>
    <s v="Dinner"/>
    <n v="55.357900000000001"/>
    <s v="Single"/>
    <s v="Ok"/>
    <n v="29.14"/>
    <n v="26.2179"/>
  </r>
  <r>
    <s v="O00295"/>
    <x v="10"/>
    <n v="1"/>
    <n v="22.2"/>
    <n v="9.3800000000000008"/>
    <x v="1"/>
    <s v="Beverage+Dessert"/>
    <x v="34"/>
    <x v="1"/>
    <n v="0.03"/>
    <s v="Cash"/>
    <s v="Dinner"/>
    <n v="21.533999999999999"/>
    <s v="Single"/>
    <s v="Ok"/>
    <n v="9.3800000000000008"/>
    <n v="12.153999999999998"/>
  </r>
  <r>
    <s v="O00296"/>
    <x v="18"/>
    <n v="1"/>
    <n v="50.19"/>
    <n v="22.61"/>
    <x v="0"/>
    <s v="Snack"/>
    <x v="42"/>
    <x v="2"/>
    <n v="0.05"/>
    <s v="UPI"/>
    <s v="Dinner"/>
    <n v="47.680499999999995"/>
    <s v="Single"/>
    <s v="Ok"/>
    <n v="22.61"/>
    <n v="25.070499999999996"/>
  </r>
  <r>
    <s v="O00296"/>
    <x v="17"/>
    <n v="3"/>
    <n v="39.950000000000003"/>
    <n v="15.51"/>
    <x v="0"/>
    <s v="Snack"/>
    <x v="42"/>
    <x v="2"/>
    <n v="0.05"/>
    <s v="UPI"/>
    <s v="Dinner"/>
    <n v="113.8575"/>
    <s v="Single"/>
    <s v="Ok"/>
    <n v="46.53"/>
    <n v="67.327500000000001"/>
  </r>
  <r>
    <s v="O00297"/>
    <x v="7"/>
    <n v="3"/>
    <n v="70.540000000000006"/>
    <n v="35.81"/>
    <x v="0"/>
    <s v="Snack"/>
    <x v="19"/>
    <x v="0"/>
    <n v="0.08"/>
    <s v="Cash"/>
    <s v="Breakfast"/>
    <n v="194.69040000000001"/>
    <s v="Single"/>
    <s v="Ok"/>
    <n v="107.43"/>
    <n v="87.260400000000004"/>
  </r>
  <r>
    <s v="O00298"/>
    <x v="14"/>
    <n v="1"/>
    <n v="256.91000000000003"/>
    <n v="121.24"/>
    <x v="3"/>
    <s v="Hot Meal"/>
    <x v="35"/>
    <x v="1"/>
    <n v="0.04"/>
    <s v="UPI"/>
    <s v="Dinner"/>
    <n v="246.6336"/>
    <s v="Single"/>
    <s v="Ok"/>
    <n v="121.24"/>
    <n v="125.39360000000001"/>
  </r>
  <r>
    <s v="O00299"/>
    <x v="5"/>
    <n v="1"/>
    <n v="38.06"/>
    <n v="19.55"/>
    <x v="0"/>
    <s v="Beverage+Dessert+Hot Meal+Snack"/>
    <x v="36"/>
    <x v="1"/>
    <n v="0.03"/>
    <s v="Card"/>
    <s v="Lunch"/>
    <n v="36.918199999999999"/>
    <s v="Combo"/>
    <s v="Ok"/>
    <n v="19.55"/>
    <n v="17.368199999999998"/>
  </r>
  <r>
    <s v="O00299"/>
    <x v="13"/>
    <n v="1"/>
    <n v="116.8"/>
    <n v="48.97"/>
    <x v="2"/>
    <s v="Beverage+Dessert+Hot Meal+Snack"/>
    <x v="36"/>
    <x v="1"/>
    <n v="0.03"/>
    <s v="Card"/>
    <s v="Lunch"/>
    <n v="113.29599999999999"/>
    <s v="Combo"/>
    <s v="Ok"/>
    <n v="48.97"/>
    <n v="64.325999999999993"/>
  </r>
  <r>
    <s v="O00299"/>
    <x v="16"/>
    <n v="2"/>
    <n v="146.4"/>
    <n v="80.92"/>
    <x v="3"/>
    <s v="Beverage+Dessert+Hot Meal+Snack"/>
    <x v="36"/>
    <x v="1"/>
    <n v="0.03"/>
    <s v="Card"/>
    <s v="Lunch"/>
    <n v="284.01600000000002"/>
    <s v="Combo"/>
    <s v="Ok"/>
    <n v="161.84"/>
    <n v="122.17600000000002"/>
  </r>
  <r>
    <s v="O00299"/>
    <x v="9"/>
    <n v="1"/>
    <n v="20.11"/>
    <n v="8"/>
    <x v="1"/>
    <s v="Beverage+Dessert+Hot Meal+Snack"/>
    <x v="36"/>
    <x v="1"/>
    <n v="0.03"/>
    <s v="Card"/>
    <s v="Lunch"/>
    <n v="19.506699999999999"/>
    <s v="Combo"/>
    <s v="Ok"/>
    <n v="8"/>
    <n v="11.506699999999999"/>
  </r>
  <r>
    <s v="O00300"/>
    <x v="12"/>
    <n v="1"/>
    <n v="54.2"/>
    <n v="21.95"/>
    <x v="2"/>
    <s v="Dessert+Hot Meal+Snack"/>
    <x v="22"/>
    <x v="0"/>
    <n v="7.0000000000000007E-2"/>
    <s v="Cash"/>
    <s v="Breakfast"/>
    <n v="50.405999999999999"/>
    <s v="Single"/>
    <s v="Ok"/>
    <n v="21.95"/>
    <n v="28.456"/>
  </r>
  <r>
    <s v="O00300"/>
    <x v="6"/>
    <n v="1"/>
    <n v="246.09"/>
    <n v="112.08"/>
    <x v="3"/>
    <s v="Dessert+Hot Meal+Snack"/>
    <x v="22"/>
    <x v="0"/>
    <n v="7.0000000000000007E-2"/>
    <s v="Cash"/>
    <s v="Breakfast"/>
    <n v="228.86369999999999"/>
    <s v="Single"/>
    <s v="Ok"/>
    <n v="112.08"/>
    <n v="116.7837"/>
  </r>
  <r>
    <s v="O00300"/>
    <x v="0"/>
    <n v="2"/>
    <n v="52.45"/>
    <n v="25.8"/>
    <x v="0"/>
    <s v="Dessert+Hot Meal+Snack"/>
    <x v="22"/>
    <x v="0"/>
    <n v="7.0000000000000007E-2"/>
    <s v="Cash"/>
    <s v="Breakfast"/>
    <n v="97.557000000000002"/>
    <s v="Single"/>
    <s v="Ok"/>
    <n v="51.6"/>
    <n v="45.957000000000001"/>
  </r>
  <r>
    <s v="O00301"/>
    <x v="17"/>
    <n v="3"/>
    <n v="39.950000000000003"/>
    <n v="15.51"/>
    <x v="0"/>
    <s v="Dessert+Snack"/>
    <x v="4"/>
    <x v="1"/>
    <n v="7.0000000000000007E-2"/>
    <s v="UPI"/>
    <s v="Lunch"/>
    <n v="111.4605"/>
    <s v="Single"/>
    <s v="Ok"/>
    <n v="46.53"/>
    <n v="64.930499999999995"/>
  </r>
  <r>
    <s v="O00301"/>
    <x v="2"/>
    <n v="1"/>
    <n v="76.55"/>
    <n v="38.229999999999997"/>
    <x v="2"/>
    <s v="Dessert+Snack"/>
    <x v="4"/>
    <x v="1"/>
    <n v="7.0000000000000007E-2"/>
    <s v="UPI"/>
    <s v="Lunch"/>
    <n v="71.191499999999991"/>
    <s v="Single"/>
    <s v="Ok"/>
    <n v="38.229999999999997"/>
    <n v="32.961499999999994"/>
  </r>
  <r>
    <s v="O00301"/>
    <x v="12"/>
    <n v="2"/>
    <n v="54.2"/>
    <n v="21.95"/>
    <x v="2"/>
    <s v="Dessert+Snack"/>
    <x v="4"/>
    <x v="1"/>
    <n v="7.0000000000000007E-2"/>
    <s v="UPI"/>
    <s v="Lunch"/>
    <n v="100.812"/>
    <s v="Single"/>
    <s v="Ok"/>
    <n v="43.9"/>
    <n v="56.911999999999999"/>
  </r>
  <r>
    <s v="O00301"/>
    <x v="7"/>
    <n v="1"/>
    <n v="70.540000000000006"/>
    <n v="35.81"/>
    <x v="0"/>
    <s v="Dessert+Snack"/>
    <x v="4"/>
    <x v="1"/>
    <n v="7.0000000000000007E-2"/>
    <s v="UPI"/>
    <s v="Lunch"/>
    <n v="65.602199999999996"/>
    <s v="Single"/>
    <s v="Ok"/>
    <n v="35.81"/>
    <n v="29.792199999999994"/>
  </r>
  <r>
    <s v="O00302"/>
    <x v="10"/>
    <n v="3"/>
    <n v="22.2"/>
    <n v="9.3800000000000008"/>
    <x v="1"/>
    <s v="Beverage"/>
    <x v="33"/>
    <x v="1"/>
    <n v="0.04"/>
    <s v="UPI"/>
    <s v="Dinner"/>
    <n v="63.935999999999993"/>
    <s v="Single"/>
    <s v="Ok"/>
    <n v="28.14"/>
    <n v="35.795999999999992"/>
  </r>
  <r>
    <s v="O00303"/>
    <x v="17"/>
    <n v="2"/>
    <n v="39.950000000000003"/>
    <n v="15.51"/>
    <x v="0"/>
    <s v="Snack"/>
    <x v="50"/>
    <x v="2"/>
    <n v="0.04"/>
    <s v="UPI"/>
    <s v="Lunch"/>
    <n v="76.704000000000008"/>
    <s v="Single"/>
    <s v="Ok"/>
    <n v="31.02"/>
    <n v="45.684000000000012"/>
  </r>
  <r>
    <s v="O00303"/>
    <x v="5"/>
    <n v="2"/>
    <n v="38.06"/>
    <n v="19.55"/>
    <x v="0"/>
    <s v="Snack"/>
    <x v="50"/>
    <x v="2"/>
    <n v="0.04"/>
    <s v="UPI"/>
    <s v="Lunch"/>
    <n v="73.075199999999995"/>
    <s v="Single"/>
    <s v="Ok"/>
    <n v="39.1"/>
    <n v="33.975199999999994"/>
  </r>
  <r>
    <s v="O00304"/>
    <x v="3"/>
    <n v="1"/>
    <n v="32.979999999999997"/>
    <n v="11.84"/>
    <x v="1"/>
    <s v="Beverage"/>
    <x v="31"/>
    <x v="1"/>
    <n v="7.0000000000000007E-2"/>
    <s v="UPI"/>
    <s v="Breakfast"/>
    <n v="30.671399999999995"/>
    <s v="Single"/>
    <s v="Ok"/>
    <n v="11.84"/>
    <n v="18.831399999999995"/>
  </r>
  <r>
    <s v="O00305"/>
    <x v="17"/>
    <n v="2"/>
    <n v="39.950000000000003"/>
    <n v="15.51"/>
    <x v="0"/>
    <s v="Hot Meal+Snack"/>
    <x v="23"/>
    <x v="0"/>
    <n v="0"/>
    <s v="Cash"/>
    <s v="Dinner"/>
    <n v="79.900000000000006"/>
    <s v="Single"/>
    <s v="Ok"/>
    <n v="31.02"/>
    <n v="48.88000000000001"/>
  </r>
  <r>
    <s v="O00305"/>
    <x v="6"/>
    <n v="2"/>
    <n v="246.09"/>
    <n v="112.08"/>
    <x v="3"/>
    <s v="Hot Meal+Snack"/>
    <x v="23"/>
    <x v="0"/>
    <n v="0"/>
    <s v="Cash"/>
    <s v="Dinner"/>
    <n v="492.18"/>
    <s v="Single"/>
    <s v="Ok"/>
    <n v="224.16"/>
    <n v="268.02"/>
  </r>
  <r>
    <s v="O00306"/>
    <x v="18"/>
    <n v="1"/>
    <n v="50.19"/>
    <n v="22.61"/>
    <x v="0"/>
    <s v="Beverage+Hot Meal+Snack"/>
    <x v="18"/>
    <x v="1"/>
    <n v="0"/>
    <s v="Card"/>
    <s v="Lunch"/>
    <n v="50.19"/>
    <s v="Combo"/>
    <s v="Ok"/>
    <n v="22.61"/>
    <n v="27.58"/>
  </r>
  <r>
    <s v="O00306"/>
    <x v="9"/>
    <n v="1"/>
    <n v="20.11"/>
    <n v="8"/>
    <x v="1"/>
    <s v="Beverage+Hot Meal+Snack"/>
    <x v="18"/>
    <x v="1"/>
    <n v="0"/>
    <s v="Card"/>
    <s v="Lunch"/>
    <n v="20.11"/>
    <s v="Combo"/>
    <s v="Ok"/>
    <n v="8"/>
    <n v="12.11"/>
  </r>
  <r>
    <s v="O00306"/>
    <x v="4"/>
    <n v="1"/>
    <n v="170.83"/>
    <n v="74.069999999999993"/>
    <x v="3"/>
    <s v="Beverage+Hot Meal+Snack"/>
    <x v="18"/>
    <x v="1"/>
    <n v="0"/>
    <s v="Card"/>
    <s v="Lunch"/>
    <n v="170.83"/>
    <s v="Combo"/>
    <s v="Ok"/>
    <n v="74.069999999999993"/>
    <n v="96.760000000000019"/>
  </r>
  <r>
    <s v="O00306"/>
    <x v="16"/>
    <n v="3"/>
    <n v="146.4"/>
    <n v="80.92"/>
    <x v="3"/>
    <s v="Beverage+Hot Meal+Snack"/>
    <x v="18"/>
    <x v="1"/>
    <n v="0"/>
    <s v="Card"/>
    <s v="Lunch"/>
    <n v="439.20000000000005"/>
    <s v="Combo"/>
    <s v="Ok"/>
    <n v="242.76"/>
    <n v="196.44000000000005"/>
  </r>
  <r>
    <s v="O00307"/>
    <x v="2"/>
    <n v="1"/>
    <n v="76.55"/>
    <n v="38.229999999999997"/>
    <x v="2"/>
    <s v="Beverage+Dessert+Hot Meal"/>
    <x v="12"/>
    <x v="2"/>
    <n v="0.03"/>
    <s v="UPI"/>
    <s v="Breakfast"/>
    <n v="74.253499999999988"/>
    <s v="Combo"/>
    <s v="Ok"/>
    <n v="38.229999999999997"/>
    <n v="36.023499999999991"/>
  </r>
  <r>
    <s v="O00307"/>
    <x v="6"/>
    <n v="1"/>
    <n v="246.09"/>
    <n v="112.08"/>
    <x v="3"/>
    <s v="Beverage+Dessert+Hot Meal"/>
    <x v="12"/>
    <x v="2"/>
    <n v="0.03"/>
    <s v="UPI"/>
    <s v="Breakfast"/>
    <n v="238.7073"/>
    <s v="Combo"/>
    <s v="Ok"/>
    <n v="112.08"/>
    <n v="126.62730000000001"/>
  </r>
  <r>
    <s v="O00307"/>
    <x v="10"/>
    <n v="2"/>
    <n v="22.2"/>
    <n v="9.3800000000000008"/>
    <x v="1"/>
    <s v="Beverage+Dessert+Hot Meal"/>
    <x v="12"/>
    <x v="2"/>
    <n v="0.03"/>
    <s v="UPI"/>
    <s v="Breakfast"/>
    <n v="43.067999999999998"/>
    <s v="Combo"/>
    <s v="Ok"/>
    <n v="18.760000000000002"/>
    <n v="24.307999999999996"/>
  </r>
  <r>
    <s v="O00307"/>
    <x v="1"/>
    <n v="2"/>
    <n v="30.34"/>
    <n v="14.18"/>
    <x v="1"/>
    <s v="Beverage+Dessert+Hot Meal"/>
    <x v="12"/>
    <x v="2"/>
    <n v="0.03"/>
    <s v="UPI"/>
    <s v="Breakfast"/>
    <n v="58.8596"/>
    <s v="Combo"/>
    <s v="Ok"/>
    <n v="28.36"/>
    <n v="30.499600000000001"/>
  </r>
  <r>
    <s v="O00308"/>
    <x v="14"/>
    <n v="1"/>
    <n v="256.91000000000003"/>
    <n v="121.24"/>
    <x v="3"/>
    <s v="Dessert+Hot Meal"/>
    <x v="19"/>
    <x v="1"/>
    <n v="0.05"/>
    <s v="Card"/>
    <s v="Lunch"/>
    <n v="244.06450000000001"/>
    <s v="Single"/>
    <s v="High Discount"/>
    <n v="121.24"/>
    <n v="122.82450000000001"/>
  </r>
  <r>
    <s v="O00308"/>
    <x v="12"/>
    <n v="3"/>
    <n v="54.2"/>
    <n v="21.95"/>
    <x v="2"/>
    <s v="Dessert+Hot Meal"/>
    <x v="19"/>
    <x v="1"/>
    <n v="0.05"/>
    <s v="Card"/>
    <s v="Lunch"/>
    <n v="154.47000000000003"/>
    <s v="Single"/>
    <s v="High Discount"/>
    <n v="65.849999999999994"/>
    <n v="88.620000000000033"/>
  </r>
  <r>
    <s v="O00308"/>
    <x v="13"/>
    <n v="1"/>
    <n v="116.8"/>
    <n v="48.97"/>
    <x v="2"/>
    <s v="Dessert+Hot Meal"/>
    <x v="19"/>
    <x v="1"/>
    <n v="0.05"/>
    <s v="Card"/>
    <s v="Lunch"/>
    <n v="110.96"/>
    <s v="Single"/>
    <s v="High Discount"/>
    <n v="48.97"/>
    <n v="61.989999999999995"/>
  </r>
  <r>
    <s v="O00308"/>
    <x v="6"/>
    <n v="2"/>
    <n v="246.09"/>
    <n v="112.08"/>
    <x v="3"/>
    <s v="Dessert+Hot Meal"/>
    <x v="19"/>
    <x v="1"/>
    <n v="0.05"/>
    <s v="Card"/>
    <s v="Lunch"/>
    <n v="467.57099999999997"/>
    <s v="Single"/>
    <s v="High Discount"/>
    <n v="224.16"/>
    <n v="243.41099999999997"/>
  </r>
  <r>
    <s v="O00309"/>
    <x v="3"/>
    <n v="1"/>
    <n v="32.979999999999997"/>
    <n v="11.84"/>
    <x v="1"/>
    <s v="Beverage+Snack"/>
    <x v="29"/>
    <x v="2"/>
    <n v="7.0000000000000007E-2"/>
    <s v="Card"/>
    <s v="Dinner"/>
    <n v="30.671399999999995"/>
    <s v="Single"/>
    <s v="Ok"/>
    <n v="11.84"/>
    <n v="18.831399999999995"/>
  </r>
  <r>
    <s v="O00309"/>
    <x v="5"/>
    <n v="2"/>
    <n v="38.06"/>
    <n v="19.55"/>
    <x v="0"/>
    <s v="Beverage+Snack"/>
    <x v="29"/>
    <x v="2"/>
    <n v="7.0000000000000007E-2"/>
    <s v="Card"/>
    <s v="Dinner"/>
    <n v="70.791600000000003"/>
    <s v="Single"/>
    <s v="Ok"/>
    <n v="39.1"/>
    <n v="31.691600000000001"/>
  </r>
  <r>
    <s v="O00310"/>
    <x v="9"/>
    <n v="1"/>
    <n v="20.11"/>
    <n v="8"/>
    <x v="1"/>
    <s v="Beverage+Dessert+Snack"/>
    <x v="46"/>
    <x v="2"/>
    <n v="0.12"/>
    <s v="Cash"/>
    <s v="Breakfast"/>
    <n v="17.6968"/>
    <s v="Single"/>
    <s v="Ok"/>
    <n v="8"/>
    <n v="9.6967999999999996"/>
  </r>
  <r>
    <s v="O00310"/>
    <x v="11"/>
    <n v="2"/>
    <n v="57.07"/>
    <n v="29.14"/>
    <x v="2"/>
    <s v="Beverage+Dessert+Snack"/>
    <x v="46"/>
    <x v="2"/>
    <n v="0.12"/>
    <s v="Cash"/>
    <s v="Breakfast"/>
    <n v="100.4432"/>
    <s v="Single"/>
    <s v="Ok"/>
    <n v="58.28"/>
    <n v="42.163200000000003"/>
  </r>
  <r>
    <s v="O00310"/>
    <x v="18"/>
    <n v="1"/>
    <n v="50.19"/>
    <n v="22.61"/>
    <x v="0"/>
    <s v="Beverage+Dessert+Snack"/>
    <x v="46"/>
    <x v="2"/>
    <n v="0.12"/>
    <s v="Cash"/>
    <s v="Breakfast"/>
    <n v="44.167200000000001"/>
    <s v="Single"/>
    <s v="Ok"/>
    <n v="22.61"/>
    <n v="21.557200000000002"/>
  </r>
  <r>
    <s v="O00311"/>
    <x v="2"/>
    <n v="2"/>
    <n v="76.55"/>
    <n v="38.229999999999997"/>
    <x v="2"/>
    <s v="Dessert+Snack"/>
    <x v="28"/>
    <x v="0"/>
    <n v="0.09"/>
    <s v="UPI"/>
    <s v="Breakfast"/>
    <n v="139.321"/>
    <s v="Single"/>
    <s v="Ok"/>
    <n v="76.459999999999994"/>
    <n v="62.861000000000004"/>
  </r>
  <r>
    <s v="O00311"/>
    <x v="13"/>
    <n v="1"/>
    <n v="116.8"/>
    <n v="48.97"/>
    <x v="2"/>
    <s v="Dessert+Snack"/>
    <x v="28"/>
    <x v="0"/>
    <n v="0.09"/>
    <s v="UPI"/>
    <s v="Breakfast"/>
    <n v="106.288"/>
    <s v="Single"/>
    <s v="Ok"/>
    <n v="48.97"/>
    <n v="57.317999999999998"/>
  </r>
  <r>
    <s v="O00311"/>
    <x v="5"/>
    <n v="2"/>
    <n v="38.06"/>
    <n v="19.55"/>
    <x v="0"/>
    <s v="Dessert+Snack"/>
    <x v="28"/>
    <x v="0"/>
    <n v="0.09"/>
    <s v="UPI"/>
    <s v="Breakfast"/>
    <n v="69.269200000000012"/>
    <s v="Single"/>
    <s v="Ok"/>
    <n v="39.1"/>
    <n v="30.169200000000011"/>
  </r>
  <r>
    <s v="O00312"/>
    <x v="7"/>
    <n v="2"/>
    <n v="70.540000000000006"/>
    <n v="35.81"/>
    <x v="0"/>
    <s v="Dessert+Snack"/>
    <x v="26"/>
    <x v="0"/>
    <n v="0.05"/>
    <s v="UPI"/>
    <s v="Dinner"/>
    <n v="134.02600000000001"/>
    <s v="Single"/>
    <s v="Ok"/>
    <n v="71.62"/>
    <n v="62.406000000000006"/>
  </r>
  <r>
    <s v="O00312"/>
    <x v="2"/>
    <n v="1"/>
    <n v="76.55"/>
    <n v="38.229999999999997"/>
    <x v="2"/>
    <s v="Dessert+Snack"/>
    <x v="26"/>
    <x v="0"/>
    <n v="0.05"/>
    <s v="UPI"/>
    <s v="Dinner"/>
    <n v="72.722499999999997"/>
    <s v="Single"/>
    <s v="Ok"/>
    <n v="38.229999999999997"/>
    <n v="34.4925"/>
  </r>
  <r>
    <s v="O00312"/>
    <x v="11"/>
    <n v="1"/>
    <n v="57.07"/>
    <n v="29.14"/>
    <x v="2"/>
    <s v="Dessert+Snack"/>
    <x v="26"/>
    <x v="0"/>
    <n v="0.05"/>
    <s v="UPI"/>
    <s v="Dinner"/>
    <n v="54.216499999999996"/>
    <s v="Single"/>
    <s v="Ok"/>
    <n v="29.14"/>
    <n v="25.076499999999996"/>
  </r>
  <r>
    <s v="O00313"/>
    <x v="12"/>
    <n v="1"/>
    <n v="54.2"/>
    <n v="21.95"/>
    <x v="2"/>
    <s v="Dessert"/>
    <x v="34"/>
    <x v="1"/>
    <n v="0.06"/>
    <s v="Cash"/>
    <s v="Breakfast"/>
    <n v="50.948"/>
    <s v="Single"/>
    <s v="Ok"/>
    <n v="21.95"/>
    <n v="28.998000000000001"/>
  </r>
  <r>
    <s v="O00314"/>
    <x v="3"/>
    <n v="1"/>
    <n v="32.979999999999997"/>
    <n v="11.84"/>
    <x v="1"/>
    <s v="Beverage"/>
    <x v="48"/>
    <x v="0"/>
    <n v="0.02"/>
    <s v="Cash"/>
    <s v="Breakfast"/>
    <n v="32.320399999999999"/>
    <s v="Single"/>
    <s v="Ok"/>
    <n v="11.84"/>
    <n v="20.480399999999999"/>
  </r>
  <r>
    <s v="O00315"/>
    <x v="2"/>
    <n v="3"/>
    <n v="76.55"/>
    <n v="38.229999999999997"/>
    <x v="2"/>
    <s v="Dessert"/>
    <x v="36"/>
    <x v="0"/>
    <n v="0.06"/>
    <s v="Cash"/>
    <s v="Lunch"/>
    <n v="215.87099999999995"/>
    <s v="Single"/>
    <s v="Ok"/>
    <n v="114.69"/>
    <n v="101.18099999999995"/>
  </r>
  <r>
    <s v="O00315"/>
    <x v="13"/>
    <n v="1"/>
    <n v="116.8"/>
    <n v="48.97"/>
    <x v="2"/>
    <s v="Dessert"/>
    <x v="36"/>
    <x v="0"/>
    <n v="0.06"/>
    <s v="Cash"/>
    <s v="Lunch"/>
    <n v="109.79199999999999"/>
    <s v="Single"/>
    <s v="Ok"/>
    <n v="48.97"/>
    <n v="60.821999999999989"/>
  </r>
  <r>
    <s v="O00316"/>
    <x v="10"/>
    <n v="3"/>
    <n v="22.2"/>
    <n v="9.3800000000000008"/>
    <x v="1"/>
    <s v="Beverage"/>
    <x v="54"/>
    <x v="1"/>
    <n v="0.05"/>
    <s v="Card"/>
    <s v="Lunch"/>
    <n v="63.269999999999989"/>
    <s v="Single"/>
    <s v="Ok"/>
    <n v="28.14"/>
    <n v="35.129999999999988"/>
  </r>
  <r>
    <s v="O00317"/>
    <x v="0"/>
    <n v="2"/>
    <n v="52.45"/>
    <n v="25.8"/>
    <x v="0"/>
    <s v="Hot Meal+Snack"/>
    <x v="20"/>
    <x v="2"/>
    <n v="7.0000000000000007E-2"/>
    <s v="Card"/>
    <s v="Breakfast"/>
    <n v="97.557000000000002"/>
    <s v="Single"/>
    <s v="Ok"/>
    <n v="51.6"/>
    <n v="45.957000000000001"/>
  </r>
  <r>
    <s v="O00317"/>
    <x v="16"/>
    <n v="1"/>
    <n v="146.4"/>
    <n v="80.92"/>
    <x v="3"/>
    <s v="Hot Meal+Snack"/>
    <x v="20"/>
    <x v="2"/>
    <n v="7.0000000000000007E-2"/>
    <s v="Card"/>
    <s v="Breakfast"/>
    <n v="136.15199999999999"/>
    <s v="Single"/>
    <s v="Ok"/>
    <n v="80.92"/>
    <n v="55.231999999999985"/>
  </r>
  <r>
    <s v="O00318"/>
    <x v="3"/>
    <n v="3"/>
    <n v="32.979999999999997"/>
    <n v="11.84"/>
    <x v="1"/>
    <s v="Beverage+Dessert+Hot Meal"/>
    <x v="36"/>
    <x v="0"/>
    <n v="0.03"/>
    <s v="Card"/>
    <s v="Dinner"/>
    <n v="95.971800000000002"/>
    <s v="Combo"/>
    <s v="Ok"/>
    <n v="35.519999999999996"/>
    <n v="60.451800000000006"/>
  </r>
  <r>
    <s v="O00318"/>
    <x v="16"/>
    <n v="1"/>
    <n v="146.4"/>
    <n v="80.92"/>
    <x v="3"/>
    <s v="Beverage+Dessert+Hot Meal"/>
    <x v="36"/>
    <x v="0"/>
    <n v="0.03"/>
    <s v="Card"/>
    <s v="Dinner"/>
    <n v="142.00800000000001"/>
    <s v="Combo"/>
    <s v="Ok"/>
    <n v="80.92"/>
    <n v="61.088000000000008"/>
  </r>
  <r>
    <s v="O00318"/>
    <x v="12"/>
    <n v="2"/>
    <n v="54.2"/>
    <n v="21.95"/>
    <x v="2"/>
    <s v="Beverage+Dessert+Hot Meal"/>
    <x v="36"/>
    <x v="0"/>
    <n v="0.03"/>
    <s v="Card"/>
    <s v="Dinner"/>
    <n v="105.148"/>
    <s v="Combo"/>
    <s v="Ok"/>
    <n v="43.9"/>
    <n v="61.247999999999998"/>
  </r>
  <r>
    <s v="O00318"/>
    <x v="10"/>
    <n v="2"/>
    <n v="22.2"/>
    <n v="9.3800000000000008"/>
    <x v="1"/>
    <s v="Beverage+Dessert+Hot Meal"/>
    <x v="36"/>
    <x v="0"/>
    <n v="0.03"/>
    <s v="Card"/>
    <s v="Dinner"/>
    <n v="43.067999999999998"/>
    <s v="Combo"/>
    <s v="Ok"/>
    <n v="18.760000000000002"/>
    <n v="24.307999999999996"/>
  </r>
  <r>
    <s v="O00319"/>
    <x v="9"/>
    <n v="2"/>
    <n v="20.11"/>
    <n v="8"/>
    <x v="1"/>
    <s v="Beverage+Dessert"/>
    <x v="33"/>
    <x v="1"/>
    <n v="0.08"/>
    <s v="UPI"/>
    <s v="Lunch"/>
    <n v="37.002400000000002"/>
    <s v="Single"/>
    <s v="Ok"/>
    <n v="16"/>
    <n v="21.002400000000002"/>
  </r>
  <r>
    <s v="O00319"/>
    <x v="11"/>
    <n v="1"/>
    <n v="57.07"/>
    <n v="29.14"/>
    <x v="2"/>
    <s v="Beverage+Dessert"/>
    <x v="33"/>
    <x v="1"/>
    <n v="0.08"/>
    <s v="UPI"/>
    <s v="Lunch"/>
    <n v="52.504400000000004"/>
    <s v="Single"/>
    <s v="Ok"/>
    <n v="29.14"/>
    <n v="23.364400000000003"/>
  </r>
  <r>
    <s v="O00320"/>
    <x v="4"/>
    <n v="2"/>
    <n v="170.83"/>
    <n v="74.069999999999993"/>
    <x v="3"/>
    <s v="Hot Meal"/>
    <x v="10"/>
    <x v="2"/>
    <n v="0.12"/>
    <s v="Cash"/>
    <s v="Dinner"/>
    <n v="300.66080000000005"/>
    <s v="Single"/>
    <s v="High Discount"/>
    <n v="148.13999999999999"/>
    <n v="152.52080000000007"/>
  </r>
  <r>
    <s v="O00321"/>
    <x v="0"/>
    <n v="2"/>
    <n v="52.45"/>
    <n v="25.8"/>
    <x v="0"/>
    <s v="Beverage+Dessert+Hot Meal+Snack"/>
    <x v="6"/>
    <x v="0"/>
    <n v="0.06"/>
    <s v="Card"/>
    <s v="Breakfast"/>
    <n v="98.605999999999995"/>
    <s v="Combo"/>
    <s v="Ok"/>
    <n v="51.6"/>
    <n v="47.005999999999993"/>
  </r>
  <r>
    <s v="O00321"/>
    <x v="8"/>
    <n v="1"/>
    <n v="28.43"/>
    <n v="13.89"/>
    <x v="1"/>
    <s v="Beverage+Dessert+Hot Meal+Snack"/>
    <x v="6"/>
    <x v="0"/>
    <n v="0.06"/>
    <s v="Card"/>
    <s v="Breakfast"/>
    <n v="26.7242"/>
    <s v="Combo"/>
    <s v="Ok"/>
    <n v="13.89"/>
    <n v="12.834199999999999"/>
  </r>
  <r>
    <s v="O00321"/>
    <x v="13"/>
    <n v="3"/>
    <n v="116.8"/>
    <n v="48.97"/>
    <x v="2"/>
    <s v="Beverage+Dessert+Hot Meal+Snack"/>
    <x v="6"/>
    <x v="0"/>
    <n v="0.06"/>
    <s v="Card"/>
    <s v="Breakfast"/>
    <n v="329.37599999999998"/>
    <s v="Combo"/>
    <s v="Ok"/>
    <n v="146.91"/>
    <n v="182.46599999999998"/>
  </r>
  <r>
    <s v="O00321"/>
    <x v="16"/>
    <n v="1"/>
    <n v="146.4"/>
    <n v="80.92"/>
    <x v="3"/>
    <s v="Beverage+Dessert+Hot Meal+Snack"/>
    <x v="6"/>
    <x v="0"/>
    <n v="0.06"/>
    <s v="Card"/>
    <s v="Breakfast"/>
    <n v="137.61599999999999"/>
    <s v="Combo"/>
    <s v="Ok"/>
    <n v="80.92"/>
    <n v="56.695999999999984"/>
  </r>
  <r>
    <s v="O00322"/>
    <x v="6"/>
    <n v="1"/>
    <n v="246.09"/>
    <n v="112.08"/>
    <x v="3"/>
    <s v="Beverage+Dessert+Hot Meal"/>
    <x v="28"/>
    <x v="0"/>
    <n v="0.08"/>
    <s v="Cash"/>
    <s v="Breakfast"/>
    <n v="226.40280000000001"/>
    <s v="Combo"/>
    <s v="High Discount"/>
    <n v="112.08"/>
    <n v="114.32280000000002"/>
  </r>
  <r>
    <s v="O00322"/>
    <x v="10"/>
    <n v="2"/>
    <n v="22.2"/>
    <n v="9.3800000000000008"/>
    <x v="1"/>
    <s v="Beverage+Dessert+Hot Meal"/>
    <x v="28"/>
    <x v="0"/>
    <n v="0.08"/>
    <s v="Cash"/>
    <s v="Breakfast"/>
    <n v="40.847999999999999"/>
    <s v="Combo"/>
    <s v="High Discount"/>
    <n v="18.760000000000002"/>
    <n v="22.087999999999997"/>
  </r>
  <r>
    <s v="O00322"/>
    <x v="8"/>
    <n v="3"/>
    <n v="28.43"/>
    <n v="13.89"/>
    <x v="1"/>
    <s v="Beverage+Dessert+Hot Meal"/>
    <x v="28"/>
    <x v="0"/>
    <n v="0.08"/>
    <s v="Cash"/>
    <s v="Breakfast"/>
    <n v="78.466799999999992"/>
    <s v="Combo"/>
    <s v="High Discount"/>
    <n v="41.67"/>
    <n v="36.79679999999999"/>
  </r>
  <r>
    <s v="O00322"/>
    <x v="13"/>
    <n v="3"/>
    <n v="116.8"/>
    <n v="48.97"/>
    <x v="2"/>
    <s v="Beverage+Dessert+Hot Meal"/>
    <x v="28"/>
    <x v="0"/>
    <n v="0.08"/>
    <s v="Cash"/>
    <s v="Breakfast"/>
    <n v="322.36799999999999"/>
    <s v="Combo"/>
    <s v="High Discount"/>
    <n v="146.91"/>
    <n v="175.458"/>
  </r>
  <r>
    <s v="O00323"/>
    <x v="13"/>
    <n v="1"/>
    <n v="116.8"/>
    <n v="48.97"/>
    <x v="2"/>
    <s v="Beverage+Dessert"/>
    <x v="15"/>
    <x v="2"/>
    <n v="0.09"/>
    <s v="Card"/>
    <s v="Breakfast"/>
    <n v="106.288"/>
    <s v="Single"/>
    <s v="Ok"/>
    <n v="48.97"/>
    <n v="57.317999999999998"/>
  </r>
  <r>
    <s v="O00323"/>
    <x v="8"/>
    <n v="2"/>
    <n v="28.43"/>
    <n v="13.89"/>
    <x v="1"/>
    <s v="Beverage+Dessert"/>
    <x v="15"/>
    <x v="2"/>
    <n v="0.09"/>
    <s v="Card"/>
    <s v="Breakfast"/>
    <n v="51.742600000000003"/>
    <s v="Single"/>
    <s v="Ok"/>
    <n v="27.78"/>
    <n v="23.962600000000002"/>
  </r>
  <r>
    <s v="O00324"/>
    <x v="15"/>
    <n v="1"/>
    <n v="227.61"/>
    <n v="96.22"/>
    <x v="3"/>
    <s v="Hot Meal+Snack"/>
    <x v="53"/>
    <x v="1"/>
    <n v="0.04"/>
    <s v="Cash"/>
    <s v="Lunch"/>
    <n v="218.50560000000002"/>
    <s v="Single"/>
    <s v="Ok"/>
    <n v="96.22"/>
    <n v="122.28560000000002"/>
  </r>
  <r>
    <s v="O00324"/>
    <x v="18"/>
    <n v="3"/>
    <n v="50.19"/>
    <n v="22.61"/>
    <x v="0"/>
    <s v="Hot Meal+Snack"/>
    <x v="53"/>
    <x v="1"/>
    <n v="0.04"/>
    <s v="Cash"/>
    <s v="Lunch"/>
    <n v="144.54719999999998"/>
    <s v="Single"/>
    <s v="Ok"/>
    <n v="67.83"/>
    <n v="76.717199999999977"/>
  </r>
  <r>
    <s v="O00324"/>
    <x v="7"/>
    <n v="2"/>
    <n v="70.540000000000006"/>
    <n v="35.81"/>
    <x v="0"/>
    <s v="Hot Meal+Snack"/>
    <x v="53"/>
    <x v="1"/>
    <n v="0.04"/>
    <s v="Cash"/>
    <s v="Lunch"/>
    <n v="135.43680000000001"/>
    <s v="Single"/>
    <s v="Ok"/>
    <n v="71.62"/>
    <n v="63.816800000000001"/>
  </r>
  <r>
    <s v="O00325"/>
    <x v="18"/>
    <n v="1"/>
    <n v="50.19"/>
    <n v="22.61"/>
    <x v="0"/>
    <s v="Snack"/>
    <x v="31"/>
    <x v="2"/>
    <n v="7.0000000000000007E-2"/>
    <s v="Cash"/>
    <s v="Breakfast"/>
    <n v="46.676699999999997"/>
    <s v="Single"/>
    <s v="Ok"/>
    <n v="22.61"/>
    <n v="24.066699999999997"/>
  </r>
  <r>
    <s v="O00326"/>
    <x v="9"/>
    <n v="1"/>
    <n v="20.11"/>
    <n v="8"/>
    <x v="1"/>
    <s v="Beverage"/>
    <x v="41"/>
    <x v="1"/>
    <n v="0.06"/>
    <s v="Card"/>
    <s v="Dinner"/>
    <n v="18.903399999999998"/>
    <s v="Single"/>
    <s v="Ok"/>
    <n v="8"/>
    <n v="10.903399999999998"/>
  </r>
  <r>
    <s v="O00327"/>
    <x v="5"/>
    <n v="1"/>
    <n v="38.06"/>
    <n v="19.55"/>
    <x v="0"/>
    <s v="Beverage+Snack"/>
    <x v="47"/>
    <x v="2"/>
    <n v="0.06"/>
    <s v="Card"/>
    <s v="Lunch"/>
    <n v="35.776400000000002"/>
    <s v="Single"/>
    <s v="Ok"/>
    <n v="19.55"/>
    <n v="16.226400000000002"/>
  </r>
  <r>
    <s v="O00327"/>
    <x v="8"/>
    <n v="1"/>
    <n v="28.43"/>
    <n v="13.89"/>
    <x v="1"/>
    <s v="Beverage+Snack"/>
    <x v="47"/>
    <x v="2"/>
    <n v="0.06"/>
    <s v="Card"/>
    <s v="Lunch"/>
    <n v="26.7242"/>
    <s v="Single"/>
    <s v="Ok"/>
    <n v="13.89"/>
    <n v="12.834199999999999"/>
  </r>
  <r>
    <s v="O00327"/>
    <x v="18"/>
    <n v="1"/>
    <n v="50.19"/>
    <n v="22.61"/>
    <x v="0"/>
    <s v="Beverage+Snack"/>
    <x v="47"/>
    <x v="2"/>
    <n v="0.06"/>
    <s v="Card"/>
    <s v="Lunch"/>
    <n v="47.178599999999996"/>
    <s v="Single"/>
    <s v="Ok"/>
    <n v="22.61"/>
    <n v="24.568599999999996"/>
  </r>
  <r>
    <s v="O00328"/>
    <x v="16"/>
    <n v="2"/>
    <n v="146.4"/>
    <n v="80.92"/>
    <x v="3"/>
    <s v="Hot Meal"/>
    <x v="50"/>
    <x v="2"/>
    <n v="0.03"/>
    <s v="Cash"/>
    <s v="Dinner"/>
    <n v="284.01600000000002"/>
    <s v="Single"/>
    <s v="Ok"/>
    <n v="161.84"/>
    <n v="122.17600000000002"/>
  </r>
  <r>
    <s v="O00329"/>
    <x v="12"/>
    <n v="1"/>
    <n v="54.2"/>
    <n v="21.95"/>
    <x v="2"/>
    <s v="Dessert+Hot Meal+Snack"/>
    <x v="40"/>
    <x v="0"/>
    <n v="0.06"/>
    <s v="UPI"/>
    <s v="Breakfast"/>
    <n v="50.948"/>
    <s v="Single"/>
    <s v="Ok"/>
    <n v="21.95"/>
    <n v="28.998000000000001"/>
  </r>
  <r>
    <s v="O00329"/>
    <x v="16"/>
    <n v="3"/>
    <n v="146.4"/>
    <n v="80.92"/>
    <x v="3"/>
    <s v="Dessert+Hot Meal+Snack"/>
    <x v="40"/>
    <x v="0"/>
    <n v="0.06"/>
    <s v="UPI"/>
    <s v="Breakfast"/>
    <n v="412.84800000000001"/>
    <s v="Single"/>
    <s v="Ok"/>
    <n v="242.76"/>
    <n v="170.08800000000002"/>
  </r>
  <r>
    <s v="O00329"/>
    <x v="0"/>
    <n v="1"/>
    <n v="52.45"/>
    <n v="25.8"/>
    <x v="0"/>
    <s v="Dessert+Hot Meal+Snack"/>
    <x v="40"/>
    <x v="0"/>
    <n v="0.06"/>
    <s v="UPI"/>
    <s v="Breakfast"/>
    <n v="49.302999999999997"/>
    <s v="Single"/>
    <s v="Ok"/>
    <n v="25.8"/>
    <n v="23.502999999999997"/>
  </r>
  <r>
    <s v="O00330"/>
    <x v="9"/>
    <n v="2"/>
    <n v="20.11"/>
    <n v="8"/>
    <x v="1"/>
    <s v="Beverage+Hot Meal"/>
    <x v="42"/>
    <x v="0"/>
    <n v="0.08"/>
    <s v="Cash"/>
    <s v="Dinner"/>
    <n v="37.002400000000002"/>
    <s v="Combo"/>
    <s v="High Discount"/>
    <n v="16"/>
    <n v="21.002400000000002"/>
  </r>
  <r>
    <s v="O00330"/>
    <x v="4"/>
    <n v="1"/>
    <n v="170.83"/>
    <n v="74.069999999999993"/>
    <x v="3"/>
    <s v="Beverage+Hot Meal"/>
    <x v="42"/>
    <x v="0"/>
    <n v="0.08"/>
    <s v="Cash"/>
    <s v="Dinner"/>
    <n v="157.16360000000003"/>
    <s v="Combo"/>
    <s v="High Discount"/>
    <n v="74.069999999999993"/>
    <n v="83.093600000000038"/>
  </r>
  <r>
    <s v="O00330"/>
    <x v="14"/>
    <n v="2"/>
    <n v="256.91000000000003"/>
    <n v="121.24"/>
    <x v="3"/>
    <s v="Beverage+Hot Meal"/>
    <x v="42"/>
    <x v="0"/>
    <n v="0.08"/>
    <s v="Cash"/>
    <s v="Dinner"/>
    <n v="472.71440000000007"/>
    <s v="Combo"/>
    <s v="High Discount"/>
    <n v="242.48"/>
    <n v="230.23440000000008"/>
  </r>
  <r>
    <s v="O00331"/>
    <x v="5"/>
    <n v="2"/>
    <n v="38.06"/>
    <n v="19.55"/>
    <x v="0"/>
    <s v="Dessert+Hot Meal+Snack"/>
    <x v="55"/>
    <x v="2"/>
    <n v="0.12"/>
    <s v="UPI"/>
    <s v="Breakfast"/>
    <n v="66.985600000000005"/>
    <s v="Single"/>
    <s v="High Discount"/>
    <n v="39.1"/>
    <n v="27.885600000000004"/>
  </r>
  <r>
    <s v="O00331"/>
    <x v="6"/>
    <n v="1"/>
    <n v="246.09"/>
    <n v="112.08"/>
    <x v="3"/>
    <s v="Dessert+Hot Meal+Snack"/>
    <x v="55"/>
    <x v="2"/>
    <n v="0.12"/>
    <s v="UPI"/>
    <s v="Breakfast"/>
    <n v="216.5592"/>
    <s v="Single"/>
    <s v="High Discount"/>
    <n v="112.08"/>
    <n v="104.47920000000001"/>
  </r>
  <r>
    <s v="O00331"/>
    <x v="17"/>
    <n v="2"/>
    <n v="39.950000000000003"/>
    <n v="15.51"/>
    <x v="0"/>
    <s v="Dessert+Hot Meal+Snack"/>
    <x v="55"/>
    <x v="2"/>
    <n v="0.12"/>
    <s v="UPI"/>
    <s v="Breakfast"/>
    <n v="70.312000000000012"/>
    <s v="Single"/>
    <s v="High Discount"/>
    <n v="31.02"/>
    <n v="39.292000000000016"/>
  </r>
  <r>
    <s v="O00331"/>
    <x v="11"/>
    <n v="1"/>
    <n v="57.07"/>
    <n v="29.14"/>
    <x v="2"/>
    <s v="Dessert+Hot Meal+Snack"/>
    <x v="55"/>
    <x v="2"/>
    <n v="0.12"/>
    <s v="UPI"/>
    <s v="Breakfast"/>
    <n v="50.221600000000002"/>
    <s v="Single"/>
    <s v="High Discount"/>
    <n v="29.14"/>
    <n v="21.081600000000002"/>
  </r>
  <r>
    <s v="O00332"/>
    <x v="10"/>
    <n v="2"/>
    <n v="22.2"/>
    <n v="9.3800000000000008"/>
    <x v="1"/>
    <s v="Beverage+Dessert+Snack"/>
    <x v="9"/>
    <x v="2"/>
    <n v="0.1"/>
    <s v="Cash"/>
    <s v="Breakfast"/>
    <n v="39.96"/>
    <s v="Single"/>
    <s v="Ok"/>
    <n v="18.760000000000002"/>
    <n v="21.2"/>
  </r>
  <r>
    <s v="O00332"/>
    <x v="7"/>
    <n v="1"/>
    <n v="70.540000000000006"/>
    <n v="35.81"/>
    <x v="0"/>
    <s v="Beverage+Dessert+Snack"/>
    <x v="9"/>
    <x v="2"/>
    <n v="0.1"/>
    <s v="Cash"/>
    <s v="Breakfast"/>
    <n v="63.486000000000004"/>
    <s v="Single"/>
    <s v="Ok"/>
    <n v="35.81"/>
    <n v="27.676000000000002"/>
  </r>
  <r>
    <s v="O00332"/>
    <x v="18"/>
    <n v="1"/>
    <n v="50.19"/>
    <n v="22.61"/>
    <x v="0"/>
    <s v="Beverage+Dessert+Snack"/>
    <x v="9"/>
    <x v="2"/>
    <n v="0.1"/>
    <s v="Cash"/>
    <s v="Breakfast"/>
    <n v="45.170999999999999"/>
    <s v="Single"/>
    <s v="Ok"/>
    <n v="22.61"/>
    <n v="22.561"/>
  </r>
  <r>
    <s v="O00332"/>
    <x v="12"/>
    <n v="1"/>
    <n v="54.2"/>
    <n v="21.95"/>
    <x v="2"/>
    <s v="Beverage+Dessert+Snack"/>
    <x v="9"/>
    <x v="2"/>
    <n v="0.1"/>
    <s v="Cash"/>
    <s v="Breakfast"/>
    <n v="48.78"/>
    <s v="Single"/>
    <s v="Ok"/>
    <n v="21.95"/>
    <n v="26.830000000000002"/>
  </r>
  <r>
    <s v="O00333"/>
    <x v="9"/>
    <n v="1"/>
    <n v="20.11"/>
    <n v="8"/>
    <x v="1"/>
    <s v="Beverage+Dessert"/>
    <x v="23"/>
    <x v="2"/>
    <n v="0.15"/>
    <s v="Card"/>
    <s v="Breakfast"/>
    <n v="17.093499999999999"/>
    <s v="Single"/>
    <s v="Ok"/>
    <n v="8"/>
    <n v="9.0934999999999988"/>
  </r>
  <r>
    <s v="O00333"/>
    <x v="2"/>
    <n v="2"/>
    <n v="76.55"/>
    <n v="38.229999999999997"/>
    <x v="2"/>
    <s v="Beverage+Dessert"/>
    <x v="23"/>
    <x v="2"/>
    <n v="0.15"/>
    <s v="Card"/>
    <s v="Breakfast"/>
    <n v="130.13499999999999"/>
    <s v="Single"/>
    <s v="Ok"/>
    <n v="76.459999999999994"/>
    <n v="53.674999999999997"/>
  </r>
  <r>
    <s v="O00334"/>
    <x v="15"/>
    <n v="2"/>
    <n v="227.61"/>
    <n v="96.22"/>
    <x v="3"/>
    <s v="Beverage+Dessert+Hot Meal+Snack"/>
    <x v="4"/>
    <x v="2"/>
    <n v="0.03"/>
    <s v="UPI"/>
    <s v="Breakfast"/>
    <n v="441.5634"/>
    <s v="Combo"/>
    <s v="Ok"/>
    <n v="192.44"/>
    <n v="249.1234"/>
  </r>
  <r>
    <s v="O00334"/>
    <x v="12"/>
    <n v="1"/>
    <n v="54.2"/>
    <n v="21.95"/>
    <x v="2"/>
    <s v="Beverage+Dessert+Hot Meal+Snack"/>
    <x v="4"/>
    <x v="2"/>
    <n v="0.03"/>
    <s v="UPI"/>
    <s v="Breakfast"/>
    <n v="52.573999999999998"/>
    <s v="Combo"/>
    <s v="Ok"/>
    <n v="21.95"/>
    <n v="30.623999999999999"/>
  </r>
  <r>
    <s v="O00334"/>
    <x v="18"/>
    <n v="2"/>
    <n v="50.19"/>
    <n v="22.61"/>
    <x v="0"/>
    <s v="Beverage+Dessert+Hot Meal+Snack"/>
    <x v="4"/>
    <x v="2"/>
    <n v="0.03"/>
    <s v="UPI"/>
    <s v="Breakfast"/>
    <n v="97.368599999999986"/>
    <s v="Combo"/>
    <s v="Ok"/>
    <n v="45.22"/>
    <n v="52.148599999999988"/>
  </r>
  <r>
    <s v="O00334"/>
    <x v="3"/>
    <n v="2"/>
    <n v="32.979999999999997"/>
    <n v="11.84"/>
    <x v="1"/>
    <s v="Beverage+Dessert+Hot Meal+Snack"/>
    <x v="4"/>
    <x v="2"/>
    <n v="0.03"/>
    <s v="UPI"/>
    <s v="Breakfast"/>
    <n v="63.981199999999994"/>
    <s v="Combo"/>
    <s v="Ok"/>
    <n v="23.68"/>
    <n v="40.301199999999994"/>
  </r>
  <r>
    <s v="O00335"/>
    <x v="4"/>
    <n v="2"/>
    <n v="170.83"/>
    <n v="74.069999999999993"/>
    <x v="3"/>
    <s v="Dessert+Hot Meal"/>
    <x v="21"/>
    <x v="0"/>
    <n v="0.09"/>
    <s v="UPI"/>
    <s v="Dinner"/>
    <n v="310.91060000000004"/>
    <s v="Single"/>
    <s v="High Discount"/>
    <n v="148.13999999999999"/>
    <n v="162.77060000000006"/>
  </r>
  <r>
    <s v="O00335"/>
    <x v="13"/>
    <n v="2"/>
    <n v="116.8"/>
    <n v="48.97"/>
    <x v="2"/>
    <s v="Dessert+Hot Meal"/>
    <x v="21"/>
    <x v="0"/>
    <n v="0.09"/>
    <s v="UPI"/>
    <s v="Dinner"/>
    <n v="212.57599999999999"/>
    <s v="Single"/>
    <s v="High Discount"/>
    <n v="97.94"/>
    <n v="114.636"/>
  </r>
  <r>
    <s v="O00335"/>
    <x v="16"/>
    <n v="1"/>
    <n v="146.4"/>
    <n v="80.92"/>
    <x v="3"/>
    <s v="Dessert+Hot Meal"/>
    <x v="21"/>
    <x v="0"/>
    <n v="0.09"/>
    <s v="UPI"/>
    <s v="Dinner"/>
    <n v="133.22400000000002"/>
    <s v="Single"/>
    <s v="High Discount"/>
    <n v="80.92"/>
    <n v="52.304000000000016"/>
  </r>
  <r>
    <s v="O00336"/>
    <x v="18"/>
    <n v="2"/>
    <n v="50.19"/>
    <n v="22.61"/>
    <x v="0"/>
    <s v="Dessert+Snack"/>
    <x v="53"/>
    <x v="1"/>
    <n v="7.0000000000000007E-2"/>
    <s v="Cash"/>
    <s v="Breakfast"/>
    <n v="93.353399999999993"/>
    <s v="Single"/>
    <s v="Ok"/>
    <n v="45.22"/>
    <n v="48.133399999999995"/>
  </r>
  <r>
    <s v="O00336"/>
    <x v="11"/>
    <n v="2"/>
    <n v="57.07"/>
    <n v="29.14"/>
    <x v="2"/>
    <s v="Dessert+Snack"/>
    <x v="53"/>
    <x v="1"/>
    <n v="7.0000000000000007E-2"/>
    <s v="Cash"/>
    <s v="Breakfast"/>
    <n v="106.1502"/>
    <s v="Single"/>
    <s v="Ok"/>
    <n v="58.28"/>
    <n v="47.870199999999997"/>
  </r>
  <r>
    <s v="O00337"/>
    <x v="16"/>
    <n v="1"/>
    <n v="146.4"/>
    <n v="80.92"/>
    <x v="3"/>
    <s v="Hot Meal"/>
    <x v="1"/>
    <x v="0"/>
    <n v="0.15"/>
    <s v="Cash"/>
    <s v="Lunch"/>
    <n v="124.44"/>
    <s v="Single"/>
    <s v="Ok"/>
    <n v="80.92"/>
    <n v="43.519999999999996"/>
  </r>
  <r>
    <s v="O00338"/>
    <x v="8"/>
    <n v="1"/>
    <n v="28.43"/>
    <n v="13.89"/>
    <x v="1"/>
    <s v="Beverage"/>
    <x v="12"/>
    <x v="1"/>
    <n v="0.03"/>
    <s v="UPI"/>
    <s v="Breakfast"/>
    <n v="27.577099999999998"/>
    <s v="Single"/>
    <s v="Ok"/>
    <n v="13.89"/>
    <n v="13.687099999999997"/>
  </r>
  <r>
    <s v="O00338"/>
    <x v="1"/>
    <n v="1"/>
    <n v="30.34"/>
    <n v="14.18"/>
    <x v="1"/>
    <s v="Beverage"/>
    <x v="12"/>
    <x v="1"/>
    <n v="0.03"/>
    <s v="UPI"/>
    <s v="Breakfast"/>
    <n v="29.4298"/>
    <s v="Single"/>
    <s v="Ok"/>
    <n v="14.18"/>
    <n v="15.2498"/>
  </r>
  <r>
    <s v="O00338"/>
    <x v="3"/>
    <n v="3"/>
    <n v="32.979999999999997"/>
    <n v="11.84"/>
    <x v="1"/>
    <s v="Beverage"/>
    <x v="12"/>
    <x v="1"/>
    <n v="0.03"/>
    <s v="UPI"/>
    <s v="Breakfast"/>
    <n v="95.971800000000002"/>
    <s v="Single"/>
    <s v="Ok"/>
    <n v="35.519999999999996"/>
    <n v="60.451800000000006"/>
  </r>
  <r>
    <s v="O00339"/>
    <x v="13"/>
    <n v="2"/>
    <n v="116.8"/>
    <n v="48.97"/>
    <x v="2"/>
    <s v="Dessert"/>
    <x v="19"/>
    <x v="0"/>
    <n v="0.03"/>
    <s v="Cash"/>
    <s v="Lunch"/>
    <n v="226.59199999999998"/>
    <s v="Single"/>
    <s v="Ok"/>
    <n v="97.94"/>
    <n v="128.65199999999999"/>
  </r>
  <r>
    <s v="O00339"/>
    <x v="11"/>
    <n v="3"/>
    <n v="57.07"/>
    <n v="29.14"/>
    <x v="2"/>
    <s v="Dessert"/>
    <x v="19"/>
    <x v="0"/>
    <n v="0.03"/>
    <s v="Cash"/>
    <s v="Lunch"/>
    <n v="166.0737"/>
    <s v="Single"/>
    <s v="Ok"/>
    <n v="87.42"/>
    <n v="78.653700000000001"/>
  </r>
  <r>
    <s v="O00340"/>
    <x v="0"/>
    <n v="3"/>
    <n v="52.45"/>
    <n v="25.8"/>
    <x v="0"/>
    <s v="Beverage+Dessert+Snack"/>
    <x v="39"/>
    <x v="2"/>
    <n v="0.04"/>
    <s v="Card"/>
    <s v="Dinner"/>
    <n v="151.05600000000001"/>
    <s v="Single"/>
    <s v="Ok"/>
    <n v="77.400000000000006"/>
    <n v="73.656000000000006"/>
  </r>
  <r>
    <s v="O00340"/>
    <x v="3"/>
    <n v="1"/>
    <n v="32.979999999999997"/>
    <n v="11.84"/>
    <x v="1"/>
    <s v="Beverage+Dessert+Snack"/>
    <x v="39"/>
    <x v="2"/>
    <n v="0.04"/>
    <s v="Card"/>
    <s v="Dinner"/>
    <n v="31.660799999999995"/>
    <s v="Single"/>
    <s v="Ok"/>
    <n v="11.84"/>
    <n v="19.820799999999995"/>
  </r>
  <r>
    <s v="O00340"/>
    <x v="12"/>
    <n v="1"/>
    <n v="54.2"/>
    <n v="21.95"/>
    <x v="2"/>
    <s v="Beverage+Dessert+Snack"/>
    <x v="39"/>
    <x v="2"/>
    <n v="0.04"/>
    <s v="Card"/>
    <s v="Dinner"/>
    <n v="52.032000000000004"/>
    <s v="Single"/>
    <s v="Ok"/>
    <n v="21.95"/>
    <n v="30.082000000000004"/>
  </r>
  <r>
    <s v="O00340"/>
    <x v="1"/>
    <n v="1"/>
    <n v="30.34"/>
    <n v="14.18"/>
    <x v="1"/>
    <s v="Beverage+Dessert+Snack"/>
    <x v="39"/>
    <x v="2"/>
    <n v="0.04"/>
    <s v="Card"/>
    <s v="Dinner"/>
    <n v="29.1264"/>
    <s v="Single"/>
    <s v="Ok"/>
    <n v="14.18"/>
    <n v="14.946400000000001"/>
  </r>
  <r>
    <s v="O00341"/>
    <x v="17"/>
    <n v="1"/>
    <n v="39.950000000000003"/>
    <n v="15.51"/>
    <x v="0"/>
    <s v="Dessert+Hot Meal+Snack"/>
    <x v="5"/>
    <x v="0"/>
    <n v="0"/>
    <s v="Card"/>
    <s v="Dinner"/>
    <n v="39.950000000000003"/>
    <s v="Single"/>
    <s v="Ok"/>
    <n v="15.51"/>
    <n v="24.440000000000005"/>
  </r>
  <r>
    <s v="O00341"/>
    <x v="2"/>
    <n v="3"/>
    <n v="76.55"/>
    <n v="38.229999999999997"/>
    <x v="2"/>
    <s v="Dessert+Hot Meal+Snack"/>
    <x v="5"/>
    <x v="0"/>
    <n v="0"/>
    <s v="Card"/>
    <s v="Dinner"/>
    <n v="229.64999999999998"/>
    <s v="Single"/>
    <s v="Ok"/>
    <n v="114.69"/>
    <n v="114.95999999999998"/>
  </r>
  <r>
    <s v="O00341"/>
    <x v="16"/>
    <n v="1"/>
    <n v="146.4"/>
    <n v="80.92"/>
    <x v="3"/>
    <s v="Dessert+Hot Meal+Snack"/>
    <x v="5"/>
    <x v="0"/>
    <n v="0"/>
    <s v="Card"/>
    <s v="Dinner"/>
    <n v="146.4"/>
    <s v="Single"/>
    <s v="Ok"/>
    <n v="80.92"/>
    <n v="65.48"/>
  </r>
  <r>
    <s v="O00342"/>
    <x v="0"/>
    <n v="1"/>
    <n v="52.45"/>
    <n v="25.8"/>
    <x v="0"/>
    <s v="Beverage+Snack"/>
    <x v="22"/>
    <x v="2"/>
    <n v="0.04"/>
    <s v="UPI"/>
    <s v="Dinner"/>
    <n v="50.352000000000004"/>
    <s v="Single"/>
    <s v="Ok"/>
    <n v="25.8"/>
    <n v="24.552000000000003"/>
  </r>
  <r>
    <s v="O00342"/>
    <x v="8"/>
    <n v="2"/>
    <n v="28.43"/>
    <n v="13.89"/>
    <x v="1"/>
    <s v="Beverage+Snack"/>
    <x v="22"/>
    <x v="2"/>
    <n v="0.04"/>
    <s v="UPI"/>
    <s v="Dinner"/>
    <n v="54.585599999999999"/>
    <s v="Single"/>
    <s v="Ok"/>
    <n v="27.78"/>
    <n v="26.805599999999998"/>
  </r>
  <r>
    <s v="O00343"/>
    <x v="12"/>
    <n v="2"/>
    <n v="54.2"/>
    <n v="21.95"/>
    <x v="2"/>
    <s v="Dessert"/>
    <x v="11"/>
    <x v="0"/>
    <n v="0.03"/>
    <s v="Cash"/>
    <s v="Dinner"/>
    <n v="105.148"/>
    <s v="Single"/>
    <s v="Ok"/>
    <n v="43.9"/>
    <n v="61.247999999999998"/>
  </r>
  <r>
    <s v="O00344"/>
    <x v="5"/>
    <n v="2"/>
    <n v="38.06"/>
    <n v="19.55"/>
    <x v="0"/>
    <s v="Dessert+Snack"/>
    <x v="31"/>
    <x v="0"/>
    <n v="7.0000000000000007E-2"/>
    <s v="UPI"/>
    <s v="Breakfast"/>
    <n v="70.791600000000003"/>
    <s v="Single"/>
    <s v="Ok"/>
    <n v="39.1"/>
    <n v="31.691600000000001"/>
  </r>
  <r>
    <s v="O00344"/>
    <x v="12"/>
    <n v="1"/>
    <n v="54.2"/>
    <n v="21.95"/>
    <x v="2"/>
    <s v="Dessert+Snack"/>
    <x v="31"/>
    <x v="0"/>
    <n v="7.0000000000000007E-2"/>
    <s v="UPI"/>
    <s v="Breakfast"/>
    <n v="50.405999999999999"/>
    <s v="Single"/>
    <s v="Ok"/>
    <n v="21.95"/>
    <n v="28.456"/>
  </r>
  <r>
    <s v="O00344"/>
    <x v="18"/>
    <n v="2"/>
    <n v="50.19"/>
    <n v="22.61"/>
    <x v="0"/>
    <s v="Dessert+Snack"/>
    <x v="31"/>
    <x v="0"/>
    <n v="7.0000000000000007E-2"/>
    <s v="UPI"/>
    <s v="Breakfast"/>
    <n v="93.353399999999993"/>
    <s v="Single"/>
    <s v="Ok"/>
    <n v="45.22"/>
    <n v="48.133399999999995"/>
  </r>
  <r>
    <s v="O00345"/>
    <x v="10"/>
    <n v="1"/>
    <n v="22.2"/>
    <n v="9.3800000000000008"/>
    <x v="1"/>
    <s v="Beverage+Dessert+Hot Meal"/>
    <x v="39"/>
    <x v="0"/>
    <n v="7.0000000000000007E-2"/>
    <s v="UPI"/>
    <s v="Breakfast"/>
    <n v="20.645999999999997"/>
    <s v="Combo"/>
    <s v="High Discount"/>
    <n v="9.3800000000000008"/>
    <n v="11.265999999999996"/>
  </r>
  <r>
    <s v="O00345"/>
    <x v="12"/>
    <n v="3"/>
    <n v="54.2"/>
    <n v="21.95"/>
    <x v="2"/>
    <s v="Beverage+Dessert+Hot Meal"/>
    <x v="39"/>
    <x v="0"/>
    <n v="7.0000000000000007E-2"/>
    <s v="UPI"/>
    <s v="Breakfast"/>
    <n v="151.21800000000002"/>
    <s v="Combo"/>
    <s v="High Discount"/>
    <n v="65.849999999999994"/>
    <n v="85.368000000000023"/>
  </r>
  <r>
    <s v="O00345"/>
    <x v="15"/>
    <n v="2"/>
    <n v="227.61"/>
    <n v="96.22"/>
    <x v="3"/>
    <s v="Beverage+Dessert+Hot Meal"/>
    <x v="39"/>
    <x v="0"/>
    <n v="7.0000000000000007E-2"/>
    <s v="UPI"/>
    <s v="Breakfast"/>
    <n v="423.3546"/>
    <s v="Combo"/>
    <s v="High Discount"/>
    <n v="192.44"/>
    <n v="230.91460000000001"/>
  </r>
  <r>
    <s v="O00346"/>
    <x v="9"/>
    <n v="1"/>
    <n v="20.11"/>
    <n v="8"/>
    <x v="1"/>
    <s v="Beverage"/>
    <x v="0"/>
    <x v="2"/>
    <n v="0.14000000000000001"/>
    <s v="Card"/>
    <s v="Breakfast"/>
    <n v="17.294599999999999"/>
    <s v="Single"/>
    <s v="Ok"/>
    <n v="8"/>
    <n v="9.2945999999999991"/>
  </r>
  <r>
    <s v="O00346"/>
    <x v="8"/>
    <n v="2"/>
    <n v="28.43"/>
    <n v="13.89"/>
    <x v="1"/>
    <s v="Beverage"/>
    <x v="0"/>
    <x v="2"/>
    <n v="0.14000000000000001"/>
    <s v="Card"/>
    <s v="Breakfast"/>
    <n v="48.8996"/>
    <s v="Single"/>
    <s v="Ok"/>
    <n v="27.78"/>
    <n v="21.119599999999998"/>
  </r>
  <r>
    <s v="O00347"/>
    <x v="16"/>
    <n v="2"/>
    <n v="146.4"/>
    <n v="80.92"/>
    <x v="3"/>
    <s v="Hot Meal"/>
    <x v="56"/>
    <x v="2"/>
    <n v="0.1"/>
    <s v="Cash"/>
    <s v="Dinner"/>
    <n v="263.52000000000004"/>
    <s v="Single"/>
    <s v="High Discount"/>
    <n v="161.84"/>
    <n v="101.68000000000004"/>
  </r>
  <r>
    <s v="O00347"/>
    <x v="14"/>
    <n v="1"/>
    <n v="256.91000000000003"/>
    <n v="121.24"/>
    <x v="3"/>
    <s v="Hot Meal"/>
    <x v="56"/>
    <x v="2"/>
    <n v="0.1"/>
    <s v="Cash"/>
    <s v="Dinner"/>
    <n v="231.21900000000002"/>
    <s v="Single"/>
    <s v="High Discount"/>
    <n v="121.24"/>
    <n v="109.97900000000003"/>
  </r>
  <r>
    <s v="O00348"/>
    <x v="4"/>
    <n v="2"/>
    <n v="170.83"/>
    <n v="74.069999999999993"/>
    <x v="3"/>
    <s v="Dessert+Hot Meal+Snack"/>
    <x v="16"/>
    <x v="1"/>
    <n v="0.04"/>
    <s v="Card"/>
    <s v="Dinner"/>
    <n v="327.99360000000001"/>
    <s v="Single"/>
    <s v="High Discount"/>
    <n v="148.13999999999999"/>
    <n v="179.85360000000003"/>
  </r>
  <r>
    <s v="O00348"/>
    <x v="14"/>
    <n v="3"/>
    <n v="256.91000000000003"/>
    <n v="121.24"/>
    <x v="3"/>
    <s v="Dessert+Hot Meal+Snack"/>
    <x v="16"/>
    <x v="1"/>
    <n v="0.04"/>
    <s v="Card"/>
    <s v="Dinner"/>
    <n v="739.9008"/>
    <s v="Single"/>
    <s v="High Discount"/>
    <n v="363.71999999999997"/>
    <n v="376.18080000000003"/>
  </r>
  <r>
    <s v="O00348"/>
    <x v="7"/>
    <n v="1"/>
    <n v="70.540000000000006"/>
    <n v="35.81"/>
    <x v="0"/>
    <s v="Dessert+Hot Meal+Snack"/>
    <x v="16"/>
    <x v="1"/>
    <n v="0.04"/>
    <s v="Card"/>
    <s v="Dinner"/>
    <n v="67.718400000000003"/>
    <s v="Single"/>
    <s v="High Discount"/>
    <n v="35.81"/>
    <n v="31.9084"/>
  </r>
  <r>
    <s v="O00348"/>
    <x v="11"/>
    <n v="2"/>
    <n v="57.07"/>
    <n v="29.14"/>
    <x v="2"/>
    <s v="Dessert+Hot Meal+Snack"/>
    <x v="16"/>
    <x v="1"/>
    <n v="0.04"/>
    <s v="Card"/>
    <s v="Dinner"/>
    <n v="109.5744"/>
    <s v="Single"/>
    <s v="High Discount"/>
    <n v="58.28"/>
    <n v="51.294399999999996"/>
  </r>
  <r>
    <s v="O00349"/>
    <x v="13"/>
    <n v="1"/>
    <n v="116.8"/>
    <n v="48.97"/>
    <x v="2"/>
    <s v="Dessert+Hot Meal"/>
    <x v="40"/>
    <x v="1"/>
    <n v="0.02"/>
    <s v="UPI"/>
    <s v="Breakfast"/>
    <n v="114.464"/>
    <s v="Single"/>
    <s v="Ok"/>
    <n v="48.97"/>
    <n v="65.494"/>
  </r>
  <r>
    <s v="O00349"/>
    <x v="6"/>
    <n v="1"/>
    <n v="246.09"/>
    <n v="112.08"/>
    <x v="3"/>
    <s v="Dessert+Hot Meal"/>
    <x v="40"/>
    <x v="1"/>
    <n v="0.02"/>
    <s v="UPI"/>
    <s v="Breakfast"/>
    <n v="241.16820000000001"/>
    <s v="Single"/>
    <s v="Ok"/>
    <n v="112.08"/>
    <n v="129.08820000000003"/>
  </r>
  <r>
    <s v="O00349"/>
    <x v="2"/>
    <n v="3"/>
    <n v="76.55"/>
    <n v="38.229999999999997"/>
    <x v="2"/>
    <s v="Dessert+Hot Meal"/>
    <x v="40"/>
    <x v="1"/>
    <n v="0.02"/>
    <s v="UPI"/>
    <s v="Breakfast"/>
    <n v="225.05699999999996"/>
    <s v="Single"/>
    <s v="Ok"/>
    <n v="114.69"/>
    <n v="110.36699999999996"/>
  </r>
  <r>
    <s v="O00349"/>
    <x v="4"/>
    <n v="2"/>
    <n v="170.83"/>
    <n v="74.069999999999993"/>
    <x v="3"/>
    <s v="Dessert+Hot Meal"/>
    <x v="40"/>
    <x v="1"/>
    <n v="0.02"/>
    <s v="UPI"/>
    <s v="Breakfast"/>
    <n v="334.82679999999999"/>
    <s v="Single"/>
    <s v="Ok"/>
    <n v="148.13999999999999"/>
    <n v="186.68680000000001"/>
  </r>
  <r>
    <s v="O00350"/>
    <x v="3"/>
    <n v="2"/>
    <n v="32.979999999999997"/>
    <n v="11.84"/>
    <x v="1"/>
    <s v="Beverage+Hot Meal"/>
    <x v="56"/>
    <x v="1"/>
    <n v="0.08"/>
    <s v="UPI"/>
    <s v="Breakfast"/>
    <n v="60.683199999999999"/>
    <s v="Combo"/>
    <s v="Ok"/>
    <n v="23.68"/>
    <n v="37.0032"/>
  </r>
  <r>
    <s v="O00350"/>
    <x v="16"/>
    <n v="2"/>
    <n v="146.4"/>
    <n v="80.92"/>
    <x v="3"/>
    <s v="Beverage+Hot Meal"/>
    <x v="56"/>
    <x v="1"/>
    <n v="0.08"/>
    <s v="UPI"/>
    <s v="Breakfast"/>
    <n v="269.37600000000003"/>
    <s v="Combo"/>
    <s v="Ok"/>
    <n v="161.84"/>
    <n v="107.53600000000003"/>
  </r>
  <r>
    <s v="O00350"/>
    <x v="8"/>
    <n v="1"/>
    <n v="28.43"/>
    <n v="13.89"/>
    <x v="1"/>
    <s v="Beverage+Hot Meal"/>
    <x v="56"/>
    <x v="1"/>
    <n v="0.08"/>
    <s v="UPI"/>
    <s v="Breakfast"/>
    <n v="26.1556"/>
    <s v="Combo"/>
    <s v="Ok"/>
    <n v="13.89"/>
    <n v="12.265599999999999"/>
  </r>
  <r>
    <s v="O00351"/>
    <x v="1"/>
    <n v="2"/>
    <n v="30.34"/>
    <n v="14.18"/>
    <x v="1"/>
    <s v="Beverage"/>
    <x v="30"/>
    <x v="2"/>
    <n v="0.01"/>
    <s v="Card"/>
    <s v="Dinner"/>
    <n v="60.0732"/>
    <s v="Single"/>
    <s v="Ok"/>
    <n v="28.36"/>
    <n v="31.713200000000001"/>
  </r>
  <r>
    <s v="O00352"/>
    <x v="9"/>
    <n v="1"/>
    <n v="20.11"/>
    <n v="8"/>
    <x v="1"/>
    <s v="Beverage+Dessert+Snack"/>
    <x v="35"/>
    <x v="1"/>
    <n v="0.13"/>
    <s v="Cash"/>
    <s v="Dinner"/>
    <n v="17.495699999999999"/>
    <s v="Single"/>
    <s v="Ok"/>
    <n v="8"/>
    <n v="9.4956999999999994"/>
  </r>
  <r>
    <s v="O00352"/>
    <x v="12"/>
    <n v="2"/>
    <n v="54.2"/>
    <n v="21.95"/>
    <x v="2"/>
    <s v="Beverage+Dessert+Snack"/>
    <x v="35"/>
    <x v="1"/>
    <n v="0.13"/>
    <s v="Cash"/>
    <s v="Dinner"/>
    <n v="94.308000000000007"/>
    <s v="Single"/>
    <s v="Ok"/>
    <n v="43.9"/>
    <n v="50.408000000000008"/>
  </r>
  <r>
    <s v="O00352"/>
    <x v="1"/>
    <n v="1"/>
    <n v="30.34"/>
    <n v="14.18"/>
    <x v="1"/>
    <s v="Beverage+Dessert+Snack"/>
    <x v="35"/>
    <x v="1"/>
    <n v="0.13"/>
    <s v="Cash"/>
    <s v="Dinner"/>
    <n v="26.395800000000001"/>
    <s v="Single"/>
    <s v="Ok"/>
    <n v="14.18"/>
    <n v="12.215800000000002"/>
  </r>
  <r>
    <s v="O00352"/>
    <x v="5"/>
    <n v="2"/>
    <n v="38.06"/>
    <n v="19.55"/>
    <x v="0"/>
    <s v="Beverage+Dessert+Snack"/>
    <x v="35"/>
    <x v="1"/>
    <n v="0.13"/>
    <s v="Cash"/>
    <s v="Dinner"/>
    <n v="66.224400000000003"/>
    <s v="Single"/>
    <s v="Ok"/>
    <n v="39.1"/>
    <n v="27.124400000000001"/>
  </r>
  <r>
    <s v="O00353"/>
    <x v="2"/>
    <n v="3"/>
    <n v="76.55"/>
    <n v="38.229999999999997"/>
    <x v="2"/>
    <s v="Dessert"/>
    <x v="41"/>
    <x v="1"/>
    <n v="0.11"/>
    <s v="Card"/>
    <s v="Lunch"/>
    <n v="204.38849999999999"/>
    <s v="Single"/>
    <s v="Ok"/>
    <n v="114.69"/>
    <n v="89.698499999999996"/>
  </r>
  <r>
    <s v="O00354"/>
    <x v="2"/>
    <n v="2"/>
    <n v="76.55"/>
    <n v="38.229999999999997"/>
    <x v="2"/>
    <s v="Dessert+Snack"/>
    <x v="9"/>
    <x v="2"/>
    <n v="0.04"/>
    <s v="UPI"/>
    <s v="Lunch"/>
    <n v="146.976"/>
    <s v="Single"/>
    <s v="Ok"/>
    <n v="76.459999999999994"/>
    <n v="70.516000000000005"/>
  </r>
  <r>
    <s v="O00354"/>
    <x v="5"/>
    <n v="1"/>
    <n v="38.06"/>
    <n v="19.55"/>
    <x v="0"/>
    <s v="Dessert+Snack"/>
    <x v="9"/>
    <x v="2"/>
    <n v="0.04"/>
    <s v="UPI"/>
    <s v="Lunch"/>
    <n v="36.537599999999998"/>
    <s v="Single"/>
    <s v="Ok"/>
    <n v="19.55"/>
    <n v="16.987599999999997"/>
  </r>
  <r>
    <s v="O00355"/>
    <x v="11"/>
    <n v="1"/>
    <n v="57.07"/>
    <n v="29.14"/>
    <x v="2"/>
    <s v="Beverage+Dessert"/>
    <x v="24"/>
    <x v="1"/>
    <n v="0"/>
    <s v="Cash"/>
    <s v="Breakfast"/>
    <n v="57.07"/>
    <s v="Single"/>
    <s v="Ok"/>
    <n v="29.14"/>
    <n v="27.93"/>
  </r>
  <r>
    <s v="O00355"/>
    <x v="1"/>
    <n v="1"/>
    <n v="30.34"/>
    <n v="14.18"/>
    <x v="1"/>
    <s v="Beverage+Dessert"/>
    <x v="24"/>
    <x v="1"/>
    <n v="0"/>
    <s v="Cash"/>
    <s v="Breakfast"/>
    <n v="30.34"/>
    <s v="Single"/>
    <s v="Ok"/>
    <n v="14.18"/>
    <n v="16.16"/>
  </r>
  <r>
    <s v="O00356"/>
    <x v="18"/>
    <n v="2"/>
    <n v="50.19"/>
    <n v="22.61"/>
    <x v="0"/>
    <s v="Beverage+Hot Meal+Snack"/>
    <x v="50"/>
    <x v="0"/>
    <n v="0.11"/>
    <s v="Card"/>
    <s v="Breakfast"/>
    <n v="89.338200000000001"/>
    <s v="Combo"/>
    <s v="High Discount"/>
    <n v="45.22"/>
    <n v="44.118200000000002"/>
  </r>
  <r>
    <s v="O00356"/>
    <x v="15"/>
    <n v="2"/>
    <n v="227.61"/>
    <n v="96.22"/>
    <x v="3"/>
    <s v="Beverage+Hot Meal+Snack"/>
    <x v="50"/>
    <x v="0"/>
    <n v="0.11"/>
    <s v="Card"/>
    <s v="Breakfast"/>
    <n v="405.14580000000001"/>
    <s v="Combo"/>
    <s v="High Discount"/>
    <n v="192.44"/>
    <n v="212.70580000000001"/>
  </r>
  <r>
    <s v="O00356"/>
    <x v="4"/>
    <n v="1"/>
    <n v="170.83"/>
    <n v="74.069999999999993"/>
    <x v="3"/>
    <s v="Beverage+Hot Meal+Snack"/>
    <x v="50"/>
    <x v="0"/>
    <n v="0.11"/>
    <s v="Card"/>
    <s v="Breakfast"/>
    <n v="152.03870000000001"/>
    <s v="Combo"/>
    <s v="High Discount"/>
    <n v="74.069999999999993"/>
    <n v="77.968700000000013"/>
  </r>
  <r>
    <s v="O00356"/>
    <x v="1"/>
    <n v="2"/>
    <n v="30.34"/>
    <n v="14.18"/>
    <x v="1"/>
    <s v="Beverage+Hot Meal+Snack"/>
    <x v="50"/>
    <x v="0"/>
    <n v="0.11"/>
    <s v="Card"/>
    <s v="Breakfast"/>
    <n v="54.005200000000002"/>
    <s v="Combo"/>
    <s v="High Discount"/>
    <n v="28.36"/>
    <n v="25.645200000000003"/>
  </r>
  <r>
    <s v="O00357"/>
    <x v="9"/>
    <n v="1"/>
    <n v="20.11"/>
    <n v="8"/>
    <x v="1"/>
    <s v="Beverage+Dessert"/>
    <x v="34"/>
    <x v="0"/>
    <n v="0.06"/>
    <s v="Cash"/>
    <s v="Dinner"/>
    <n v="18.903399999999998"/>
    <s v="Single"/>
    <s v="Ok"/>
    <n v="8"/>
    <n v="10.903399999999998"/>
  </r>
  <r>
    <s v="O00357"/>
    <x v="10"/>
    <n v="1"/>
    <n v="22.2"/>
    <n v="9.3800000000000008"/>
    <x v="1"/>
    <s v="Beverage+Dessert"/>
    <x v="34"/>
    <x v="0"/>
    <n v="0.06"/>
    <s v="Cash"/>
    <s v="Dinner"/>
    <n v="20.867999999999999"/>
    <s v="Single"/>
    <s v="Ok"/>
    <n v="9.3800000000000008"/>
    <n v="11.487999999999998"/>
  </r>
  <r>
    <s v="O00357"/>
    <x v="11"/>
    <n v="1"/>
    <n v="57.07"/>
    <n v="29.14"/>
    <x v="2"/>
    <s v="Beverage+Dessert"/>
    <x v="34"/>
    <x v="0"/>
    <n v="0.06"/>
    <s v="Cash"/>
    <s v="Dinner"/>
    <n v="53.645799999999994"/>
    <s v="Single"/>
    <s v="Ok"/>
    <n v="29.14"/>
    <n v="24.505799999999994"/>
  </r>
  <r>
    <s v="O00358"/>
    <x v="7"/>
    <n v="1"/>
    <n v="70.540000000000006"/>
    <n v="35.81"/>
    <x v="0"/>
    <s v="Beverage+Snack"/>
    <x v="31"/>
    <x v="1"/>
    <n v="0.11"/>
    <s v="UPI"/>
    <s v="Breakfast"/>
    <n v="62.780600000000007"/>
    <s v="Single"/>
    <s v="Ok"/>
    <n v="35.81"/>
    <n v="26.970600000000005"/>
  </r>
  <r>
    <s v="O00358"/>
    <x v="1"/>
    <n v="1"/>
    <n v="30.34"/>
    <n v="14.18"/>
    <x v="1"/>
    <s v="Beverage+Snack"/>
    <x v="31"/>
    <x v="1"/>
    <n v="0.11"/>
    <s v="UPI"/>
    <s v="Breakfast"/>
    <n v="27.002600000000001"/>
    <s v="Single"/>
    <s v="Ok"/>
    <n v="14.18"/>
    <n v="12.822600000000001"/>
  </r>
  <r>
    <s v="O00359"/>
    <x v="15"/>
    <n v="2"/>
    <n v="227.61"/>
    <n v="96.22"/>
    <x v="3"/>
    <s v="Hot Meal"/>
    <x v="35"/>
    <x v="1"/>
    <n v="0"/>
    <s v="Cash"/>
    <s v="Lunch"/>
    <n v="455.22"/>
    <s v="Single"/>
    <s v="Ok"/>
    <n v="192.44"/>
    <n v="262.78000000000003"/>
  </r>
  <r>
    <s v="O00360"/>
    <x v="4"/>
    <n v="1"/>
    <n v="170.83"/>
    <n v="74.069999999999993"/>
    <x v="3"/>
    <s v="Beverage+Hot Meal"/>
    <x v="14"/>
    <x v="1"/>
    <n v="0.04"/>
    <s v="UPI"/>
    <s v="Dinner"/>
    <n v="163.99680000000001"/>
    <s v="Combo"/>
    <s v="High Discount"/>
    <n v="74.069999999999993"/>
    <n v="89.926800000000014"/>
  </r>
  <r>
    <s v="O00360"/>
    <x v="14"/>
    <n v="3"/>
    <n v="256.91000000000003"/>
    <n v="121.24"/>
    <x v="3"/>
    <s v="Beverage+Hot Meal"/>
    <x v="14"/>
    <x v="1"/>
    <n v="0.04"/>
    <s v="UPI"/>
    <s v="Dinner"/>
    <n v="739.9008"/>
    <s v="Combo"/>
    <s v="High Discount"/>
    <n v="363.71999999999997"/>
    <n v="376.18080000000003"/>
  </r>
  <r>
    <s v="O00360"/>
    <x v="1"/>
    <n v="2"/>
    <n v="30.34"/>
    <n v="14.18"/>
    <x v="1"/>
    <s v="Beverage+Hot Meal"/>
    <x v="14"/>
    <x v="1"/>
    <n v="0.04"/>
    <s v="UPI"/>
    <s v="Dinner"/>
    <n v="58.252800000000001"/>
    <s v="Combo"/>
    <s v="High Discount"/>
    <n v="28.36"/>
    <n v="29.8928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2EAB65-B70E-4DA9-91FB-710EA0C9BF0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2:B93" firstHeaderRow="1" firstDataRow="1" firstDataCol="0" rowPageCount="1" colPageCount="1"/>
  <pivotFields count="17">
    <pivotField dataField="1"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axis="axisPage" showAll="0">
      <items count="3">
        <item x="1"/>
        <item x="0"/>
        <item t="default"/>
      </items>
    </pivotField>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pageFields count="1">
    <pageField fld="9" item="0"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688457-74E1-4DB8-9FC8-8CADE34AA351}" name="c s g" cacheId="4"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02:D107" firstHeaderRow="1" firstDataRow="2" firstDataCol="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dataField="1" showAll="0"/>
    <pivotField showAll="0"/>
    <pivotField axis="axisCol" showAll="0">
      <items count="3">
        <item x="1"/>
        <item x="0"/>
        <item t="default"/>
      </items>
    </pivotField>
    <pivotField showAll="0"/>
    <pivotField dataField="1" showAll="0"/>
    <pivotField dataField="1" numFmtId="2"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4">
    <i>
      <x/>
    </i>
    <i i="1">
      <x v="1"/>
    </i>
    <i i="2">
      <x v="2"/>
    </i>
    <i i="3">
      <x v="3"/>
    </i>
  </rowItems>
  <colFields count="1">
    <field x="9"/>
  </colFields>
  <colItems count="2">
    <i>
      <x/>
    </i>
    <i>
      <x v="1"/>
    </i>
  </colItems>
  <dataFields count="4">
    <dataField name="Average of Revenue" fld="7" subtotal="average" baseField="9" baseItem="0"/>
    <dataField name="Average of total cost" fld="11" subtotal="average" baseField="9" baseItem="0"/>
    <dataField name="Average of profit" fld="12" subtotal="average" baseField="9" baseItem="0" numFmtId="2"/>
    <dataField name="Sum of gm%" fld="16" baseField="0" baseItem="0"/>
  </dataFields>
  <formats count="2">
    <format dxfId="99">
      <pivotArea outline="0" collapsedLevelsAreSubtotals="1" fieldPosition="0"/>
    </format>
    <format dxfId="4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2AC427-3E2E-4CAA-966E-F07A368BAD97}" name="branch wise combo order" cacheId="4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9">
  <location ref="B47:C52" firstHeaderRow="1" firstDataRow="2" firstDataCol="1"/>
  <pivotFields count="4">
    <pivotField axis="axisRow" allDrilled="1" subtotalTop="0" showAll="0" sortType="ascending" dataSourceSort="1" defaultSubtotal="0" defaultAttributeDrillState="1">
      <items count="3">
        <item x="0"/>
        <item x="1"/>
        <item x="2"/>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Fields count="1">
    <field x="1"/>
  </colFields>
  <colItems count="1">
    <i>
      <x/>
    </i>
  </colItems>
  <dataFields count="1">
    <dataField name="Distinct Count of OrderID" fld="2" subtotal="count" showDataAs="percentOfTotal" baseField="0" baseItem="0" numFmtId="1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Lines].[Shift].&amp;[Breakfa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ibipatel_Day_6.xlsx!OrderLines">
        <x15:activeTabTopLevelEntity name="[Order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578CF-39CD-4E64-9602-0D37DB30464D}"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1:P92" firstHeaderRow="1" firstDataRow="1" firstDataCol="0"/>
  <pivotFields count="17">
    <pivotField dataField="1"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C5826C-43C0-4983-9D87-51FA37FBFD84}" name="Shift wise combo order" cacheId="5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0">
  <location ref="B38:C41" firstHeaderRow="1" firstDataRow="2" firstDataCol="1"/>
  <pivotFields count="3">
    <pivotField axis="axisRow" allDrilled="1" subtotalTop="0" showAll="0" dataSourceSort="1" defaultSubtotal="0" defaultAttributeDrillState="1">
      <items count="3">
        <item s="1" x="0"/>
        <item x="1"/>
        <item x="2"/>
      </items>
    </pivotField>
    <pivotField axis="axisCol"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Fields count="1">
    <field x="1"/>
  </colFields>
  <colItems count="1">
    <i>
      <x/>
    </i>
  </colItems>
  <dataFields count="1">
    <dataField name="Distinct Count of OrderID" fld="2" subtotal="count" showDataAs="percentOfCol" baseField="0" baseItem="0" numFmtId="10">
      <extLst>
        <ext xmlns:x15="http://schemas.microsoft.com/office/spreadsheetml/2010/11/main" uri="{FABC7310-3BB5-11E1-824E-6D434824019B}">
          <x15:dataField isCountDistinct="1"/>
        </ext>
      </extLst>
    </dataField>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ibipatel_Day_6.xlsx!OrderLines">
        <x15:activeTabTopLevelEntity name="[Order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D3E16-B03B-4C9B-8FD6-20DBD2C4137E}"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1:N94" firstHeaderRow="1" firstDataRow="1" firstDataCol="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axis="axisRow" showAll="0">
      <items count="3">
        <item x="1"/>
        <item x="0"/>
        <item t="default"/>
      </items>
    </pivotField>
    <pivotField showAll="0"/>
    <pivotField showAll="0"/>
    <pivotField dataField="1"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3">
    <i>
      <x/>
    </i>
    <i>
      <x v="1"/>
    </i>
    <i t="grand">
      <x/>
    </i>
  </rowItems>
  <colItems count="1">
    <i/>
  </colItems>
  <dataFields count="1">
    <dataField name="Average of profit" fld="12" subtotal="average" baseField="9" baseItem="0" numFmtId="2"/>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C93DEE-4F25-4B04-B472-685F6A973BF9}" name="item list"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32:C147" firstHeaderRow="1" firstDataRow="1" firstDataCol="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items count="3">
        <item x="1"/>
        <item x="0"/>
        <item t="default"/>
      </items>
    </pivotField>
    <pivotField showAll="0"/>
    <pivotField showAll="0"/>
    <pivotField numFmtId="2" showAll="0"/>
    <pivotField axis="axisRow" dataField="1" showAll="0" sortType="descending">
      <items count="16">
        <item x="5"/>
        <item x="1"/>
        <item x="10"/>
        <item x="8"/>
        <item x="12"/>
        <item x="6"/>
        <item x="2"/>
        <item x="4"/>
        <item x="14"/>
        <item x="13"/>
        <item x="7"/>
        <item x="9"/>
        <item x="3"/>
        <item x="11"/>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15">
    <i>
      <x/>
    </i>
    <i>
      <x v="7"/>
    </i>
    <i>
      <x v="14"/>
    </i>
    <i>
      <x v="13"/>
    </i>
    <i>
      <x v="12"/>
    </i>
    <i>
      <x v="9"/>
    </i>
    <i>
      <x v="2"/>
    </i>
    <i>
      <x v="6"/>
    </i>
    <i>
      <x v="5"/>
    </i>
    <i>
      <x v="1"/>
    </i>
    <i>
      <x v="10"/>
    </i>
    <i>
      <x v="4"/>
    </i>
    <i>
      <x v="11"/>
    </i>
    <i>
      <x v="8"/>
    </i>
    <i>
      <x v="3"/>
    </i>
  </rowItems>
  <colItems count="1">
    <i/>
  </colItems>
  <dataFields count="1">
    <dataField name="Count of Item list" fld="1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2CCFF2-1656-4F79-B438-A591ADABA37D}" name="shift wise"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23:D127" firstHeaderRow="1" firstDataRow="2" firstDataCol="1"/>
  <pivotFields count="17">
    <pivotField dataField="1"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axis="axisRow" showAll="0">
      <items count="4">
        <item x="0"/>
        <item x="1"/>
        <item x="2"/>
        <item t="default"/>
      </items>
    </pivotField>
    <pivotField showAll="0"/>
    <pivotField showAll="0"/>
    <pivotField showAll="0"/>
    <pivotField axis="axisCol" showAll="0">
      <items count="3">
        <item x="1"/>
        <item x="0"/>
        <item t="default"/>
      </items>
    </pivotField>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3">
    <i>
      <x/>
    </i>
    <i>
      <x v="1"/>
    </i>
    <i>
      <x v="2"/>
    </i>
  </rowItems>
  <colFields count="1">
    <field x="9"/>
  </colFields>
  <colItems count="2">
    <i>
      <x/>
    </i>
    <i>
      <x v="1"/>
    </i>
  </colItems>
  <dataFields count="1">
    <dataField name="Count of OrderID" fld="0" subtotal="count" showDataAs="percentOfRow" baseField="0" baseItem="0" numFmtId="1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79504D-FC73-4E7D-86CF-CF0367768B13}" name="Combo vs single" cacheId="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7:Q20"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Sum of LineNetAmount" fld="1" baseField="0" baseItem="0" numFmtId="166"/>
    <dataField name="Sum of Food Cost" fld="3" baseField="0" baseItem="0" numFmtId="166"/>
    <dataField name="Sum of Gross Profit" fld="4" baseField="0" baseItem="0" numFmtId="166"/>
    <dataField name="Distinct Count of OrderID" fld="2" subtotal="count" baseField="0" baseItem="0">
      <extLst>
        <ext xmlns:x15="http://schemas.microsoft.com/office/spreadsheetml/2010/11/main" uri="{FABC7310-3BB5-11E1-824E-6D434824019B}">
          <x15:dataField isCountDistinct="1"/>
        </ext>
      </extLst>
    </dataField>
  </dataFields>
  <formats count="1">
    <format dxfId="101">
      <pivotArea outline="0" collapsedLevelsAreSubtotals="1" fieldPosition="0">
        <references count="1">
          <reference field="4294967294" count="3" selected="0">
            <x v="0"/>
            <x v="1"/>
            <x v="2"/>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Lines].[Shift].&amp;[Breakfa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ibipatel_Day_6.xlsx!OrderLines">
        <x15:activeTabTopLevelEntity name="[Order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5E4E0C-6420-4A06-BE72-012A92E6CD3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1:J94" firstHeaderRow="1" firstDataRow="1" firstDataCol="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dataField="1" showAll="0"/>
    <pivotField showAll="0"/>
    <pivotField axis="axisRow" showAll="0">
      <items count="3">
        <item x="1"/>
        <item x="0"/>
        <item t="default"/>
      </items>
    </pivotField>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3">
    <i>
      <x/>
    </i>
    <i>
      <x v="1"/>
    </i>
    <i t="grand">
      <x/>
    </i>
  </rowItems>
  <colItems count="1">
    <i/>
  </colItems>
  <dataFields count="1">
    <dataField name="Average of Revenue" fld="7" subtotal="average" baseField="9" baseItem="1" numFmtId="2"/>
  </dataFields>
  <formats count="1">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8160A2-9D5D-47CF-9E00-8C421B301E38}" name="branch wise"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113:D117" firstHeaderRow="1" firstDataRow="2" firstDataCol="1"/>
  <pivotFields count="17">
    <pivotField dataField="1"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axis="axisRow" showAll="0">
      <items count="4">
        <item x="0"/>
        <item x="2"/>
        <item x="1"/>
        <item t="default"/>
      </items>
    </pivotField>
    <pivotField showAll="0"/>
    <pivotField showAll="0"/>
    <pivotField showAll="0">
      <items count="4">
        <item x="0"/>
        <item x="1"/>
        <item x="2"/>
        <item t="default"/>
      </items>
    </pivotField>
    <pivotField showAll="0"/>
    <pivotField showAll="0"/>
    <pivotField showAll="0"/>
    <pivotField axis="axisCol" showAll="0">
      <items count="3">
        <item x="1"/>
        <item x="0"/>
        <item t="default"/>
      </items>
    </pivotField>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3">
    <i>
      <x/>
    </i>
    <i>
      <x v="1"/>
    </i>
    <i>
      <x v="2"/>
    </i>
  </rowItems>
  <colFields count="1">
    <field x="9"/>
  </colFields>
  <colItems count="2">
    <i>
      <x/>
    </i>
    <i>
      <x v="1"/>
    </i>
  </colItems>
  <dataFields count="1">
    <dataField name="Count of OrderID" fld="0" subtotal="count" showDataAs="percentOfRow" baseField="0" baseItem="0" numFmtId="1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D93240-5C18-48B0-93DF-1FDABFA62C1E}" name="Item-category Rank " cacheId="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 rowHeaderCaption="Categories Combination">
  <location ref="B56:C71" firstHeaderRow="1"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i>
    <i>
      <x v="7"/>
    </i>
    <i>
      <x v="14"/>
    </i>
    <i>
      <x v="13"/>
    </i>
    <i>
      <x v="12"/>
    </i>
    <i>
      <x v="9"/>
    </i>
    <i>
      <x v="2"/>
    </i>
    <i>
      <x v="6"/>
    </i>
    <i>
      <x v="5"/>
    </i>
    <i>
      <x v="1"/>
    </i>
    <i>
      <x v="10"/>
    </i>
    <i>
      <x v="4"/>
    </i>
    <i>
      <x v="11"/>
    </i>
    <i>
      <x v="8"/>
    </i>
    <i>
      <x v="3"/>
    </i>
  </rowItems>
  <colItems count="1">
    <i/>
  </colItems>
  <dataFields count="1">
    <dataField name="Orders" fld="1" subtotal="count" baseField="0" baseItem="0">
      <extLst>
        <ext xmlns:x15="http://schemas.microsoft.com/office/spreadsheetml/2010/11/main" uri="{FABC7310-3BB5-11E1-824E-6D434824019B}">
          <x15:dataField isCountDistinct="1"/>
        </ext>
      </extLst>
    </dataField>
  </dataFields>
  <chartFormats count="1">
    <chartFormat chart="1"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Lines].[Shift].&amp;[Breakfa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ibipatel_Day_6.xlsx!OrderLines">
        <x15:activeTabTopLevelEntity name="[Order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B3FF84-F315-4430-AFDC-9B80F9334C5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2:F95" firstHeaderRow="1" firstDataRow="1" firstDataCol="1"/>
  <pivotFields count="17">
    <pivotField dataField="1"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axis="axisRow" showAll="0">
      <items count="3">
        <item x="1"/>
        <item x="0"/>
        <item t="default"/>
      </items>
    </pivotField>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3">
    <i>
      <x/>
    </i>
    <i>
      <x v="1"/>
    </i>
    <i t="grand">
      <x/>
    </i>
  </rowItems>
  <colItems count="1">
    <i/>
  </colItems>
  <dataFields count="1">
    <dataField name="Count of Order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3393E3-BCAA-44E2-A892-EA5D9057481B}"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L10:M11" firstHeaderRow="1" firstDataRow="1" firstDataCol="1" rowPageCount="2" colPageCount="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axis="axisPage" showAll="0">
      <items count="4">
        <item x="0"/>
        <item x="2"/>
        <item x="1"/>
        <item t="default"/>
      </items>
    </pivotField>
    <pivotField showAll="0"/>
    <pivotField showAll="0"/>
    <pivotField axis="axisPage" showAll="0">
      <items count="4">
        <item x="0"/>
        <item x="1"/>
        <item x="2"/>
        <item t="default"/>
      </items>
    </pivotField>
    <pivotField showAll="0"/>
    <pivotField dataField="1" showAll="0"/>
    <pivotField showAll="0"/>
    <pivotField showAll="0"/>
    <pivotField showAll="0"/>
    <pivotField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sd="0" x="8"/>
        <item h="1" sd="0" x="9"/>
        <item h="1" sd="0" x="10"/>
        <item h="1" sd="0" x="11"/>
        <item h="1" sd="0" x="12"/>
        <item h="1" sd="0" x="13"/>
        <item t="default"/>
      </items>
    </pivotField>
    <pivotField dragToRow="0" dragToCol="0" dragToPage="0" showAll="0" defaultSubtotal="0"/>
  </pivotFields>
  <rowFields count="1">
    <field x="15"/>
  </rowFields>
  <rowItems count="1">
    <i>
      <x v="8"/>
    </i>
  </rowItems>
  <colItems count="1">
    <i/>
  </colItems>
  <pageFields count="2">
    <pageField fld="5" hier="-1"/>
    <pageField fld="2" hier="-1"/>
  </pageField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13FD7E-2F4C-4012-9160-685CCAF87BC1}"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L3:N5" firstHeaderRow="0" firstDataRow="1" firstDataCol="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5"/>
  </rowFields>
  <rowItems count="2">
    <i>
      <x v="7"/>
    </i>
    <i>
      <x v="8"/>
    </i>
  </rowItems>
  <colFields count="1">
    <field x="-2"/>
  </colFields>
  <colItems count="2">
    <i>
      <x/>
    </i>
    <i i="1">
      <x v="1"/>
    </i>
  </colItems>
  <dataFields count="2">
    <dataField name="Sum of Revenue2" fld="7" baseField="0" baseItem="0"/>
    <dataField name="Sum of Revenue" fld="7" showDataAs="percentDiff" baseField="15" baseItem="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D37A1B5-127A-4164-89D8-58FE810C8A90}"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20:N23" firstHeaderRow="1" firstDataRow="1" firstDataCol="1"/>
  <pivotFields count="17">
    <pivotField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5"/>
  </rowFields>
  <rowItems count="3">
    <i>
      <x/>
    </i>
    <i>
      <x v="1"/>
    </i>
    <i>
      <x v="2"/>
    </i>
  </rowItems>
  <colItems count="1">
    <i/>
  </colItems>
  <dataFields count="1">
    <dataField name="Average of Revenue" fld="7" subtotal="average" baseField="5" baseItem="0" numFmtId="2"/>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38CB71-886E-4406-9291-B207E4DF0C8D}"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L15:M16" firstHeaderRow="1" firstDataRow="1" firstDataCol="1" rowPageCount="1" colPageCount="1"/>
  <pivotFields count="17">
    <pivotField dataField="1" showAll="0"/>
    <pivotField numFmtId="164" showAll="0">
      <items count="361">
        <item x="52"/>
        <item x="11"/>
        <item x="27"/>
        <item x="197"/>
        <item x="191"/>
        <item x="112"/>
        <item x="103"/>
        <item x="229"/>
        <item x="178"/>
        <item x="230"/>
        <item x="334"/>
        <item x="91"/>
        <item x="255"/>
        <item x="185"/>
        <item x="256"/>
        <item x="259"/>
        <item x="93"/>
        <item x="182"/>
        <item x="36"/>
        <item x="311"/>
        <item x="43"/>
        <item x="38"/>
        <item x="224"/>
        <item x="8"/>
        <item x="320"/>
        <item x="262"/>
        <item x="15"/>
        <item x="4"/>
        <item x="235"/>
        <item x="333"/>
        <item x="300"/>
        <item x="225"/>
        <item x="168"/>
        <item x="179"/>
        <item x="291"/>
        <item x="180"/>
        <item x="147"/>
        <item x="263"/>
        <item x="19"/>
        <item x="322"/>
        <item x="87"/>
        <item x="278"/>
        <item x="203"/>
        <item x="246"/>
        <item x="223"/>
        <item x="63"/>
        <item x="2"/>
        <item x="201"/>
        <item x="177"/>
        <item x="184"/>
        <item x="310"/>
        <item x="100"/>
        <item x="321"/>
        <item x="39"/>
        <item x="68"/>
        <item x="211"/>
        <item x="266"/>
        <item x="35"/>
        <item x="129"/>
        <item x="241"/>
        <item x="253"/>
        <item x="214"/>
        <item x="164"/>
        <item x="132"/>
        <item x="332"/>
        <item x="145"/>
        <item x="126"/>
        <item x="304"/>
        <item x="33"/>
        <item x="0"/>
        <item x="28"/>
        <item x="345"/>
        <item x="216"/>
        <item x="77"/>
        <item x="6"/>
        <item x="143"/>
        <item x="335"/>
        <item x="323"/>
        <item x="283"/>
        <item x="131"/>
        <item x="13"/>
        <item x="29"/>
        <item x="192"/>
        <item x="162"/>
        <item x="319"/>
        <item x="97"/>
        <item x="313"/>
        <item x="281"/>
        <item x="188"/>
        <item x="277"/>
        <item x="137"/>
        <item x="228"/>
        <item x="204"/>
        <item x="271"/>
        <item x="285"/>
        <item x="48"/>
        <item x="41"/>
        <item x="308"/>
        <item x="88"/>
        <item x="17"/>
        <item x="173"/>
        <item x="121"/>
        <item x="57"/>
        <item x="45"/>
        <item x="123"/>
        <item x="284"/>
        <item x="99"/>
        <item x="64"/>
        <item x="194"/>
        <item x="89"/>
        <item x="10"/>
        <item x="78"/>
        <item x="265"/>
        <item x="115"/>
        <item x="92"/>
        <item x="252"/>
        <item x="309"/>
        <item x="183"/>
        <item x="226"/>
        <item x="174"/>
        <item x="9"/>
        <item x="40"/>
        <item x="94"/>
        <item x="21"/>
        <item x="336"/>
        <item x="189"/>
        <item x="1"/>
        <item x="108"/>
        <item x="25"/>
        <item x="5"/>
        <item x="7"/>
        <item x="200"/>
        <item x="119"/>
        <item x="340"/>
        <item x="330"/>
        <item x="210"/>
        <item x="209"/>
        <item x="136"/>
        <item x="42"/>
        <item x="160"/>
        <item x="169"/>
        <item x="76"/>
        <item x="146"/>
        <item x="350"/>
        <item x="125"/>
        <item x="238"/>
        <item x="227"/>
        <item x="90"/>
        <item x="46"/>
        <item x="111"/>
        <item x="219"/>
        <item x="318"/>
        <item x="62"/>
        <item x="301"/>
        <item x="349"/>
        <item x="250"/>
        <item x="276"/>
        <item x="139"/>
        <item x="346"/>
        <item x="196"/>
        <item x="82"/>
        <item x="269"/>
        <item x="124"/>
        <item x="59"/>
        <item x="280"/>
        <item x="98"/>
        <item x="244"/>
        <item x="54"/>
        <item x="156"/>
        <item x="120"/>
        <item x="347"/>
        <item x="287"/>
        <item x="20"/>
        <item x="181"/>
        <item x="237"/>
        <item x="107"/>
        <item x="239"/>
        <item x="355"/>
        <item x="270"/>
        <item x="154"/>
        <item x="153"/>
        <item x="302"/>
        <item x="327"/>
        <item x="109"/>
        <item x="299"/>
        <item x="257"/>
        <item x="128"/>
        <item x="30"/>
        <item x="117"/>
        <item x="341"/>
        <item x="324"/>
        <item x="44"/>
        <item x="303"/>
        <item x="357"/>
        <item x="118"/>
        <item x="289"/>
        <item x="343"/>
        <item x="249"/>
        <item x="186"/>
        <item x="104"/>
        <item x="298"/>
        <item x="53"/>
        <item x="314"/>
        <item x="221"/>
        <item x="317"/>
        <item x="96"/>
        <item x="261"/>
        <item x="102"/>
        <item x="247"/>
        <item x="245"/>
        <item x="326"/>
        <item x="260"/>
        <item x="175"/>
        <item x="195"/>
        <item x="167"/>
        <item x="292"/>
        <item x="268"/>
        <item x="273"/>
        <item x="222"/>
        <item x="155"/>
        <item x="56"/>
        <item x="18"/>
        <item x="85"/>
        <item x="359"/>
        <item x="113"/>
        <item x="163"/>
        <item x="138"/>
        <item x="3"/>
        <item x="158"/>
        <item x="218"/>
        <item x="217"/>
        <item x="80"/>
        <item x="231"/>
        <item x="12"/>
        <item x="331"/>
        <item x="32"/>
        <item x="193"/>
        <item x="353"/>
        <item x="72"/>
        <item x="37"/>
        <item x="242"/>
        <item x="358"/>
        <item x="105"/>
        <item x="84"/>
        <item x="50"/>
        <item x="297"/>
        <item x="351"/>
        <item x="75"/>
        <item x="202"/>
        <item x="288"/>
        <item x="151"/>
        <item x="220"/>
        <item x="171"/>
        <item x="329"/>
        <item x="293"/>
        <item x="73"/>
        <item x="295"/>
        <item x="290"/>
        <item x="233"/>
        <item x="243"/>
        <item x="240"/>
        <item x="140"/>
        <item x="70"/>
        <item x="22"/>
        <item x="274"/>
        <item x="190"/>
        <item x="213"/>
        <item x="69"/>
        <item x="344"/>
        <item x="60"/>
        <item x="207"/>
        <item x="339"/>
        <item x="166"/>
        <item x="328"/>
        <item x="348"/>
        <item x="65"/>
        <item x="232"/>
        <item x="206"/>
        <item x="161"/>
        <item x="264"/>
        <item x="110"/>
        <item x="236"/>
        <item x="114"/>
        <item x="152"/>
        <item x="215"/>
        <item x="67"/>
        <item x="176"/>
        <item x="352"/>
        <item x="159"/>
        <item x="272"/>
        <item x="325"/>
        <item x="296"/>
        <item x="31"/>
        <item x="24"/>
        <item x="55"/>
        <item x="338"/>
        <item x="307"/>
        <item x="165"/>
        <item x="61"/>
        <item x="157"/>
        <item x="74"/>
        <item x="234"/>
        <item x="133"/>
        <item x="337"/>
        <item x="306"/>
        <item x="267"/>
        <item x="282"/>
        <item x="205"/>
        <item x="16"/>
        <item x="187"/>
        <item x="316"/>
        <item x="86"/>
        <item x="47"/>
        <item x="106"/>
        <item x="79"/>
        <item x="26"/>
        <item x="142"/>
        <item x="354"/>
        <item x="34"/>
        <item x="172"/>
        <item x="208"/>
        <item x="305"/>
        <item x="71"/>
        <item x="254"/>
        <item x="212"/>
        <item x="248"/>
        <item x="23"/>
        <item x="95"/>
        <item x="286"/>
        <item x="101"/>
        <item x="258"/>
        <item x="58"/>
        <item x="275"/>
        <item x="127"/>
        <item x="149"/>
        <item x="66"/>
        <item x="81"/>
        <item x="150"/>
        <item x="51"/>
        <item x="130"/>
        <item x="251"/>
        <item x="14"/>
        <item x="116"/>
        <item x="342"/>
        <item x="170"/>
        <item x="134"/>
        <item x="279"/>
        <item x="122"/>
        <item x="141"/>
        <item x="144"/>
        <item x="49"/>
        <item x="312"/>
        <item x="356"/>
        <item x="83"/>
        <item x="148"/>
        <item x="294"/>
        <item x="198"/>
        <item x="199"/>
        <item x="135"/>
        <item x="315"/>
        <item t="default"/>
      </items>
    </pivotField>
    <pivotField showAll="0">
      <items count="4">
        <item x="0"/>
        <item x="2"/>
        <item x="1"/>
        <item t="default"/>
      </items>
    </pivotField>
    <pivotField showAll="0"/>
    <pivotField axis="axisRow" showAll="0">
      <items count="4">
        <item h="1" x="2"/>
        <item h="1" x="1"/>
        <item x="0"/>
        <item t="default"/>
      </items>
    </pivotField>
    <pivotField showAll="0">
      <items count="4">
        <item x="0"/>
        <item x="1"/>
        <item x="2"/>
        <item t="default"/>
      </items>
    </pivotField>
    <pivotField showAll="0"/>
    <pivotField showAll="0"/>
    <pivotField axis="axisPage" showAll="0">
      <items count="3">
        <item x="0"/>
        <item x="1"/>
        <item t="default"/>
      </items>
    </pivotField>
    <pivotField showAll="0"/>
    <pivotField showAll="0"/>
    <pivotField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4"/>
  </rowFields>
  <rowItems count="1">
    <i>
      <x v="2"/>
    </i>
  </rowItems>
  <colItems count="1">
    <i/>
  </colItems>
  <pageFields count="1">
    <pageField fld="8" item="1"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81EAE0-5935-4015-BE63-D0CFFF4B9D3B}" name="PivotTable1" cacheId="5"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chartFormat="7">
  <location ref="A3:G10" firstHeaderRow="1" firstDataRow="3" firstDataCol="1"/>
  <pivotFields count="2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compact="0" numFmtId="165" outline="0"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Col" compact="0" outline="0" showAll="0">
      <items count="4">
        <item x="0"/>
        <item x="2"/>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5"/>
  </rowFields>
  <rowItems count="5">
    <i>
      <x/>
    </i>
    <i>
      <x v="1"/>
    </i>
    <i>
      <x v="2"/>
    </i>
    <i>
      <x v="3"/>
    </i>
    <i t="grand">
      <x/>
    </i>
  </rowItems>
  <colFields count="2">
    <field x="8"/>
    <field x="-2"/>
  </colFields>
  <colItems count="6">
    <i>
      <x/>
      <x/>
    </i>
    <i r="1" i="1">
      <x v="1"/>
    </i>
    <i>
      <x v="1"/>
      <x/>
    </i>
    <i r="1" i="1">
      <x v="1"/>
    </i>
    <i>
      <x v="2"/>
      <x/>
    </i>
    <i r="1" i="1">
      <x v="1"/>
    </i>
  </colItems>
  <dataFields count="2">
    <dataField name="Revenue" fld="12" showDataAs="percentOfCol" baseField="0" baseItem="0" numFmtId="10"/>
    <dataField name="Sum of LineNetAmount" fld="12" baseField="0" baseItem="0"/>
  </dataFields>
  <formats count="3">
    <format dxfId="72">
      <pivotArea outline="0" collapsedLevelsAreSubtotals="1" fieldPosition="0"/>
    </format>
    <format dxfId="71">
      <pivotArea outline="0" fieldPosition="0">
        <references count="1">
          <reference field="4294967294" count="1">
            <x v="0"/>
          </reference>
        </references>
      </pivotArea>
    </format>
    <format dxfId="70">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A1192B5-E776-46F8-ACDA-17067E63C87F}"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G14:I17" firstHeaderRow="0" firstDataRow="1" firstDataCol="1"/>
  <pivotFields count="2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compact="0" outline="0" showAll="0">
      <items count="4">
        <item x="0"/>
        <item x="2"/>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2"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dataField="1" compact="0" outline="0" dragToRow="0" dragToCol="0" dragToPage="0" showAll="0" defaultSubtotal="0"/>
  </pivotFields>
  <rowFields count="1">
    <field x="8"/>
  </rowFields>
  <rowItems count="3">
    <i>
      <x/>
    </i>
    <i>
      <x v="1"/>
    </i>
    <i>
      <x v="2"/>
    </i>
  </rowItems>
  <colFields count="1">
    <field x="-2"/>
  </colFields>
  <colItems count="2">
    <i>
      <x/>
    </i>
    <i i="1">
      <x v="1"/>
    </i>
  </colItems>
  <dataFields count="2">
    <dataField name="GM%" fld="19" baseField="7" baseItem="0" numFmtId="9"/>
    <dataField name="Sum of LineNetAmount" fld="12" baseField="0" baseItem="0" numFmtId="2"/>
  </dataFields>
  <formats count="2">
    <format dxfId="74">
      <pivotArea outline="0" collapsedLevelsAreSubtotals="1" fieldPosition="0">
        <references count="1">
          <reference field="4294967294" count="1" selected="0">
            <x v="0"/>
          </reference>
        </references>
      </pivotArea>
    </format>
    <format dxfId="7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C72E6CC-9FE4-400E-9CA8-5E51F0D81D8F}" name="PivotTable2" cacheId="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5:C26" firstHeaderRow="0" firstDataRow="1" firstDataCol="1" rowPageCount="1" colPageCount="1"/>
  <pivotFields count="20">
    <pivotField compact="0" outline="0" showAll="0"/>
    <pivotField axis="axisRow" compact="0" outline="0" showAll="0" measureFilter="1" sortType="descending">
      <items count="20">
        <item x="8"/>
        <item x="10"/>
        <item x="3"/>
        <item x="1"/>
        <item x="9"/>
        <item x="13"/>
        <item x="12"/>
        <item x="2"/>
        <item x="11"/>
        <item x="4"/>
        <item x="14"/>
        <item x="6"/>
        <item x="16"/>
        <item x="15"/>
        <item x="18"/>
        <item x="7"/>
        <item x="0"/>
        <item x="17"/>
        <item x="5"/>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numFmtId="165" outline="0"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2"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Page"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1"/>
  </rowFields>
  <rowItems count="11">
    <i>
      <x v="13"/>
    </i>
    <i>
      <x v="10"/>
    </i>
    <i>
      <x v="11"/>
    </i>
    <i>
      <x v="12"/>
    </i>
    <i>
      <x v="9"/>
    </i>
    <i>
      <x v="5"/>
    </i>
    <i>
      <x v="7"/>
    </i>
    <i>
      <x v="15"/>
    </i>
    <i>
      <x v="6"/>
    </i>
    <i>
      <x v="14"/>
    </i>
    <i t="grand">
      <x/>
    </i>
  </rowItems>
  <colFields count="1">
    <field x="-2"/>
  </colFields>
  <colItems count="2">
    <i>
      <x/>
    </i>
    <i i="1">
      <x v="1"/>
    </i>
  </colItems>
  <pageFields count="1">
    <pageField fld="18" item="8" hier="-1"/>
  </pageFields>
  <dataFields count="2">
    <dataField name="Revenue" fld="12" baseField="1" baseItem="13" numFmtId="2"/>
    <dataField name="Quantity" fld="2" baseField="1" baseItem="13"/>
  </dataFields>
  <formats count="1">
    <format dxfId="7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03792C34-8D8C-42C0-9BBF-ED4732165977}" sourceName="Branch">
  <pivotTables>
    <pivotTable tabId="13" name="c s g"/>
    <pivotTable tabId="9" name="PivotTable1"/>
    <pivotTable tabId="9" name="PivotTable2"/>
    <pivotTable tabId="9" name="PivotTable3"/>
    <pivotTable tabId="9" name="PivotTable4"/>
    <pivotTable tabId="13" name="item list"/>
    <pivotTable tabId="13" name="PivotTable10"/>
    <pivotTable tabId="13" name="PivotTable5"/>
    <pivotTable tabId="13" name="PivotTable6"/>
    <pivotTable tabId="13" name="PivotTable7"/>
    <pivotTable tabId="13" name="PivotTable8"/>
    <pivotTable tabId="13" name="shift wise"/>
  </pivotTables>
  <data>
    <tabular pivotCacheId="46509260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 xr10:uid="{5A01666C-9F28-447E-A930-4E3E4E3CB902}" sourceName="Shift">
  <pivotTables>
    <pivotTable tabId="13" name="c s g"/>
    <pivotTable tabId="9" name="PivotTable1"/>
    <pivotTable tabId="9" name="PivotTable2"/>
    <pivotTable tabId="9" name="PivotTable3"/>
    <pivotTable tabId="9" name="PivotTable4"/>
    <pivotTable tabId="13" name="branch wise"/>
    <pivotTable tabId="13" name="item list"/>
    <pivotTable tabId="13" name="PivotTable10"/>
    <pivotTable tabId="13" name="PivotTable5"/>
    <pivotTable tabId="13" name="PivotTable6"/>
    <pivotTable tabId="13" name="PivotTable7"/>
    <pivotTable tabId="13" name="PivotTable8"/>
  </pivotTables>
  <data>
    <tabular pivotCacheId="4650926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372DA778-32D0-42C8-B23E-3735A063B9FF}" cache="Slicer_Branch1" caption="Branch" style="SlicerStyleLight6" rowHeight="234950"/>
  <slicer name="Shift 1" xr10:uid="{C0DC32A9-D091-4594-8C98-436BB90DBFA9}" cache="Slicer_Shift1" caption="Shift"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D767E57C-6749-429F-AF4C-8AB9E40920C8}" cache="Slicer_Branch1" caption="Branch" style="SlicerStyleLight6" rowHeight="234950"/>
  <slicer name="Shift 2" xr10:uid="{E605249B-9BBD-4ED3-A317-5E6FA43A3AD9}" cache="Slicer_Shift1" caption="Shif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C06E78-4A97-49CF-BF82-8F07ADF1754A}" name="Orders" displayName="Orders" ref="A1:N361" totalsRowShown="0" headerRowDxfId="98" headerRowBorderDxfId="97" tableBorderDxfId="96">
  <autoFilter ref="A1:N361" xr:uid="{BEC06E78-4A97-49CF-BF82-8F07ADF1754A}"/>
  <tableColumns count="14">
    <tableColumn id="1" xr3:uid="{19F194A8-2DB4-43E6-90B6-789CC81DFD7F}" name="OrderID"/>
    <tableColumn id="2" xr3:uid="{68923AA5-FA48-4DC3-A5A2-6AE5858E2856}" name="OrderDateTime" dataDxfId="95"/>
    <tableColumn id="3" xr3:uid="{27A0CDC6-2BED-4802-95FE-3CE70DC3E453}" name="Branch"/>
    <tableColumn id="4" xr3:uid="{C0E4697E-A488-442D-AE51-575AFB9B8CC7}" name="CustomerType"/>
    <tableColumn id="5" xr3:uid="{ED9079CE-4EAE-4D77-B200-63806583DAC7}" name="PaymentType"/>
    <tableColumn id="6" xr3:uid="{4E690FEE-99AE-48A2-95E5-AAF72C1240A3}" name="Shift"/>
    <tableColumn id="7" xr3:uid="{2B6139BE-D5F2-445C-8C5A-44894A0B316F}" name="DiscountPct"/>
    <tableColumn id="8" xr3:uid="{3D6D87FA-5E9F-4258-A44E-312100C89F97}" name="Revenue" dataDxfId="94">
      <calculatedColumnFormula>SUMIFS(OrderLines[LineNetAmount],OrderLines[OrderID],Orders[[#This Row],[OrderID]])</calculatedColumnFormula>
    </tableColumn>
    <tableColumn id="9" xr3:uid="{D76FD180-CE57-41E5-A566-99880F2F71D0}" name="has beverage" dataDxfId="93">
      <calculatedColumnFormula>IF(COUNTIFS(OrderLines[OrderID],Orders[[#This Row],[OrderID]],OrderLines[Category],"Beverage"),"yes","no")</calculatedColumnFormula>
    </tableColumn>
    <tableColumn id="10" xr3:uid="{C5EFF994-91D8-4BEF-8FB2-8C8FC5163BE0}" name="combo flag" dataDxfId="92">
      <calculatedColumnFormula>IF(AND(COUNTIFS(OrderLines[OrderID],Orders[[#This Row],[OrderID]],OrderLines[Category],"Hot Meal"),Orders[[#This Row],[has beverage]]="yes"),"combo","single")</calculatedColumnFormula>
    </tableColumn>
    <tableColumn id="11" xr3:uid="{7A5A9BF8-6E0D-47FE-BE2B-B66F1C002B6E}" name="disc" dataDxfId="91">
      <calculatedColumnFormula array="1">IF((SUMPRODUCT(OrderLines[UnitPrice],OrderLines[Qty],--(OrderLines[OrderID]=Orders[[#This Row],[OrderID]]))-Orders[[#This Row],[Revenue]])&gt;40,"high disc","ok")</calculatedColumnFormula>
    </tableColumn>
    <tableColumn id="12" xr3:uid="{A1319818-FF05-4AB7-9C39-4C1C4DB9C55F}" name="total cost" dataDxfId="90">
      <calculatedColumnFormula>SUMIFS(OrderLines[Food Cost],OrderLines[OrderID],Orders[[#This Row],[OrderID]])</calculatedColumnFormula>
    </tableColumn>
    <tableColumn id="13" xr3:uid="{42AEA47A-EA4C-4700-B24D-F2061A68EDA4}" name="profit" dataDxfId="89">
      <calculatedColumnFormula>Orders[[#This Row],[Revenue]]-Orders[[#This Row],[total cost]]</calculatedColumnFormula>
    </tableColumn>
    <tableColumn id="14" xr3:uid="{FE315BBF-CF8E-46A2-82D4-BD9535D22692}" name="Item list" dataDxfId="88">
      <calculatedColumnFormula array="1">_xlfn.TEXTJOIN("+",,_xlfn._xlws.SORT(_xlfn.UNIQUE(_xlfn._xlws.FILTER(OrderLines[Category],OrderLines[OrderID]=Orders[[#This Row],[OrderID]]))))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460441-43D7-4527-BAE9-3BA2A0477B60}" name="OrderLines" displayName="OrderLines" ref="A1:Q925" totalsRowShown="0" headerRowDxfId="87" headerRowBorderDxfId="86" tableBorderDxfId="85">
  <autoFilter ref="A1:Q925" xr:uid="{E6460441-43D7-4527-BAE9-3BA2A0477B60}"/>
  <tableColumns count="17">
    <tableColumn id="1" xr3:uid="{173BEDD6-5406-419C-8E13-B824A57301A6}" name="OrderID"/>
    <tableColumn id="2" xr3:uid="{7C8AB528-DBF1-47DB-A33D-E0C41259E23B}" name="SKU"/>
    <tableColumn id="3" xr3:uid="{06C734C5-78AC-4679-A4E0-1180D2C744B5}" name="Qty"/>
    <tableColumn id="4" xr3:uid="{2F2C6C2D-7F76-4171-A107-AD7F991EA807}" name="UnitPrice" dataDxfId="84">
      <calculatedColumnFormula array="1">VLOOKUP(OrderLines[[#This Row],[SKU]:[SKU]],Menu[],MATCH(OrderLines[[#Headers],[UnitPrice]],Menu[#Headers],0),FALSE)</calculatedColumnFormula>
    </tableColumn>
    <tableColumn id="5" xr3:uid="{452342CB-AFD1-4240-9EAA-7F7704016E9D}" name="UnitCost">
      <calculatedColumnFormula array="1">VLOOKUP(OrderLines[[#This Row],[SKU]:[SKU]],Menu[],MATCH(OrderLines[[#Headers],[UnitCost]],Menu[#Headers],0),FALSE)</calculatedColumnFormula>
    </tableColumn>
    <tableColumn id="6" xr3:uid="{230D3405-C34C-469F-8472-D2440B76DA29}" name="Category">
      <calculatedColumnFormula array="1">VLOOKUP(OrderLines[[#This Row],[SKU]:[SKU]],Menu[],MATCH(OrderLines[[#Headers],[Category]],Menu[#Headers],0),FALSE)</calculatedColumnFormula>
    </tableColumn>
    <tableColumn id="17" xr3:uid="{6C0FB7E5-0F5C-4E19-94F6-09057D304325}" name="Item category" dataDxfId="83">
      <calculatedColumnFormula array="1">_xlfn.TEXTJOIN("+",TRUE,_xlfn.UNIQUE(_xlfn._xlws.FILTER(OrderLines[Category],OrderLines[OrderID]=OrderLines[[#This Row],[OrderID]])))</calculatedColumnFormula>
    </tableColumn>
    <tableColumn id="7" xr3:uid="{BF0D83A5-EF09-4221-92A1-3520740B47F8}" name="OrderDateTime" dataDxfId="82">
      <calculatedColumnFormula array="1">INT(VLOOKUP(OrderLines[[#This Row],[OrderID]:[OrderID]],Orders[],MATCH(OrderLines[[#Headers],[OrderDateTime]],Orders[#Headers],0),FALSE))</calculatedColumnFormula>
    </tableColumn>
    <tableColumn id="8" xr3:uid="{1C99FAFA-2512-44AF-8F34-CC769B05FE08}" name="Branch">
      <calculatedColumnFormula array="1">VLOOKUP(OrderLines[[#This Row],[OrderID]:[OrderID]],Orders[],MATCH(OrderLines[[#Headers],[Branch]],Orders[#Headers],0),FALSE)</calculatedColumnFormula>
    </tableColumn>
    <tableColumn id="9" xr3:uid="{B8D873C8-BB17-4A24-8096-08DC9C614D62}" name="DiscountPct">
      <calculatedColumnFormula array="1">VLOOKUP(OrderLines[[#This Row],[OrderID]:[OrderID]],Orders[],MATCH(OrderLines[[#Headers],[DiscountPct]],Orders[#Headers],0),FALSE)</calculatedColumnFormula>
    </tableColumn>
    <tableColumn id="13" xr3:uid="{63A4A5E0-15EE-40DC-95FA-CBCAAED79E87}" name="PaymentType">
      <calculatedColumnFormula array="1">VLOOKUP(OrderLines[[#This Row],[OrderID]:[OrderID]],Orders[],MATCH(OrderLines[[#Headers],[PaymentType]],Orders[#Headers],0),FALSE)</calculatedColumnFormula>
    </tableColumn>
    <tableColumn id="11" xr3:uid="{0F67389A-CAAC-4BAF-9232-E04B5E9EF1FA}" name="Shift">
      <calculatedColumnFormula array="1">VLOOKUP(OrderLines[[#This Row],[OrderID]:[OrderID]],Orders[],MATCH(OrderLines[[#Headers],[Shift]],Orders[#Headers],0),FALSE)</calculatedColumnFormula>
    </tableColumn>
    <tableColumn id="10" xr3:uid="{FEC4CA00-978D-402C-9DBB-E9ABE8B69E3B}" name="LineNetAmount" dataDxfId="81">
      <calculatedColumnFormula>(OrderLines[[#This Row],[Qty]]*OrderLines[[#This Row],[UnitPrice]])*(1-OrderLines[[#This Row],[DiscountPct]])</calculatedColumnFormula>
    </tableColumn>
    <tableColumn id="12" xr3:uid="{2F99FD37-D9BA-477B-979B-BCC780A9D124}" name="Combo Flag" dataDxfId="80">
      <calculatedColumnFormula>IF(AND(COUNTIFS(OrderLines[OrderID],OrderLines[[#This Row],[OrderID]],OrderLines[Category],"Hot Meal"),COUNTIFS(OrderLines[OrderID],OrderLines[[#This Row],[OrderID]],OrderLines[Category],"Beverage")),"Combo","Single")</calculatedColumnFormula>
    </tableColumn>
    <tableColumn id="20" xr3:uid="{42A5D7DB-846C-4902-8615-EE67956A8BE0}" name="DiscountFlag" dataDxfId="79">
      <calculatedColumnFormula array="1">IF(SUMPRODUCT(OrderLines[UnitPrice],OrderLines[Qty],OrderLines[DiscountPct],--(OrderLines[OrderID] = OrderLines[[#This Row],[OrderID]]))&gt;40,"High Discount","Ok")</calculatedColumnFormula>
    </tableColumn>
    <tableColumn id="14" xr3:uid="{ACFD8A93-3339-46A0-A6DF-3D17E5A7F2A1}" name="Food Cost" dataDxfId="78">
      <calculatedColumnFormula>OrderLines[[#This Row],[UnitCost]]*OrderLines[[#This Row],[Qty]]</calculatedColumnFormula>
    </tableColumn>
    <tableColumn id="15" xr3:uid="{268D189B-8F6A-4798-8EF9-A2E8191450A5}" name="Gross Profit" dataDxfId="77">
      <calculatedColumnFormula>OrderLines[[#This Row],[LineNetAmount]]-OrderLines[[#This Row],[Food Cost]]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BFB3833-3F3F-47C7-8FC7-0AF5717425C9}" name="Table10" displayName="Table10" ref="E56:F71" totalsRowShown="0">
  <autoFilter ref="E56:F71" xr:uid="{5BFB3833-3F3F-47C7-8FC7-0AF5717425C9}"/>
  <tableColumns count="2">
    <tableColumn id="1" xr3:uid="{EA6A8B06-2D71-43A5-BA4D-D378D5541182}" name="Categories Combination">
      <calculatedColumnFormula>B57</calculatedColumnFormula>
    </tableColumn>
    <tableColumn id="2" xr3:uid="{4891D5FB-2263-419B-9586-4CB333894EA1}" name="Orders">
      <calculatedColumnFormula>C57</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4725E3-13F5-4B21-95F1-CC3E5E63C686}" name="Menu" displayName="Menu" ref="A1:F20" totalsRowShown="0" headerRowDxfId="69" headerRowBorderDxfId="68" tableBorderDxfId="67">
  <tableColumns count="6">
    <tableColumn id="1" xr3:uid="{8D909CB4-1756-475B-A456-677096D49660}" name="SKU"/>
    <tableColumn id="2" xr3:uid="{4BB82672-ED6F-4125-BECF-96D607A67022}" name="ItemName"/>
    <tableColumn id="3" xr3:uid="{039699E2-1F73-48F1-A575-22115D5DA4C2}" name="Category"/>
    <tableColumn id="4" xr3:uid="{AAAEA07A-4D6F-4022-81BC-0528D5E2B514}" name="SupplierID"/>
    <tableColumn id="5" xr3:uid="{04B5C0E0-DEE7-4553-82A7-6A5B0D01CC18}" name="UnitCost"/>
    <tableColumn id="6" xr3:uid="{9FD4439D-791C-4754-919A-8DF7C0DF932E}" name="Unit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BD779E-9B48-4982-9865-71517278CC11}" name="Staff" displayName="Staff" ref="A1:E19" totalsRowShown="0" headerRowDxfId="66" headerRowBorderDxfId="65" tableBorderDxfId="64">
  <autoFilter ref="A1:E19" xr:uid="{6F0F5B3F-1AFC-418A-A212-79072EA13445}"/>
  <tableColumns count="5">
    <tableColumn id="1" xr3:uid="{C9481AFF-5544-46F5-8E7F-70EECF566B5E}" name="StaffID"/>
    <tableColumn id="2" xr3:uid="{853F3572-DEBD-4238-9353-2D5F9F7FAD03}" name="StaffName"/>
    <tableColumn id="3" xr3:uid="{1CE385FD-3BF1-496B-A028-5E4B0FA6349D}" name="Role"/>
    <tableColumn id="4" xr3:uid="{4E928B9B-D4AC-483E-9E72-ADF2F910A224}" name="Branch"/>
    <tableColumn id="5" xr3:uid="{8F8DF89E-2E39-45B1-937C-FB5419CA8C9E}" name="HourlyRateIN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70A6D1-BD30-4F2A-912C-3C84C9E38636}" name="Inventory" displayName="Inventory" ref="A1:F20" totalsRowShown="0" headerRowDxfId="63" headerRowBorderDxfId="62" tableBorderDxfId="61">
  <autoFilter ref="A1:F20" xr:uid="{4EB81494-AC1D-4983-9724-9AC52BF59D23}"/>
  <tableColumns count="6">
    <tableColumn id="1" xr3:uid="{B3D118F6-924C-45E4-8B1A-2DBCE2004E3A}" name="SKU"/>
    <tableColumn id="2" xr3:uid="{BA1A7A56-9C0C-42B8-89BF-EED9550A3EA2}" name="OnHandQty"/>
    <tableColumn id="3" xr3:uid="{6F166805-4C95-4086-894B-FFCACAE5B175}" name="ReorderPoint"/>
    <tableColumn id="4" xr3:uid="{4A2DD838-D8CC-422B-816A-E94C70F4176F}" name="LeadTimeDays"/>
    <tableColumn id="5" xr3:uid="{BB07E01F-306E-4D32-94B7-DD6B79A30391}" name="LastRestockDate" dataDxfId="60"/>
    <tableColumn id="6" xr3:uid="{5863A5A5-DE7F-4AAE-8298-ADD371B62725}" name="ItemName" dataDxfId="59">
      <calculatedColumnFormula>VLOOKUP(Inventory[[#This Row],[SKU]],Menu[],MATCH(Inventory[[#Headers],[ItemName]],Menu[#Headers],0),FALSE)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05F237-AFFD-4759-BF54-364AF7C691D2}" name="Suppliers" displayName="Suppliers" ref="A1:D11" totalsRowShown="0" headerRowDxfId="58" headerRowBorderDxfId="57" tableBorderDxfId="56">
  <autoFilter ref="A1:D11" xr:uid="{8568919B-2562-4EC6-B640-5F3C0D162820}"/>
  <tableColumns count="4">
    <tableColumn id="1" xr3:uid="{CCA1AE19-73E9-40CD-8368-DB2B6F4713F4}" name="SupplierID"/>
    <tableColumn id="2" xr3:uid="{F58D4367-22C1-497D-9ED5-461BB4A18625}" name="SupplierName"/>
    <tableColumn id="3" xr3:uid="{A6C94164-E5E9-4328-A55B-1B26B926BF13}" name="City"/>
    <tableColumn id="4" xr3:uid="{155AFD89-E58B-4E3C-9F20-94C6A4132758}" name="Phon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59F173-7AD2-489C-8D3B-57501CC2AB80}" name="WasteLog" displayName="WasteLog" ref="A1:E121" totalsRowShown="0" headerRowDxfId="55" headerRowBorderDxfId="54" tableBorderDxfId="53">
  <autoFilter ref="A1:E121" xr:uid="{1910431B-FB71-4BDB-8109-D4938E111231}"/>
  <tableColumns count="5">
    <tableColumn id="1" xr3:uid="{F426A039-DA87-40EC-8B61-CE9FB0AAD05E}" name="Date" dataDxfId="52"/>
    <tableColumn id="2" xr3:uid="{6FB60890-BE9C-4883-9D1F-5177CC92BFB4}" name="SKU"/>
    <tableColumn id="3" xr3:uid="{7566F70D-0DB4-4B83-8B35-6023DF444061}" name="Qty"/>
    <tableColumn id="4" xr3:uid="{342ED4C6-54BC-45EE-9B94-C90E92B0D9B8}" name="Reason"/>
    <tableColumn id="5" xr3:uid="{BBF6AEB4-20C2-4EFF-9289-67F811082014}" name="Waste cost" dataDxfId="51">
      <calculatedColumnFormula>(_xlfn.XLOOKUP(WasteLog[[#This Row],[SKU]],Menu[SKU],Menu[UnitCost]))*WasteLog[[#This Row],[Qty]]</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6AA9B7-15DC-4FAE-9414-AD157D1508D9}" name="Feedback" displayName="Feedback" ref="A1:D221" totalsRowShown="0" headerRowDxfId="50" headerRowBorderDxfId="49" tableBorderDxfId="48">
  <autoFilter ref="A1:D221" xr:uid="{9287CD37-1DDD-40DA-AF88-A74D78294EE7}"/>
  <tableColumns count="4">
    <tableColumn id="1" xr3:uid="{022B31D6-958E-4A8F-BEC3-2BA850937B9B}" name="Date" dataDxfId="47"/>
    <tableColumn id="2" xr3:uid="{621A10B9-FF26-4E95-8826-7DB5C9338256}" name="Branch"/>
    <tableColumn id="3" xr3:uid="{ADDA071F-6C3C-4BFD-B103-DB82A1755AEF}" name="Rating"/>
    <tableColumn id="4" xr3:uid="{A96EB45E-CF10-40D1-9D0B-67A37B3173D8}" name="Comment"/>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EBC0-0F11-45B2-8A82-CAFF1D8A612A}">
  <dimension ref="A1:N361"/>
  <sheetViews>
    <sheetView workbookViewId="0">
      <selection activeCell="N11" sqref="N11:N335"/>
    </sheetView>
  </sheetViews>
  <sheetFormatPr defaultRowHeight="14.4" x14ac:dyDescent="0.3"/>
  <cols>
    <col min="1" max="1" width="12" bestFit="1" customWidth="1"/>
    <col min="2" max="2" width="18.33203125" bestFit="1" customWidth="1"/>
    <col min="3" max="3" width="15" bestFit="1" customWidth="1"/>
    <col min="4" max="4" width="15.109375" customWidth="1"/>
    <col min="5" max="5" width="14.5546875" customWidth="1"/>
    <col min="6" max="6" width="9.33203125" bestFit="1" customWidth="1"/>
    <col min="7" max="7" width="15.44140625" bestFit="1" customWidth="1"/>
    <col min="8" max="8" width="9.5546875" bestFit="1" customWidth="1"/>
    <col min="11" max="11" width="9.5546875" bestFit="1" customWidth="1"/>
    <col min="14" max="14" width="34.88671875" bestFit="1" customWidth="1"/>
  </cols>
  <sheetData>
    <row r="1" spans="1:14" x14ac:dyDescent="0.3">
      <c r="A1" s="3" t="s">
        <v>0</v>
      </c>
      <c r="B1" s="3" t="s">
        <v>1</v>
      </c>
      <c r="C1" s="3" t="s">
        <v>2</v>
      </c>
      <c r="D1" s="3" t="s">
        <v>3</v>
      </c>
      <c r="E1" s="3" t="s">
        <v>4</v>
      </c>
      <c r="F1" s="3" t="s">
        <v>5</v>
      </c>
      <c r="G1" s="3" t="s">
        <v>7</v>
      </c>
      <c r="H1" s="3" t="s">
        <v>531</v>
      </c>
      <c r="I1" s="3" t="s">
        <v>606</v>
      </c>
      <c r="J1" s="3" t="s">
        <v>609</v>
      </c>
      <c r="K1" s="3" t="s">
        <v>612</v>
      </c>
      <c r="L1" s="3" t="s">
        <v>615</v>
      </c>
      <c r="M1" s="3" t="s">
        <v>616</v>
      </c>
      <c r="N1" s="3" t="s">
        <v>620</v>
      </c>
    </row>
    <row r="2" spans="1:14" x14ac:dyDescent="0.3">
      <c r="A2" t="s">
        <v>8</v>
      </c>
      <c r="B2" s="1">
        <v>45852.096203703702</v>
      </c>
      <c r="C2" t="s">
        <v>9</v>
      </c>
      <c r="D2" t="s">
        <v>10</v>
      </c>
      <c r="E2" t="s">
        <v>11</v>
      </c>
      <c r="F2" t="s">
        <v>12</v>
      </c>
      <c r="G2">
        <v>0.06</v>
      </c>
      <c r="H2" s="8">
        <f>SUMIFS(OrderLines[LineNetAmount],OrderLines[OrderID],Orders[[#This Row],[OrderID]])</f>
        <v>147.90900000000002</v>
      </c>
      <c r="I2" t="str">
        <f>IF(COUNTIFS(OrderLines[OrderID],Orders[[#This Row],[OrderID]],OrderLines[Category],"Beverage"),"yes","no")</f>
        <v>no</v>
      </c>
      <c r="J2" t="str">
        <f>IF(AND(COUNTIFS(OrderLines[OrderID],Orders[[#This Row],[OrderID]],OrderLines[Category],"Hot Meal"),Orders[[#This Row],[has beverage]]="yes"),"combo","single")</f>
        <v>single</v>
      </c>
      <c r="K2" s="8" t="str" cm="1">
        <f t="array" ref="K2">IF((SUMPRODUCT(OrderLines[UnitPrice],OrderLines[Qty],--(OrderLines[OrderID]=Orders[[#This Row],[OrderID]]))-Orders[[#This Row],[Revenue]])&gt;40,"high disc","ok")</f>
        <v>ok</v>
      </c>
      <c r="L2">
        <f>SUMIFS(OrderLines[Food Cost],OrderLines[OrderID],Orders[[#This Row],[OrderID]])</f>
        <v>77.400000000000006</v>
      </c>
      <c r="M2" s="8">
        <f>Orders[[#This Row],[Revenue]]-Orders[[#This Row],[total cost]]</f>
        <v>70.509000000000015</v>
      </c>
      <c r="N2" t="str" cm="1">
        <f t="array" ref="N2">_xlfn.TEXTJOIN("+",,_xlfn._xlws.SORT(_xlfn.UNIQUE(_xlfn._xlws.FILTER(OrderLines[Category],OrderLines[OrderID]=Orders[[#This Row],[OrderID]]))))</f>
        <v>Snack</v>
      </c>
    </row>
    <row r="3" spans="1:14" x14ac:dyDescent="0.3">
      <c r="A3" t="s">
        <v>14</v>
      </c>
      <c r="B3" s="1">
        <v>45862.842685185176</v>
      </c>
      <c r="C3" t="s">
        <v>15</v>
      </c>
      <c r="D3" t="s">
        <v>16</v>
      </c>
      <c r="E3" t="s">
        <v>17</v>
      </c>
      <c r="F3" t="s">
        <v>18</v>
      </c>
      <c r="G3">
        <v>0.05</v>
      </c>
      <c r="H3" s="8">
        <f>SUMIFS(OrderLines[LineNetAmount],OrderLines[OrderID],Orders[[#This Row],[OrderID]])</f>
        <v>101.54549999999999</v>
      </c>
      <c r="I3" t="str">
        <f>IF(COUNTIFS(OrderLines[OrderID],Orders[[#This Row],[OrderID]],OrderLines[Category],"Beverage"),"yes","no")</f>
        <v>yes</v>
      </c>
      <c r="J3" t="str">
        <f>IF(AND(COUNTIFS(OrderLines[OrderID],Orders[[#This Row],[OrderID]],OrderLines[Category],"Hot Meal"),Orders[[#This Row],[has beverage]]="yes"),"combo","single")</f>
        <v>single</v>
      </c>
      <c r="K3" s="8" t="str" cm="1">
        <f t="array" ref="K3">IF((SUMPRODUCT(OrderLines[UnitPrice],OrderLines[Qty],--(OrderLines[OrderID]=Orders[[#This Row],[OrderID]]))-Orders[[#This Row],[Revenue]])&gt;40,"high disc","ok")</f>
        <v>ok</v>
      </c>
      <c r="L3">
        <f>SUMIFS(OrderLines[Food Cost],OrderLines[OrderID],Orders[[#This Row],[OrderID]])</f>
        <v>52.41</v>
      </c>
      <c r="M3" s="8">
        <f>Orders[[#This Row],[Revenue]]-Orders[[#This Row],[total cost]]</f>
        <v>49.135499999999993</v>
      </c>
      <c r="N3" t="str" cm="1">
        <f t="array" ref="N3">_xlfn.TEXTJOIN("+",,_xlfn._xlws.SORT(_xlfn.UNIQUE(_xlfn._xlws.FILTER(OrderLines[Category],OrderLines[OrderID]=Orders[[#This Row],[OrderID]]))))</f>
        <v>Beverage+Dessert</v>
      </c>
    </row>
    <row r="4" spans="1:14" x14ac:dyDescent="0.3">
      <c r="A4" t="s">
        <v>20</v>
      </c>
      <c r="B4" s="1">
        <v>45848.661041666674</v>
      </c>
      <c r="C4" t="s">
        <v>9</v>
      </c>
      <c r="D4" t="s">
        <v>16</v>
      </c>
      <c r="E4" t="s">
        <v>21</v>
      </c>
      <c r="F4" t="s">
        <v>22</v>
      </c>
      <c r="G4">
        <v>0</v>
      </c>
      <c r="H4" s="8">
        <f>SUMIFS(OrderLines[LineNetAmount],OrderLines[OrderID],Orders[[#This Row],[OrderID]])</f>
        <v>668.96</v>
      </c>
      <c r="I4" t="str">
        <f>IF(COUNTIFS(OrderLines[OrderID],Orders[[#This Row],[OrderID]],OrderLines[Category],"Beverage"),"yes","no")</f>
        <v>yes</v>
      </c>
      <c r="J4" t="str">
        <f>IF(AND(COUNTIFS(OrderLines[OrderID],Orders[[#This Row],[OrderID]],OrderLines[Category],"Hot Meal"),Orders[[#This Row],[has beverage]]="yes"),"combo","single")</f>
        <v>combo</v>
      </c>
      <c r="K4" s="8" t="str" cm="1">
        <f t="array" ref="K4">IF((SUMPRODUCT(OrderLines[UnitPrice],OrderLines[Qty],--(OrderLines[OrderID]=Orders[[#This Row],[OrderID]]))-Orders[[#This Row],[Revenue]])&gt;40,"high disc","ok")</f>
        <v>ok</v>
      </c>
      <c r="L4">
        <f>SUMIFS(OrderLines[Food Cost],OrderLines[OrderID],Orders[[#This Row],[OrderID]])</f>
        <v>291.24</v>
      </c>
      <c r="M4" s="8">
        <f>Orders[[#This Row],[Revenue]]-Orders[[#This Row],[total cost]]</f>
        <v>377.72</v>
      </c>
      <c r="N4" t="str" cm="1">
        <f t="array" ref="N4">_xlfn.TEXTJOIN("+",,_xlfn._xlws.SORT(_xlfn.UNIQUE(_xlfn._xlws.FILTER(OrderLines[Category],OrderLines[OrderID]=Orders[[#This Row],[OrderID]]))))</f>
        <v>Beverage+Hot Meal+Snack</v>
      </c>
    </row>
    <row r="5" spans="1:14" x14ac:dyDescent="0.3">
      <c r="A5" t="s">
        <v>24</v>
      </c>
      <c r="B5" s="1">
        <v>45879.1640625</v>
      </c>
      <c r="C5" t="s">
        <v>15</v>
      </c>
      <c r="D5" t="s">
        <v>10</v>
      </c>
      <c r="E5" t="s">
        <v>17</v>
      </c>
      <c r="F5" t="s">
        <v>12</v>
      </c>
      <c r="G5">
        <v>0.03</v>
      </c>
      <c r="H5" s="8">
        <f>SUMIFS(OrderLines[LineNetAmount],OrderLines[OrderID],Orders[[#This Row],[OrderID]])</f>
        <v>477.41460000000001</v>
      </c>
      <c r="I5" t="str">
        <f>IF(COUNTIFS(OrderLines[OrderID],Orders[[#This Row],[OrderID]],OrderLines[Category],"Beverage"),"yes","no")</f>
        <v>no</v>
      </c>
      <c r="J5" t="str">
        <f>IF(AND(COUNTIFS(OrderLines[OrderID],Orders[[#This Row],[OrderID]],OrderLines[Category],"Hot Meal"),Orders[[#This Row],[has beverage]]="yes"),"combo","single")</f>
        <v>single</v>
      </c>
      <c r="K5" s="8" t="str" cm="1">
        <f t="array" ref="K5">IF((SUMPRODUCT(OrderLines[UnitPrice],OrderLines[Qty],--(OrderLines[OrderID]=Orders[[#This Row],[OrderID]]))-Orders[[#This Row],[Revenue]])&gt;40,"high disc","ok")</f>
        <v>ok</v>
      </c>
      <c r="L5">
        <f>SUMIFS(OrderLines[Food Cost],OrderLines[OrderID],Orders[[#This Row],[OrderID]])</f>
        <v>224.16</v>
      </c>
      <c r="M5" s="8">
        <f>Orders[[#This Row],[Revenue]]-Orders[[#This Row],[total cost]]</f>
        <v>253.25460000000001</v>
      </c>
      <c r="N5" t="str" cm="1">
        <f t="array" ref="N5">_xlfn.TEXTJOIN("+",,_xlfn._xlws.SORT(_xlfn.UNIQUE(_xlfn._xlws.FILTER(OrderLines[Category],OrderLines[OrderID]=Orders[[#This Row],[OrderID]]))))</f>
        <v>Hot Meal</v>
      </c>
    </row>
    <row r="6" spans="1:14" x14ac:dyDescent="0.3">
      <c r="A6" t="s">
        <v>25</v>
      </c>
      <c r="B6" s="1">
        <v>45845.134895833333</v>
      </c>
      <c r="C6" t="s">
        <v>15</v>
      </c>
      <c r="D6" t="s">
        <v>10</v>
      </c>
      <c r="E6" t="s">
        <v>21</v>
      </c>
      <c r="F6" t="s">
        <v>12</v>
      </c>
      <c r="G6">
        <v>0.04</v>
      </c>
      <c r="H6" s="8">
        <f>SUMIFS(OrderLines[LineNetAmount],OrderLines[OrderID],Orders[[#This Row],[OrderID]])</f>
        <v>95.011200000000002</v>
      </c>
      <c r="I6" t="str">
        <f>IF(COUNTIFS(OrderLines[OrderID],Orders[[#This Row],[OrderID]],OrderLines[Category],"Beverage"),"yes","no")</f>
        <v>yes</v>
      </c>
      <c r="J6" t="str">
        <f>IF(AND(COUNTIFS(OrderLines[OrderID],Orders[[#This Row],[OrderID]],OrderLines[Category],"Hot Meal"),Orders[[#This Row],[has beverage]]="yes"),"combo","single")</f>
        <v>single</v>
      </c>
      <c r="K6" s="8" t="str" cm="1">
        <f t="array" ref="K6">IF((SUMPRODUCT(OrderLines[UnitPrice],OrderLines[Qty],--(OrderLines[OrderID]=Orders[[#This Row],[OrderID]]))-Orders[[#This Row],[Revenue]])&gt;40,"high disc","ok")</f>
        <v>ok</v>
      </c>
      <c r="L6">
        <f>SUMIFS(OrderLines[Food Cost],OrderLines[OrderID],Orders[[#This Row],[OrderID]])</f>
        <v>49.7</v>
      </c>
      <c r="M6" s="8">
        <f>Orders[[#This Row],[Revenue]]-Orders[[#This Row],[total cost]]</f>
        <v>45.311199999999999</v>
      </c>
      <c r="N6" t="str" cm="1">
        <f t="array" ref="N6">_xlfn.TEXTJOIN("+",,_xlfn._xlws.SORT(_xlfn.UNIQUE(_xlfn._xlws.FILTER(OrderLines[Category],OrderLines[OrderID]=Orders[[#This Row],[OrderID]]))))</f>
        <v>Beverage+Snack</v>
      </c>
    </row>
    <row r="7" spans="1:14" x14ac:dyDescent="0.3">
      <c r="A7" t="s">
        <v>26</v>
      </c>
      <c r="B7" s="1">
        <v>45863.392129629632</v>
      </c>
      <c r="C7" t="s">
        <v>27</v>
      </c>
      <c r="D7" t="s">
        <v>28</v>
      </c>
      <c r="E7" t="s">
        <v>11</v>
      </c>
      <c r="F7" t="s">
        <v>12</v>
      </c>
      <c r="G7">
        <v>0.1</v>
      </c>
      <c r="H7" s="8">
        <f>SUMIFS(OrderLines[LineNetAmount],OrderLines[OrderID],Orders[[#This Row],[OrderID]])</f>
        <v>54.296999999999997</v>
      </c>
      <c r="I7" t="str">
        <f>IF(COUNTIFS(OrderLines[OrderID],Orders[[#This Row],[OrderID]],OrderLines[Category],"Beverage"),"yes","no")</f>
        <v>yes</v>
      </c>
      <c r="J7" t="str">
        <f>IF(AND(COUNTIFS(OrderLines[OrderID],Orders[[#This Row],[OrderID]],OrderLines[Category],"Hot Meal"),Orders[[#This Row],[has beverage]]="yes"),"combo","single")</f>
        <v>single</v>
      </c>
      <c r="K7" s="8" t="str" cm="1">
        <f t="array" ref="K7">IF((SUMPRODUCT(OrderLines[UnitPrice],OrderLines[Qty],--(OrderLines[OrderID]=Orders[[#This Row],[OrderID]]))-Orders[[#This Row],[Revenue]])&gt;40,"high disc","ok")</f>
        <v>ok</v>
      </c>
      <c r="L7">
        <f>SUMIFS(OrderLines[Food Cost],OrderLines[OrderID],Orders[[#This Row],[OrderID]])</f>
        <v>24</v>
      </c>
      <c r="M7" s="8">
        <f>Orders[[#This Row],[Revenue]]-Orders[[#This Row],[total cost]]</f>
        <v>30.296999999999997</v>
      </c>
      <c r="N7" t="str" cm="1">
        <f t="array" ref="N7">_xlfn.TEXTJOIN("+",,_xlfn._xlws.SORT(_xlfn.UNIQUE(_xlfn._xlws.FILTER(OrderLines[Category],OrderLines[OrderID]=Orders[[#This Row],[OrderID]]))))</f>
        <v>Beverage</v>
      </c>
    </row>
    <row r="8" spans="1:14" x14ac:dyDescent="0.3">
      <c r="A8" t="s">
        <v>30</v>
      </c>
      <c r="B8" s="1">
        <v>45852.860347222217</v>
      </c>
      <c r="C8" t="s">
        <v>15</v>
      </c>
      <c r="D8" t="s">
        <v>28</v>
      </c>
      <c r="E8" t="s">
        <v>21</v>
      </c>
      <c r="F8" t="s">
        <v>18</v>
      </c>
      <c r="G8">
        <v>7.0000000000000007E-2</v>
      </c>
      <c r="H8" s="8">
        <f>SUMIFS(OrderLines[LineNetAmount],OrderLines[OrderID],Orders[[#This Row],[OrderID]])</f>
        <v>348.41520000000003</v>
      </c>
      <c r="I8" t="str">
        <f>IF(COUNTIFS(OrderLines[OrderID],Orders[[#This Row],[OrderID]],OrderLines[Category],"Beverage"),"yes","no")</f>
        <v>yes</v>
      </c>
      <c r="J8" t="str">
        <f>IF(AND(COUNTIFS(OrderLines[OrderID],Orders[[#This Row],[OrderID]],OrderLines[Category],"Hot Meal"),Orders[[#This Row],[has beverage]]="yes"),"combo","single")</f>
        <v>combo</v>
      </c>
      <c r="K8" s="8" t="str" cm="1">
        <f t="array" ref="K8">IF((SUMPRODUCT(OrderLines[UnitPrice],OrderLines[Qty],--(OrderLines[OrderID]=Orders[[#This Row],[OrderID]]))-Orders[[#This Row],[Revenue]])&gt;40,"high disc","ok")</f>
        <v>ok</v>
      </c>
      <c r="L8">
        <f>SUMIFS(OrderLines[Food Cost],OrderLines[OrderID],Orders[[#This Row],[OrderID]])</f>
        <v>159.97999999999999</v>
      </c>
      <c r="M8" s="8">
        <f>Orders[[#This Row],[Revenue]]-Orders[[#This Row],[total cost]]</f>
        <v>188.43520000000004</v>
      </c>
      <c r="N8" t="str" cm="1">
        <f t="array" ref="N8">_xlfn.TEXTJOIN("+",,_xlfn._xlws.SORT(_xlfn.UNIQUE(_xlfn._xlws.FILTER(OrderLines[Category],OrderLines[OrderID]=Orders[[#This Row],[OrderID]]))))</f>
        <v>Beverage+Hot Meal</v>
      </c>
    </row>
    <row r="9" spans="1:14" x14ac:dyDescent="0.3">
      <c r="A9" t="s">
        <v>31</v>
      </c>
      <c r="B9" s="1">
        <v>45863.503796296303</v>
      </c>
      <c r="C9" t="s">
        <v>27</v>
      </c>
      <c r="D9" t="s">
        <v>16</v>
      </c>
      <c r="E9" t="s">
        <v>11</v>
      </c>
      <c r="F9" t="s">
        <v>22</v>
      </c>
      <c r="G9">
        <v>0</v>
      </c>
      <c r="H9" s="8">
        <f>SUMIFS(OrderLines[LineNetAmount],OrderLines[OrderID],Orders[[#This Row],[OrderID]])</f>
        <v>223.75</v>
      </c>
      <c r="I9" t="str">
        <f>IF(COUNTIFS(OrderLines[OrderID],Orders[[#This Row],[OrderID]],OrderLines[Category],"Beverage"),"yes","no")</f>
        <v>yes</v>
      </c>
      <c r="J9" t="str">
        <f>IF(AND(COUNTIFS(OrderLines[OrderID],Orders[[#This Row],[OrderID]],OrderLines[Category],"Hot Meal"),Orders[[#This Row],[has beverage]]="yes"),"combo","single")</f>
        <v>single</v>
      </c>
      <c r="K9" s="8" t="str" cm="1">
        <f t="array" ref="K9">IF((SUMPRODUCT(OrderLines[UnitPrice],OrderLines[Qty],--(OrderLines[OrderID]=Orders[[#This Row],[OrderID]]))-Orders[[#This Row],[Revenue]])&gt;40,"high disc","ok")</f>
        <v>ok</v>
      </c>
      <c r="L9">
        <f>SUMIFS(OrderLines[Food Cost],OrderLines[OrderID],Orders[[#This Row],[OrderID]])</f>
        <v>110.97999999999999</v>
      </c>
      <c r="M9" s="8">
        <f>Orders[[#This Row],[Revenue]]-Orders[[#This Row],[total cost]]</f>
        <v>112.77000000000001</v>
      </c>
      <c r="N9" t="str" cm="1">
        <f t="array" ref="N9">_xlfn.TEXTJOIN("+",,_xlfn._xlws.SORT(_xlfn.UNIQUE(_xlfn._xlws.FILTER(OrderLines[Category],OrderLines[OrderID]=Orders[[#This Row],[OrderID]]))))</f>
        <v>Beverage+Dessert</v>
      </c>
    </row>
    <row r="10" spans="1:14" x14ac:dyDescent="0.3">
      <c r="A10" t="s">
        <v>32</v>
      </c>
      <c r="B10" s="1">
        <v>45844.161631944437</v>
      </c>
      <c r="C10" t="s">
        <v>9</v>
      </c>
      <c r="D10" t="s">
        <v>10</v>
      </c>
      <c r="E10" t="s">
        <v>17</v>
      </c>
      <c r="F10" t="s">
        <v>12</v>
      </c>
      <c r="G10">
        <v>7.0000000000000007E-2</v>
      </c>
      <c r="H10" s="8">
        <f>SUMIFS(OrderLines[LineNetAmount],OrderLines[OrderID],Orders[[#This Row],[OrderID]])</f>
        <v>459.28980000000001</v>
      </c>
      <c r="I10" t="str">
        <f>IF(COUNTIFS(OrderLines[OrderID],Orders[[#This Row],[OrderID]],OrderLines[Category],"Beverage"),"yes","no")</f>
        <v>no</v>
      </c>
      <c r="J10" t="str">
        <f>IF(AND(COUNTIFS(OrderLines[OrderID],Orders[[#This Row],[OrderID]],OrderLines[Category],"Hot Meal"),Orders[[#This Row],[has beverage]]="yes"),"combo","single")</f>
        <v>single</v>
      </c>
      <c r="K10" s="8" t="str" cm="1">
        <f t="array" ref="K10">IF((SUMPRODUCT(OrderLines[UnitPrice],OrderLines[Qty],--(OrderLines[OrderID]=Orders[[#This Row],[OrderID]]))-Orders[[#This Row],[Revenue]])&gt;40,"high disc","ok")</f>
        <v>ok</v>
      </c>
      <c r="L10">
        <f>SUMIFS(OrderLines[Food Cost],OrderLines[OrderID],Orders[[#This Row],[OrderID]])</f>
        <v>225.97</v>
      </c>
      <c r="M10" s="8">
        <f>Orders[[#This Row],[Revenue]]-Orders[[#This Row],[total cost]]</f>
        <v>233.31980000000001</v>
      </c>
      <c r="N10" t="str" cm="1">
        <f t="array" ref="N10">_xlfn.TEXTJOIN("+",,_xlfn._xlws.SORT(_xlfn.UNIQUE(_xlfn._xlws.FILTER(OrderLines[Category],OrderLines[OrderID]=Orders[[#This Row],[OrderID]]))))</f>
        <v>Dessert+Hot Meal+Snack</v>
      </c>
    </row>
    <row r="11" spans="1:14" x14ac:dyDescent="0.3">
      <c r="A11" t="s">
        <v>34</v>
      </c>
      <c r="B11" s="1">
        <v>45862.200162037043</v>
      </c>
      <c r="C11" t="s">
        <v>27</v>
      </c>
      <c r="D11" t="s">
        <v>16</v>
      </c>
      <c r="E11" t="s">
        <v>21</v>
      </c>
      <c r="F11" t="s">
        <v>12</v>
      </c>
      <c r="G11">
        <v>0.04</v>
      </c>
      <c r="H11" s="8">
        <f>SUMIFS(OrderLines[LineNetAmount],OrderLines[OrderID],Orders[[#This Row],[OrderID]])</f>
        <v>420.07679999999999</v>
      </c>
      <c r="I11" t="str">
        <f>IF(COUNTIFS(OrderLines[OrderID],Orders[[#This Row],[OrderID]],OrderLines[Category],"Beverage"),"yes","no")</f>
        <v>yes</v>
      </c>
      <c r="J11" t="str">
        <f>IF(AND(COUNTIFS(OrderLines[OrderID],Orders[[#This Row],[OrderID]],OrderLines[Category],"Hot Meal"),Orders[[#This Row],[has beverage]]="yes"),"combo","single")</f>
        <v>combo</v>
      </c>
      <c r="K11" s="8" t="str" cm="1">
        <f t="array" ref="K11">IF((SUMPRODUCT(OrderLines[UnitPrice],OrderLines[Qty],--(OrderLines[OrderID]=Orders[[#This Row],[OrderID]]))-Orders[[#This Row],[Revenue]])&gt;40,"high disc","ok")</f>
        <v>ok</v>
      </c>
      <c r="L11">
        <f>SUMIFS(OrderLines[Food Cost],OrderLines[OrderID],Orders[[#This Row],[OrderID]])</f>
        <v>204.88</v>
      </c>
      <c r="M11" s="8">
        <f>Orders[[#This Row],[Revenue]]-Orders[[#This Row],[total cost]]</f>
        <v>215.1968</v>
      </c>
      <c r="N11" t="str" cm="1">
        <f t="array" ref="N11">_xlfn.TEXTJOIN("+",,_xlfn._xlws.SORT(_xlfn.UNIQUE(_xlfn._xlws.FILTER(OrderLines[Category],OrderLines[OrderID]=Orders[[#This Row],[OrderID]]))))</f>
        <v>Beverage+Dessert+Hot Meal+Snack</v>
      </c>
    </row>
    <row r="12" spans="1:14" x14ac:dyDescent="0.3">
      <c r="A12" t="s">
        <v>35</v>
      </c>
      <c r="B12" s="1">
        <v>45860.002800925933</v>
      </c>
      <c r="C12" t="s">
        <v>15</v>
      </c>
      <c r="D12" t="s">
        <v>28</v>
      </c>
      <c r="E12" t="s">
        <v>17</v>
      </c>
      <c r="F12" t="s">
        <v>12</v>
      </c>
      <c r="G12">
        <v>0.03</v>
      </c>
      <c r="H12" s="8">
        <f>SUMIFS(OrderLines[LineNetAmount],OrderLines[OrderID],Orders[[#This Row],[OrderID]])</f>
        <v>27.577099999999998</v>
      </c>
      <c r="I12" t="str">
        <f>IF(COUNTIFS(OrderLines[OrderID],Orders[[#This Row],[OrderID]],OrderLines[Category],"Beverage"),"yes","no")</f>
        <v>yes</v>
      </c>
      <c r="J12" t="str">
        <f>IF(AND(COUNTIFS(OrderLines[OrderID],Orders[[#This Row],[OrderID]],OrderLines[Category],"Hot Meal"),Orders[[#This Row],[has beverage]]="yes"),"combo","single")</f>
        <v>single</v>
      </c>
      <c r="K12" s="8" t="str" cm="1">
        <f t="array" ref="K12">IF((SUMPRODUCT(OrderLines[UnitPrice],OrderLines[Qty],--(OrderLines[OrderID]=Orders[[#This Row],[OrderID]]))-Orders[[#This Row],[Revenue]])&gt;40,"high disc","ok")</f>
        <v>ok</v>
      </c>
      <c r="L12">
        <f>SUMIFS(OrderLines[Food Cost],OrderLines[OrderID],Orders[[#This Row],[OrderID]])</f>
        <v>13.89</v>
      </c>
      <c r="M12" s="8">
        <f>Orders[[#This Row],[Revenue]]-Orders[[#This Row],[total cost]]</f>
        <v>13.687099999999997</v>
      </c>
      <c r="N12" t="str" cm="1">
        <f t="array" ref="N12">_xlfn.TEXTJOIN("+",,_xlfn._xlws.SORT(_xlfn.UNIQUE(_xlfn._xlws.FILTER(OrderLines[Category],OrderLines[OrderID]=Orders[[#This Row],[OrderID]]))))</f>
        <v>Beverage</v>
      </c>
    </row>
    <row r="13" spans="1:14" x14ac:dyDescent="0.3">
      <c r="A13" t="s">
        <v>37</v>
      </c>
      <c r="B13" s="1">
        <v>45839.45925925926</v>
      </c>
      <c r="C13" t="s">
        <v>15</v>
      </c>
      <c r="D13" t="s">
        <v>16</v>
      </c>
      <c r="E13" t="s">
        <v>21</v>
      </c>
      <c r="F13" t="s">
        <v>22</v>
      </c>
      <c r="G13">
        <v>0.08</v>
      </c>
      <c r="H13" s="8">
        <f>SUMIFS(OrderLines[LineNetAmount],OrderLines[OrderID],Orders[[#This Row],[OrderID]])</f>
        <v>98.118000000000009</v>
      </c>
      <c r="I13" t="str">
        <f>IF(COUNTIFS(OrderLines[OrderID],Orders[[#This Row],[OrderID]],OrderLines[Category],"Beverage"),"yes","no")</f>
        <v>no</v>
      </c>
      <c r="J13" t="str">
        <f>IF(AND(COUNTIFS(OrderLines[OrderID],Orders[[#This Row],[OrderID]],OrderLines[Category],"Hot Meal"),Orders[[#This Row],[has beverage]]="yes"),"combo","single")</f>
        <v>single</v>
      </c>
      <c r="K13" s="8" t="str" cm="1">
        <f t="array" ref="K13">IF((SUMPRODUCT(OrderLines[UnitPrice],OrderLines[Qty],--(OrderLines[OrderID]=Orders[[#This Row],[OrderID]]))-Orders[[#This Row],[Revenue]])&gt;40,"high disc","ok")</f>
        <v>ok</v>
      </c>
      <c r="L13">
        <f>SUMIFS(OrderLines[Food Cost],OrderLines[OrderID],Orders[[#This Row],[OrderID]])</f>
        <v>47.75</v>
      </c>
      <c r="M13" s="8">
        <f>Orders[[#This Row],[Revenue]]-Orders[[#This Row],[total cost]]</f>
        <v>50.368000000000009</v>
      </c>
      <c r="N13" t="str" cm="1">
        <f t="array" ref="N13">_xlfn.TEXTJOIN("+",,_xlfn._xlws.SORT(_xlfn.UNIQUE(_xlfn._xlws.FILTER(OrderLines[Category],OrderLines[OrderID]=Orders[[#This Row],[OrderID]]))))</f>
        <v>Dessert+Snack</v>
      </c>
    </row>
    <row r="14" spans="1:14" x14ac:dyDescent="0.3">
      <c r="A14" t="s">
        <v>39</v>
      </c>
      <c r="B14" s="1">
        <v>45880.31994212963</v>
      </c>
      <c r="C14" t="s">
        <v>9</v>
      </c>
      <c r="D14" t="s">
        <v>10</v>
      </c>
      <c r="E14" t="s">
        <v>11</v>
      </c>
      <c r="F14" t="s">
        <v>12</v>
      </c>
      <c r="G14">
        <v>0.1</v>
      </c>
      <c r="H14" s="8">
        <f>SUMIFS(OrderLines[LineNetAmount],OrderLines[OrderID],Orders[[#This Row],[OrderID]])</f>
        <v>807.87599999999998</v>
      </c>
      <c r="I14" t="str">
        <f>IF(COUNTIFS(OrderLines[OrderID],Orders[[#This Row],[OrderID]],OrderLines[Category],"Beverage"),"yes","no")</f>
        <v>yes</v>
      </c>
      <c r="J14" t="str">
        <f>IF(AND(COUNTIFS(OrderLines[OrderID],Orders[[#This Row],[OrderID]],OrderLines[Category],"Hot Meal"),Orders[[#This Row],[has beverage]]="yes"),"combo","single")</f>
        <v>combo</v>
      </c>
      <c r="K14" s="8" t="str" cm="1">
        <f t="array" ref="K14">IF((SUMPRODUCT(OrderLines[UnitPrice],OrderLines[Qty],--(OrderLines[OrderID]=Orders[[#This Row],[OrderID]]))-Orders[[#This Row],[Revenue]])&gt;40,"high disc","ok")</f>
        <v>high disc</v>
      </c>
      <c r="L14">
        <f>SUMIFS(OrderLines[Food Cost],OrderLines[OrderID],Orders[[#This Row],[OrderID]])</f>
        <v>411.20000000000005</v>
      </c>
      <c r="M14" s="8">
        <f>Orders[[#This Row],[Revenue]]-Orders[[#This Row],[total cost]]</f>
        <v>396.67599999999993</v>
      </c>
      <c r="N14" t="str" cm="1">
        <f t="array" ref="N14">_xlfn.TEXTJOIN("+",,_xlfn._xlws.SORT(_xlfn.UNIQUE(_xlfn._xlws.FILTER(OrderLines[Category],OrderLines[OrderID]=Orders[[#This Row],[OrderID]]))))</f>
        <v>Beverage+Dessert+Hot Meal</v>
      </c>
    </row>
    <row r="15" spans="1:14" x14ac:dyDescent="0.3">
      <c r="A15" t="s">
        <v>40</v>
      </c>
      <c r="B15" s="1">
        <v>45854.279270833344</v>
      </c>
      <c r="C15" t="s">
        <v>27</v>
      </c>
      <c r="D15" t="s">
        <v>16</v>
      </c>
      <c r="E15" t="s">
        <v>17</v>
      </c>
      <c r="F15" t="s">
        <v>12</v>
      </c>
      <c r="G15">
        <v>0.1</v>
      </c>
      <c r="H15" s="8">
        <f>SUMIFS(OrderLines[LineNetAmount],OrderLines[OrderID],Orders[[#This Row],[OrderID]])</f>
        <v>181.47599999999997</v>
      </c>
      <c r="I15" t="str">
        <f>IF(COUNTIFS(OrderLines[OrderID],Orders[[#This Row],[OrderID]],OrderLines[Category],"Beverage"),"yes","no")</f>
        <v>yes</v>
      </c>
      <c r="J15" t="str">
        <f>IF(AND(COUNTIFS(OrderLines[OrderID],Orders[[#This Row],[OrderID]],OrderLines[Category],"Hot Meal"),Orders[[#This Row],[has beverage]]="yes"),"combo","single")</f>
        <v>single</v>
      </c>
      <c r="K15" s="8" t="str" cm="1">
        <f t="array" ref="K15">IF((SUMPRODUCT(OrderLines[UnitPrice],OrderLines[Qty],--(OrderLines[OrderID]=Orders[[#This Row],[OrderID]]))-Orders[[#This Row],[Revenue]])&gt;40,"high disc","ok")</f>
        <v>ok</v>
      </c>
      <c r="L15">
        <f>SUMIFS(OrderLines[Food Cost],OrderLines[OrderID],Orders[[#This Row],[OrderID]])</f>
        <v>98.35</v>
      </c>
      <c r="M15" s="8">
        <f>Orders[[#This Row],[Revenue]]-Orders[[#This Row],[total cost]]</f>
        <v>83.125999999999976</v>
      </c>
      <c r="N15" t="str" cm="1">
        <f t="array" ref="N15">_xlfn.TEXTJOIN("+",,_xlfn._xlws.SORT(_xlfn.UNIQUE(_xlfn._xlws.FILTER(OrderLines[Category],OrderLines[OrderID]=Orders[[#This Row],[OrderID]]))))</f>
        <v>Beverage+Dessert</v>
      </c>
    </row>
    <row r="16" spans="1:14" x14ac:dyDescent="0.3">
      <c r="A16" t="s">
        <v>42</v>
      </c>
      <c r="B16" s="1">
        <v>45895.482824074083</v>
      </c>
      <c r="C16" t="s">
        <v>9</v>
      </c>
      <c r="D16" t="s">
        <v>10</v>
      </c>
      <c r="E16" t="s">
        <v>17</v>
      </c>
      <c r="F16" t="s">
        <v>22</v>
      </c>
      <c r="G16">
        <v>0.03</v>
      </c>
      <c r="H16" s="8">
        <f>SUMIFS(OrderLines[LineNetAmount],OrderLines[OrderID],Orders[[#This Row],[OrderID]])</f>
        <v>410.18389999999999</v>
      </c>
      <c r="I16" t="str">
        <f>IF(COUNTIFS(OrderLines[OrderID],Orders[[#This Row],[OrderID]],OrderLines[Category],"Beverage"),"yes","no")</f>
        <v>yes</v>
      </c>
      <c r="J16" t="str">
        <f>IF(AND(COUNTIFS(OrderLines[OrderID],Orders[[#This Row],[OrderID]],OrderLines[Category],"Hot Meal"),Orders[[#This Row],[has beverage]]="yes"),"combo","single")</f>
        <v>combo</v>
      </c>
      <c r="K16" s="8" t="str" cm="1">
        <f t="array" ref="K16">IF((SUMPRODUCT(OrderLines[UnitPrice],OrderLines[Qty],--(OrderLines[OrderID]=Orders[[#This Row],[OrderID]]))-Orders[[#This Row],[Revenue]])&gt;40,"high disc","ok")</f>
        <v>ok</v>
      </c>
      <c r="L16">
        <f>SUMIFS(OrderLines[Food Cost],OrderLines[OrderID],Orders[[#This Row],[OrderID]])</f>
        <v>186.04999999999998</v>
      </c>
      <c r="M16" s="8">
        <f>Orders[[#This Row],[Revenue]]-Orders[[#This Row],[total cost]]</f>
        <v>224.13390000000001</v>
      </c>
      <c r="N16" t="str" cm="1">
        <f t="array" ref="N16">_xlfn.TEXTJOIN("+",,_xlfn._xlws.SORT(_xlfn.UNIQUE(_xlfn._xlws.FILTER(OrderLines[Category],OrderLines[OrderID]=Orders[[#This Row],[OrderID]]))))</f>
        <v>Beverage+Dessert+Hot Meal</v>
      </c>
    </row>
    <row r="17" spans="1:14" x14ac:dyDescent="0.3">
      <c r="A17" t="s">
        <v>44</v>
      </c>
      <c r="B17" s="1">
        <v>45844.800196759257</v>
      </c>
      <c r="C17" t="s">
        <v>27</v>
      </c>
      <c r="D17" t="s">
        <v>10</v>
      </c>
      <c r="E17" t="s">
        <v>21</v>
      </c>
      <c r="F17" t="s">
        <v>18</v>
      </c>
      <c r="G17">
        <v>0.05</v>
      </c>
      <c r="H17" s="8">
        <f>SUMIFS(OrderLines[LineNetAmount],OrderLines[OrderID],Orders[[#This Row],[OrderID]])</f>
        <v>486.94150000000002</v>
      </c>
      <c r="I17" t="str">
        <f>IF(COUNTIFS(OrderLines[OrderID],Orders[[#This Row],[OrderID]],OrderLines[Category],"Beverage"),"yes","no")</f>
        <v>no</v>
      </c>
      <c r="J17" t="str">
        <f>IF(AND(COUNTIFS(OrderLines[OrderID],Orders[[#This Row],[OrderID]],OrderLines[Category],"Hot Meal"),Orders[[#This Row],[has beverage]]="yes"),"combo","single")</f>
        <v>single</v>
      </c>
      <c r="K17" s="8" t="str" cm="1">
        <f t="array" ref="K17">IF((SUMPRODUCT(OrderLines[UnitPrice],OrderLines[Qty],--(OrderLines[OrderID]=Orders[[#This Row],[OrderID]]))-Orders[[#This Row],[Revenue]])&gt;40,"high disc","ok")</f>
        <v>ok</v>
      </c>
      <c r="L17">
        <f>SUMIFS(OrderLines[Food Cost],OrderLines[OrderID],Orders[[#This Row],[OrderID]])</f>
        <v>238.57000000000002</v>
      </c>
      <c r="M17" s="8">
        <f>Orders[[#This Row],[Revenue]]-Orders[[#This Row],[total cost]]</f>
        <v>248.3715</v>
      </c>
      <c r="N17" t="str" cm="1">
        <f t="array" ref="N17">_xlfn.TEXTJOIN("+",,_xlfn._xlws.SORT(_xlfn.UNIQUE(_xlfn._xlws.FILTER(OrderLines[Category],OrderLines[OrderID]=Orders[[#This Row],[OrderID]]))))</f>
        <v>Dessert+Hot Meal+Snack</v>
      </c>
    </row>
    <row r="18" spans="1:14" x14ac:dyDescent="0.3">
      <c r="A18" t="s">
        <v>46</v>
      </c>
      <c r="B18" s="1">
        <v>45890.81722222222</v>
      </c>
      <c r="C18" t="s">
        <v>27</v>
      </c>
      <c r="D18" t="s">
        <v>28</v>
      </c>
      <c r="E18" t="s">
        <v>11</v>
      </c>
      <c r="F18" t="s">
        <v>18</v>
      </c>
      <c r="G18">
        <v>7.0000000000000007E-2</v>
      </c>
      <c r="H18" s="8">
        <f>SUMIFS(OrderLines[LineNetAmount],OrderLines[OrderID],Orders[[#This Row],[OrderID]])</f>
        <v>30.671399999999995</v>
      </c>
      <c r="I18" t="str">
        <f>IF(COUNTIFS(OrderLines[OrderID],Orders[[#This Row],[OrderID]],OrderLines[Category],"Beverage"),"yes","no")</f>
        <v>yes</v>
      </c>
      <c r="J18" t="str">
        <f>IF(AND(COUNTIFS(OrderLines[OrderID],Orders[[#This Row],[OrderID]],OrderLines[Category],"Hot Meal"),Orders[[#This Row],[has beverage]]="yes"),"combo","single")</f>
        <v>single</v>
      </c>
      <c r="K18" s="8" t="str" cm="1">
        <f t="array" ref="K18">IF((SUMPRODUCT(OrderLines[UnitPrice],OrderLines[Qty],--(OrderLines[OrderID]=Orders[[#This Row],[OrderID]]))-Orders[[#This Row],[Revenue]])&gt;40,"high disc","ok")</f>
        <v>ok</v>
      </c>
      <c r="L18">
        <f>SUMIFS(OrderLines[Food Cost],OrderLines[OrderID],Orders[[#This Row],[OrderID]])</f>
        <v>11.84</v>
      </c>
      <c r="M18" s="8">
        <f>Orders[[#This Row],[Revenue]]-Orders[[#This Row],[total cost]]</f>
        <v>18.831399999999995</v>
      </c>
      <c r="N18" t="str" cm="1">
        <f t="array" ref="N18">_xlfn.TEXTJOIN("+",,_xlfn._xlws.SORT(_xlfn.UNIQUE(_xlfn._xlws.FILTER(OrderLines[Category],OrderLines[OrderID]=Orders[[#This Row],[OrderID]]))))</f>
        <v>Beverage</v>
      </c>
    </row>
    <row r="19" spans="1:14" x14ac:dyDescent="0.3">
      <c r="A19" t="s">
        <v>47</v>
      </c>
      <c r="B19" s="1">
        <v>45857.291805555556</v>
      </c>
      <c r="C19" t="s">
        <v>27</v>
      </c>
      <c r="D19" t="s">
        <v>10</v>
      </c>
      <c r="E19" t="s">
        <v>17</v>
      </c>
      <c r="F19" t="s">
        <v>12</v>
      </c>
      <c r="G19">
        <v>0.1</v>
      </c>
      <c r="H19" s="8">
        <f>SUMIFS(OrderLines[LineNetAmount],OrderLines[OrderID],Orders[[#This Row],[OrderID]])</f>
        <v>164.48400000000001</v>
      </c>
      <c r="I19" t="str">
        <f>IF(COUNTIFS(OrderLines[OrderID],Orders[[#This Row],[OrderID]],OrderLines[Category],"Beverage"),"yes","no")</f>
        <v>yes</v>
      </c>
      <c r="J19" t="str">
        <f>IF(AND(COUNTIFS(OrderLines[OrderID],Orders[[#This Row],[OrderID]],OrderLines[Category],"Hot Meal"),Orders[[#This Row],[has beverage]]="yes"),"combo","single")</f>
        <v>single</v>
      </c>
      <c r="K19" s="8" t="str" cm="1">
        <f t="array" ref="K19">IF((SUMPRODUCT(OrderLines[UnitPrice],OrderLines[Qty],--(OrderLines[OrderID]=Orders[[#This Row],[OrderID]]))-Orders[[#This Row],[Revenue]])&gt;40,"high disc","ok")</f>
        <v>ok</v>
      </c>
      <c r="L19">
        <f>SUMIFS(OrderLines[Food Cost],OrderLines[OrderID],Orders[[#This Row],[OrderID]])</f>
        <v>72.650000000000006</v>
      </c>
      <c r="M19" s="8">
        <f>Orders[[#This Row],[Revenue]]-Orders[[#This Row],[total cost]]</f>
        <v>91.834000000000003</v>
      </c>
      <c r="N19" t="str" cm="1">
        <f t="array" ref="N19">_xlfn.TEXTJOIN("+",,_xlfn._xlws.SORT(_xlfn.UNIQUE(_xlfn._xlws.FILTER(OrderLines[Category],OrderLines[OrderID]=Orders[[#This Row],[OrderID]]))))</f>
        <v>Beverage+Dessert</v>
      </c>
    </row>
    <row r="20" spans="1:14" x14ac:dyDescent="0.3">
      <c r="A20" t="s">
        <v>49</v>
      </c>
      <c r="B20" s="1">
        <v>45878.452708333331</v>
      </c>
      <c r="C20" t="s">
        <v>27</v>
      </c>
      <c r="D20" t="s">
        <v>10</v>
      </c>
      <c r="E20" t="s">
        <v>17</v>
      </c>
      <c r="F20" t="s">
        <v>12</v>
      </c>
      <c r="G20">
        <v>0.04</v>
      </c>
      <c r="H20" s="8">
        <f>SUMIFS(OrderLines[LineNetAmount],OrderLines[OrderID],Orders[[#This Row],[OrderID]])</f>
        <v>701.52960000000007</v>
      </c>
      <c r="I20" t="str">
        <f>IF(COUNTIFS(OrderLines[OrderID],Orders[[#This Row],[OrderID]],OrderLines[Category],"Beverage"),"yes","no")</f>
        <v>no</v>
      </c>
      <c r="J20" t="str">
        <f>IF(AND(COUNTIFS(OrderLines[OrderID],Orders[[#This Row],[OrderID]],OrderLines[Category],"Hot Meal"),Orders[[#This Row],[has beverage]]="yes"),"combo","single")</f>
        <v>single</v>
      </c>
      <c r="K20" s="8" t="str" cm="1">
        <f t="array" ref="K20">IF((SUMPRODUCT(OrderLines[UnitPrice],OrderLines[Qty],--(OrderLines[OrderID]=Orders[[#This Row],[OrderID]]))-Orders[[#This Row],[Revenue]])&gt;40,"high disc","ok")</f>
        <v>ok</v>
      </c>
      <c r="L20">
        <f>SUMIFS(OrderLines[Food Cost],OrderLines[OrderID],Orders[[#This Row],[OrderID]])</f>
        <v>359.21</v>
      </c>
      <c r="M20" s="8">
        <f>Orders[[#This Row],[Revenue]]-Orders[[#This Row],[total cost]]</f>
        <v>342.31960000000009</v>
      </c>
      <c r="N20" t="str" cm="1">
        <f t="array" ref="N20">_xlfn.TEXTJOIN("+",,_xlfn._xlws.SORT(_xlfn.UNIQUE(_xlfn._xlws.FILTER(OrderLines[Category],OrderLines[OrderID]=Orders[[#This Row],[OrderID]]))))</f>
        <v>Hot Meal+Snack</v>
      </c>
    </row>
    <row r="21" spans="1:14" x14ac:dyDescent="0.3">
      <c r="A21" t="s">
        <v>50</v>
      </c>
      <c r="B21" s="1">
        <v>45847.209791666668</v>
      </c>
      <c r="C21" t="s">
        <v>15</v>
      </c>
      <c r="D21" t="s">
        <v>10</v>
      </c>
      <c r="E21" t="s">
        <v>11</v>
      </c>
      <c r="F21" t="s">
        <v>12</v>
      </c>
      <c r="G21">
        <v>0.05</v>
      </c>
      <c r="H21" s="8">
        <f>SUMIFS(OrderLines[LineNetAmount],OrderLines[OrderID],Orders[[#This Row],[OrderID]])</f>
        <v>474.75300000000004</v>
      </c>
      <c r="I21" t="str">
        <f>IF(COUNTIFS(OrderLines[OrderID],Orders[[#This Row],[OrderID]],OrderLines[Category],"Beverage"),"yes","no")</f>
        <v>yes</v>
      </c>
      <c r="J21" t="str">
        <f>IF(AND(COUNTIFS(OrderLines[OrderID],Orders[[#This Row],[OrderID]],OrderLines[Category],"Hot Meal"),Orders[[#This Row],[has beverage]]="yes"),"combo","single")</f>
        <v>combo</v>
      </c>
      <c r="K21" s="8" t="str" cm="1">
        <f t="array" ref="K21">IF((SUMPRODUCT(OrderLines[UnitPrice],OrderLines[Qty],--(OrderLines[OrderID]=Orders[[#This Row],[OrderID]]))-Orders[[#This Row],[Revenue]])&gt;40,"high disc","ok")</f>
        <v>ok</v>
      </c>
      <c r="L21">
        <f>SUMIFS(OrderLines[Food Cost],OrderLines[OrderID],Orders[[#This Row],[OrderID]])</f>
        <v>212.14</v>
      </c>
      <c r="M21" s="8">
        <f>Orders[[#This Row],[Revenue]]-Orders[[#This Row],[total cost]]</f>
        <v>262.61300000000006</v>
      </c>
      <c r="N21" t="str" cm="1">
        <f t="array" ref="N21">_xlfn.TEXTJOIN("+",,_xlfn._xlws.SORT(_xlfn.UNIQUE(_xlfn._xlws.FILTER(OrderLines[Category],OrderLines[OrderID]=Orders[[#This Row],[OrderID]]))))</f>
        <v>Beverage+Dessert+Hot Meal</v>
      </c>
    </row>
    <row r="22" spans="1:14" x14ac:dyDescent="0.3">
      <c r="A22" t="s">
        <v>51</v>
      </c>
      <c r="B22" s="1">
        <v>45869.966458333343</v>
      </c>
      <c r="C22" t="s">
        <v>15</v>
      </c>
      <c r="D22" t="s">
        <v>28</v>
      </c>
      <c r="E22" t="s">
        <v>11</v>
      </c>
      <c r="F22" t="s">
        <v>18</v>
      </c>
      <c r="G22">
        <v>0.02</v>
      </c>
      <c r="H22" s="8">
        <f>SUMIFS(OrderLines[LineNetAmount],OrderLines[OrderID],Orders[[#This Row],[OrderID]])</f>
        <v>291.72640000000001</v>
      </c>
      <c r="I22" t="str">
        <f>IF(COUNTIFS(OrderLines[OrderID],Orders[[#This Row],[OrderID]],OrderLines[Category],"Beverage"),"yes","no")</f>
        <v>no</v>
      </c>
      <c r="J22" t="str">
        <f>IF(AND(COUNTIFS(OrderLines[OrderID],Orders[[#This Row],[OrderID]],OrderLines[Category],"Hot Meal"),Orders[[#This Row],[has beverage]]="yes"),"combo","single")</f>
        <v>single</v>
      </c>
      <c r="K22" s="8" t="str" cm="1">
        <f t="array" ref="K22">IF((SUMPRODUCT(OrderLines[UnitPrice],OrderLines[Qty],--(OrderLines[OrderID]=Orders[[#This Row],[OrderID]]))-Orders[[#This Row],[Revenue]])&gt;40,"high disc","ok")</f>
        <v>ok</v>
      </c>
      <c r="L22">
        <f>SUMIFS(OrderLines[Food Cost],OrderLines[OrderID],Orders[[#This Row],[OrderID]])</f>
        <v>138.13</v>
      </c>
      <c r="M22" s="8">
        <f>Orders[[#This Row],[Revenue]]-Orders[[#This Row],[total cost]]</f>
        <v>153.59640000000002</v>
      </c>
      <c r="N22" t="str" cm="1">
        <f t="array" ref="N22">_xlfn.TEXTJOIN("+",,_xlfn._xlws.SORT(_xlfn.UNIQUE(_xlfn._xlws.FILTER(OrderLines[Category],OrderLines[OrderID]=Orders[[#This Row],[OrderID]]))))</f>
        <v>Snack</v>
      </c>
    </row>
    <row r="23" spans="1:14" x14ac:dyDescent="0.3">
      <c r="A23" t="s">
        <v>52</v>
      </c>
      <c r="B23" s="1">
        <v>45862.424097222232</v>
      </c>
      <c r="C23" t="s">
        <v>15</v>
      </c>
      <c r="D23" t="s">
        <v>16</v>
      </c>
      <c r="E23" t="s">
        <v>17</v>
      </c>
      <c r="F23" t="s">
        <v>12</v>
      </c>
      <c r="G23">
        <v>0.01</v>
      </c>
      <c r="H23" s="8">
        <f>SUMIFS(OrderLines[LineNetAmount],OrderLines[OrderID],Orders[[#This Row],[OrderID]])</f>
        <v>364.2903</v>
      </c>
      <c r="I23" t="str">
        <f>IF(COUNTIFS(OrderLines[OrderID],Orders[[#This Row],[OrderID]],OrderLines[Category],"Beverage"),"yes","no")</f>
        <v>yes</v>
      </c>
      <c r="J23" t="str">
        <f>IF(AND(COUNTIFS(OrderLines[OrderID],Orders[[#This Row],[OrderID]],OrderLines[Category],"Hot Meal"),Orders[[#This Row],[has beverage]]="yes"),"combo","single")</f>
        <v>combo</v>
      </c>
      <c r="K23" s="8" t="str" cm="1">
        <f t="array" ref="K23">IF((SUMPRODUCT(OrderLines[UnitPrice],OrderLines[Qty],--(OrderLines[OrderID]=Orders[[#This Row],[OrderID]]))-Orders[[#This Row],[Revenue]])&gt;40,"high disc","ok")</f>
        <v>ok</v>
      </c>
      <c r="L23">
        <f>SUMIFS(OrderLines[Food Cost],OrderLines[OrderID],Orders[[#This Row],[OrderID]])</f>
        <v>170.97</v>
      </c>
      <c r="M23" s="8">
        <f>Orders[[#This Row],[Revenue]]-Orders[[#This Row],[total cost]]</f>
        <v>193.3203</v>
      </c>
      <c r="N23" t="str" cm="1">
        <f t="array" ref="N23">_xlfn.TEXTJOIN("+",,_xlfn._xlws.SORT(_xlfn.UNIQUE(_xlfn._xlws.FILTER(OrderLines[Category],OrderLines[OrderID]=Orders[[#This Row],[OrderID]]))))</f>
        <v>Beverage+Dessert+Hot Meal</v>
      </c>
    </row>
    <row r="24" spans="1:14" x14ac:dyDescent="0.3">
      <c r="A24" t="s">
        <v>53</v>
      </c>
      <c r="B24" s="1">
        <v>45883.642094907409</v>
      </c>
      <c r="C24" t="s">
        <v>15</v>
      </c>
      <c r="D24" t="s">
        <v>28</v>
      </c>
      <c r="E24" t="s">
        <v>17</v>
      </c>
      <c r="F24" t="s">
        <v>22</v>
      </c>
      <c r="G24">
        <v>0.09</v>
      </c>
      <c r="H24" s="8">
        <f>SUMIFS(OrderLines[LineNetAmount],OrderLines[OrderID],Orders[[#This Row],[OrderID]])</f>
        <v>242.24200000000002</v>
      </c>
      <c r="I24" t="str">
        <f>IF(COUNTIFS(OrderLines[OrderID],Orders[[#This Row],[OrderID]],OrderLines[Category],"Beverage"),"yes","no")</f>
        <v>yes</v>
      </c>
      <c r="J24" t="str">
        <f>IF(AND(COUNTIFS(OrderLines[OrderID],Orders[[#This Row],[OrderID]],OrderLines[Category],"Hot Meal"),Orders[[#This Row],[has beverage]]="yes"),"combo","single")</f>
        <v>combo</v>
      </c>
      <c r="K24" s="8" t="str" cm="1">
        <f t="array" ref="K24">IF((SUMPRODUCT(OrderLines[UnitPrice],OrderLines[Qty],--(OrderLines[OrderID]=Orders[[#This Row],[OrderID]]))-Orders[[#This Row],[Revenue]])&gt;40,"high disc","ok")</f>
        <v>ok</v>
      </c>
      <c r="L24">
        <f>SUMIFS(OrderLines[Food Cost],OrderLines[OrderID],Orders[[#This Row],[OrderID]])</f>
        <v>120.08</v>
      </c>
      <c r="M24" s="8">
        <f>Orders[[#This Row],[Revenue]]-Orders[[#This Row],[total cost]]</f>
        <v>122.16200000000002</v>
      </c>
      <c r="N24" t="str" cm="1">
        <f t="array" ref="N24">_xlfn.TEXTJOIN("+",,_xlfn._xlws.SORT(_xlfn.UNIQUE(_xlfn._xlws.FILTER(OrderLines[Category],OrderLines[OrderID]=Orders[[#This Row],[OrderID]]))))</f>
        <v>Beverage+Hot Meal</v>
      </c>
    </row>
    <row r="25" spans="1:14" x14ac:dyDescent="0.3">
      <c r="A25" t="s">
        <v>54</v>
      </c>
      <c r="B25" s="1">
        <v>45893.911249999997</v>
      </c>
      <c r="C25" t="s">
        <v>27</v>
      </c>
      <c r="D25" t="s">
        <v>28</v>
      </c>
      <c r="E25" t="s">
        <v>11</v>
      </c>
      <c r="F25" t="s">
        <v>18</v>
      </c>
      <c r="G25">
        <v>0.11</v>
      </c>
      <c r="H25" s="8">
        <f>SUMIFS(OrderLines[LineNetAmount],OrderLines[OrderID],Orders[[#This Row],[OrderID]])</f>
        <v>390.88800000000003</v>
      </c>
      <c r="I25" t="str">
        <f>IF(COUNTIFS(OrderLines[OrderID],Orders[[#This Row],[OrderID]],OrderLines[Category],"Beverage"),"yes","no")</f>
        <v>no</v>
      </c>
      <c r="J25" t="str">
        <f>IF(AND(COUNTIFS(OrderLines[OrderID],Orders[[#This Row],[OrderID]],OrderLines[Category],"Hot Meal"),Orders[[#This Row],[has beverage]]="yes"),"combo","single")</f>
        <v>single</v>
      </c>
      <c r="K25" s="8" t="str" cm="1">
        <f t="array" ref="K25">IF((SUMPRODUCT(OrderLines[UnitPrice],OrderLines[Qty],--(OrderLines[OrderID]=Orders[[#This Row],[OrderID]]))-Orders[[#This Row],[Revenue]])&gt;40,"high disc","ok")</f>
        <v>high disc</v>
      </c>
      <c r="L25">
        <f>SUMIFS(OrderLines[Food Cost],OrderLines[OrderID],Orders[[#This Row],[OrderID]])</f>
        <v>242.76</v>
      </c>
      <c r="M25" s="8">
        <f>Orders[[#This Row],[Revenue]]-Orders[[#This Row],[total cost]]</f>
        <v>148.12800000000004</v>
      </c>
      <c r="N25" t="str" cm="1">
        <f t="array" ref="N25">_xlfn.TEXTJOIN("+",,_xlfn._xlws.SORT(_xlfn.UNIQUE(_xlfn._xlws.FILTER(OrderLines[Category],OrderLines[OrderID]=Orders[[#This Row],[OrderID]]))))</f>
        <v>Hot Meal</v>
      </c>
    </row>
    <row r="26" spans="1:14" x14ac:dyDescent="0.3">
      <c r="A26" t="s">
        <v>56</v>
      </c>
      <c r="B26" s="1">
        <v>45888.366527777784</v>
      </c>
      <c r="C26" t="s">
        <v>15</v>
      </c>
      <c r="D26" t="s">
        <v>28</v>
      </c>
      <c r="E26" t="s">
        <v>21</v>
      </c>
      <c r="F26" t="s">
        <v>12</v>
      </c>
      <c r="G26">
        <v>0.06</v>
      </c>
      <c r="H26" s="8">
        <f>SUMIFS(OrderLines[LineNetAmount],OrderLines[OrderID],Orders[[#This Row],[OrderID]])</f>
        <v>47.178599999999996</v>
      </c>
      <c r="I26" t="str">
        <f>IF(COUNTIFS(OrderLines[OrderID],Orders[[#This Row],[OrderID]],OrderLines[Category],"Beverage"),"yes","no")</f>
        <v>no</v>
      </c>
      <c r="J26" t="str">
        <f>IF(AND(COUNTIFS(OrderLines[OrderID],Orders[[#This Row],[OrderID]],OrderLines[Category],"Hot Meal"),Orders[[#This Row],[has beverage]]="yes"),"combo","single")</f>
        <v>single</v>
      </c>
      <c r="K26" s="8" t="str" cm="1">
        <f t="array" ref="K26">IF((SUMPRODUCT(OrderLines[UnitPrice],OrderLines[Qty],--(OrderLines[OrderID]=Orders[[#This Row],[OrderID]]))-Orders[[#This Row],[Revenue]])&gt;40,"high disc","ok")</f>
        <v>ok</v>
      </c>
      <c r="L26">
        <f>SUMIFS(OrderLines[Food Cost],OrderLines[OrderID],Orders[[#This Row],[OrderID]])</f>
        <v>22.61</v>
      </c>
      <c r="M26" s="8">
        <f>Orders[[#This Row],[Revenue]]-Orders[[#This Row],[total cost]]</f>
        <v>24.568599999999996</v>
      </c>
      <c r="N26" t="str" cm="1">
        <f t="array" ref="N26">_xlfn.TEXTJOIN("+",,_xlfn._xlws.SORT(_xlfn.UNIQUE(_xlfn._xlws.FILTER(OrderLines[Category],OrderLines[OrderID]=Orders[[#This Row],[OrderID]]))))</f>
        <v>Snack</v>
      </c>
    </row>
    <row r="27" spans="1:14" x14ac:dyDescent="0.3">
      <c r="A27" t="s">
        <v>57</v>
      </c>
      <c r="B27" s="1">
        <v>45862.967662037037</v>
      </c>
      <c r="C27" t="s">
        <v>15</v>
      </c>
      <c r="D27" t="s">
        <v>16</v>
      </c>
      <c r="E27" t="s">
        <v>17</v>
      </c>
      <c r="F27" t="s">
        <v>18</v>
      </c>
      <c r="G27">
        <v>0.1</v>
      </c>
      <c r="H27" s="8">
        <f>SUMIFS(OrderLines[LineNetAmount],OrderLines[OrderID],Orders[[#This Row],[OrderID]])</f>
        <v>81.459000000000003</v>
      </c>
      <c r="I27" t="str">
        <f>IF(COUNTIFS(OrderLines[OrderID],Orders[[#This Row],[OrderID]],OrderLines[Category],"Beverage"),"yes","no")</f>
        <v>no</v>
      </c>
      <c r="J27" t="str">
        <f>IF(AND(COUNTIFS(OrderLines[OrderID],Orders[[#This Row],[OrderID]],OrderLines[Category],"Hot Meal"),Orders[[#This Row],[has beverage]]="yes"),"combo","single")</f>
        <v>single</v>
      </c>
      <c r="K27" s="8" t="str" cm="1">
        <f t="array" ref="K27">IF((SUMPRODUCT(OrderLines[UnitPrice],OrderLines[Qty],--(OrderLines[OrderID]=Orders[[#This Row],[OrderID]]))-Orders[[#This Row],[Revenue]])&gt;40,"high disc","ok")</f>
        <v>ok</v>
      </c>
      <c r="L27">
        <f>SUMIFS(OrderLines[Food Cost],OrderLines[OrderID],Orders[[#This Row],[OrderID]])</f>
        <v>45.35</v>
      </c>
      <c r="M27" s="8">
        <f>Orders[[#This Row],[Revenue]]-Orders[[#This Row],[total cost]]</f>
        <v>36.109000000000002</v>
      </c>
      <c r="N27" t="str" cm="1">
        <f t="array" ref="N27">_xlfn.TEXTJOIN("+",,_xlfn._xlws.SORT(_xlfn.UNIQUE(_xlfn._xlws.FILTER(OrderLines[Category],OrderLines[OrderID]=Orders[[#This Row],[OrderID]]))))</f>
        <v>Snack</v>
      </c>
    </row>
    <row r="28" spans="1:14" x14ac:dyDescent="0.3">
      <c r="A28" t="s">
        <v>58</v>
      </c>
      <c r="B28" s="1">
        <v>45891.991226851853</v>
      </c>
      <c r="C28" t="s">
        <v>9</v>
      </c>
      <c r="D28" t="s">
        <v>16</v>
      </c>
      <c r="E28" t="s">
        <v>11</v>
      </c>
      <c r="F28" t="s">
        <v>18</v>
      </c>
      <c r="G28">
        <v>7.0000000000000007E-2</v>
      </c>
      <c r="H28" s="8">
        <f>SUMIFS(OrderLines[LineNetAmount],OrderLines[OrderID],Orders[[#This Row],[OrderID]])</f>
        <v>839.84580000000005</v>
      </c>
      <c r="I28" t="str">
        <f>IF(COUNTIFS(OrderLines[OrderID],Orders[[#This Row],[OrderID]],OrderLines[Category],"Beverage"),"yes","no")</f>
        <v>yes</v>
      </c>
      <c r="J28" t="str">
        <f>IF(AND(COUNTIFS(OrderLines[OrderID],Orders[[#This Row],[OrderID]],OrderLines[Category],"Hot Meal"),Orders[[#This Row],[has beverage]]="yes"),"combo","single")</f>
        <v>combo</v>
      </c>
      <c r="K28" s="8" t="str" cm="1">
        <f t="array" ref="K28">IF((SUMPRODUCT(OrderLines[UnitPrice],OrderLines[Qty],--(OrderLines[OrderID]=Orders[[#This Row],[OrderID]]))-Orders[[#This Row],[Revenue]])&gt;40,"high disc","ok")</f>
        <v>high disc</v>
      </c>
      <c r="L28">
        <f>SUMIFS(OrderLines[Food Cost],OrderLines[OrderID],Orders[[#This Row],[OrderID]])</f>
        <v>406.74999999999994</v>
      </c>
      <c r="M28" s="8">
        <f>Orders[[#This Row],[Revenue]]-Orders[[#This Row],[total cost]]</f>
        <v>433.09580000000011</v>
      </c>
      <c r="N28" t="str" cm="1">
        <f t="array" ref="N28">_xlfn.TEXTJOIN("+",,_xlfn._xlws.SORT(_xlfn.UNIQUE(_xlfn._xlws.FILTER(OrderLines[Category],OrderLines[OrderID]=Orders[[#This Row],[OrderID]]))))</f>
        <v>Beverage+Dessert+Hot Meal</v>
      </c>
    </row>
    <row r="29" spans="1:14" x14ac:dyDescent="0.3">
      <c r="A29" t="s">
        <v>59</v>
      </c>
      <c r="B29" s="1">
        <v>45840.00953703704</v>
      </c>
      <c r="C29" t="s">
        <v>9</v>
      </c>
      <c r="D29" t="s">
        <v>10</v>
      </c>
      <c r="E29" t="s">
        <v>21</v>
      </c>
      <c r="F29" t="s">
        <v>12</v>
      </c>
      <c r="G29">
        <v>0.03</v>
      </c>
      <c r="H29" s="8">
        <f>SUMIFS(OrderLines[LineNetAmount],OrderLines[OrderID],Orders[[#This Row],[OrderID]])</f>
        <v>382.71350000000001</v>
      </c>
      <c r="I29" t="str">
        <f>IF(COUNTIFS(OrderLines[OrderID],Orders[[#This Row],[OrderID]],OrderLines[Category],"Beverage"),"yes","no")</f>
        <v>yes</v>
      </c>
      <c r="J29" t="str">
        <f>IF(AND(COUNTIFS(OrderLines[OrderID],Orders[[#This Row],[OrderID]],OrderLines[Category],"Hot Meal"),Orders[[#This Row],[has beverage]]="yes"),"combo","single")</f>
        <v>single</v>
      </c>
      <c r="K29" s="8" t="str" cm="1">
        <f t="array" ref="K29">IF((SUMPRODUCT(OrderLines[UnitPrice],OrderLines[Qty],--(OrderLines[OrderID]=Orders[[#This Row],[OrderID]]))-Orders[[#This Row],[Revenue]])&gt;40,"high disc","ok")</f>
        <v>ok</v>
      </c>
      <c r="L29">
        <f>SUMIFS(OrderLines[Food Cost],OrderLines[OrderID],Orders[[#This Row],[OrderID]])</f>
        <v>172.36</v>
      </c>
      <c r="M29" s="8">
        <f>Orders[[#This Row],[Revenue]]-Orders[[#This Row],[total cost]]</f>
        <v>210.3535</v>
      </c>
      <c r="N29" t="str" cm="1">
        <f t="array" ref="N29">_xlfn.TEXTJOIN("+",,_xlfn._xlws.SORT(_xlfn.UNIQUE(_xlfn._xlws.FILTER(OrderLines[Category],OrderLines[OrderID]=Orders[[#This Row],[OrderID]]))))</f>
        <v>Beverage+Dessert+Snack</v>
      </c>
    </row>
    <row r="30" spans="1:14" x14ac:dyDescent="0.3">
      <c r="A30" t="s">
        <v>60</v>
      </c>
      <c r="B30" s="1">
        <v>45852.288368055553</v>
      </c>
      <c r="C30" t="s">
        <v>15</v>
      </c>
      <c r="D30" t="s">
        <v>28</v>
      </c>
      <c r="E30" t="s">
        <v>17</v>
      </c>
      <c r="F30" t="s">
        <v>12</v>
      </c>
      <c r="G30">
        <v>7.0000000000000007E-2</v>
      </c>
      <c r="H30" s="8">
        <f>SUMIFS(OrderLines[LineNetAmount],OrderLines[OrderID],Orders[[#This Row],[OrderID]])</f>
        <v>140.03009999999998</v>
      </c>
      <c r="I30" t="str">
        <f>IF(COUNTIFS(OrderLines[OrderID],Orders[[#This Row],[OrderID]],OrderLines[Category],"Beverage"),"yes","no")</f>
        <v>no</v>
      </c>
      <c r="J30" t="str">
        <f>IF(AND(COUNTIFS(OrderLines[OrderID],Orders[[#This Row],[OrderID]],OrderLines[Category],"Hot Meal"),Orders[[#This Row],[has beverage]]="yes"),"combo","single")</f>
        <v>single</v>
      </c>
      <c r="K30" s="8" t="str" cm="1">
        <f t="array" ref="K30">IF((SUMPRODUCT(OrderLines[UnitPrice],OrderLines[Qty],--(OrderLines[OrderID]=Orders[[#This Row],[OrderID]]))-Orders[[#This Row],[Revenue]])&gt;40,"high disc","ok")</f>
        <v>ok</v>
      </c>
      <c r="L30">
        <f>SUMIFS(OrderLines[Food Cost],OrderLines[OrderID],Orders[[#This Row],[OrderID]])</f>
        <v>67.83</v>
      </c>
      <c r="M30" s="8">
        <f>Orders[[#This Row],[Revenue]]-Orders[[#This Row],[total cost]]</f>
        <v>72.200099999999978</v>
      </c>
      <c r="N30" t="str" cm="1">
        <f t="array" ref="N30">_xlfn.TEXTJOIN("+",,_xlfn._xlws.SORT(_xlfn.UNIQUE(_xlfn._xlws.FILTER(OrderLines[Category],OrderLines[OrderID]=Orders[[#This Row],[OrderID]]))))</f>
        <v>Snack</v>
      </c>
    </row>
    <row r="31" spans="1:14" x14ac:dyDescent="0.3">
      <c r="A31" t="s">
        <v>62</v>
      </c>
      <c r="B31" s="1">
        <v>45854.342488425929</v>
      </c>
      <c r="C31" t="s">
        <v>15</v>
      </c>
      <c r="D31" t="s">
        <v>16</v>
      </c>
      <c r="E31" t="s">
        <v>11</v>
      </c>
      <c r="F31" t="s">
        <v>12</v>
      </c>
      <c r="G31">
        <v>0.12</v>
      </c>
      <c r="H31" s="8">
        <f>SUMIFS(OrderLines[LineNetAmount],OrderLines[OrderID],Orders[[#This Row],[OrderID]])</f>
        <v>365.72800000000001</v>
      </c>
      <c r="I31" t="str">
        <f>IF(COUNTIFS(OrderLines[OrderID],Orders[[#This Row],[OrderID]],OrderLines[Category],"Beverage"),"yes","no")</f>
        <v>yes</v>
      </c>
      <c r="J31" t="str">
        <f>IF(AND(COUNTIFS(OrderLines[OrderID],Orders[[#This Row],[OrderID]],OrderLines[Category],"Hot Meal"),Orders[[#This Row],[has beverage]]="yes"),"combo","single")</f>
        <v>combo</v>
      </c>
      <c r="K31" s="8" t="str" cm="1">
        <f t="array" ref="K31">IF((SUMPRODUCT(OrderLines[UnitPrice],OrderLines[Qty],--(OrderLines[OrderID]=Orders[[#This Row],[OrderID]]))-Orders[[#This Row],[Revenue]])&gt;40,"high disc","ok")</f>
        <v>high disc</v>
      </c>
      <c r="L31">
        <f>SUMIFS(OrderLines[Food Cost],OrderLines[OrderID],Orders[[#This Row],[OrderID]])</f>
        <v>197.59</v>
      </c>
      <c r="M31" s="8">
        <f>Orders[[#This Row],[Revenue]]-Orders[[#This Row],[total cost]]</f>
        <v>168.13800000000001</v>
      </c>
      <c r="N31" t="str" cm="1">
        <f t="array" ref="N31">_xlfn.TEXTJOIN("+",,_xlfn._xlws.SORT(_xlfn.UNIQUE(_xlfn._xlws.FILTER(OrderLines[Category],OrderLines[OrderID]=Orders[[#This Row],[OrderID]]))))</f>
        <v>Beverage+Hot Meal+Snack</v>
      </c>
    </row>
    <row r="32" spans="1:14" x14ac:dyDescent="0.3">
      <c r="A32" t="s">
        <v>63</v>
      </c>
      <c r="B32" s="1">
        <v>45872.540370370371</v>
      </c>
      <c r="C32" t="s">
        <v>27</v>
      </c>
      <c r="D32" t="s">
        <v>10</v>
      </c>
      <c r="E32" t="s">
        <v>11</v>
      </c>
      <c r="F32" t="s">
        <v>22</v>
      </c>
      <c r="G32">
        <v>0.06</v>
      </c>
      <c r="H32" s="8">
        <f>SUMIFS(OrderLines[LineNetAmount],OrderLines[OrderID],Orders[[#This Row],[OrderID]])</f>
        <v>435.97199999999992</v>
      </c>
      <c r="I32" t="str">
        <f>IF(COUNTIFS(OrderLines[OrderID],Orders[[#This Row],[OrderID]],OrderLines[Category],"Beverage"),"yes","no")</f>
        <v>no</v>
      </c>
      <c r="J32" t="str">
        <f>IF(AND(COUNTIFS(OrderLines[OrderID],Orders[[#This Row],[OrderID]],OrderLines[Category],"Hot Meal"),Orders[[#This Row],[has beverage]]="yes"),"combo","single")</f>
        <v>single</v>
      </c>
      <c r="K32" s="8" t="str" cm="1">
        <f t="array" ref="K32">IF((SUMPRODUCT(OrderLines[UnitPrice],OrderLines[Qty],--(OrderLines[OrderID]=Orders[[#This Row],[OrderID]]))-Orders[[#This Row],[Revenue]])&gt;40,"high disc","ok")</f>
        <v>ok</v>
      </c>
      <c r="L32">
        <f>SUMIFS(OrderLines[Food Cost],OrderLines[OrderID],Orders[[#This Row],[OrderID]])</f>
        <v>232.76</v>
      </c>
      <c r="M32" s="8">
        <f>Orders[[#This Row],[Revenue]]-Orders[[#This Row],[total cost]]</f>
        <v>203.21199999999993</v>
      </c>
      <c r="N32" t="str" cm="1">
        <f t="array" ref="N32">_xlfn.TEXTJOIN("+",,_xlfn._xlws.SORT(_xlfn.UNIQUE(_xlfn._xlws.FILTER(OrderLines[Category],OrderLines[OrderID]=Orders[[#This Row],[OrderID]]))))</f>
        <v>Dessert+Hot Meal</v>
      </c>
    </row>
    <row r="33" spans="1:14" x14ac:dyDescent="0.3">
      <c r="A33" t="s">
        <v>65</v>
      </c>
      <c r="B33" s="1">
        <v>45888.320347222223</v>
      </c>
      <c r="C33" t="s">
        <v>15</v>
      </c>
      <c r="D33" t="s">
        <v>16</v>
      </c>
      <c r="E33" t="s">
        <v>17</v>
      </c>
      <c r="F33" t="s">
        <v>12</v>
      </c>
      <c r="G33">
        <v>0.12</v>
      </c>
      <c r="H33" s="8">
        <f>SUMIFS(OrderLines[LineNetAmount],OrderLines[OrderID],Orders[[#This Row],[OrderID]])</f>
        <v>466.18879999999996</v>
      </c>
      <c r="I33" t="str">
        <f>IF(COUNTIFS(OrderLines[OrderID],Orders[[#This Row],[OrderID]],OrderLines[Category],"Beverage"),"yes","no")</f>
        <v>yes</v>
      </c>
      <c r="J33" t="str">
        <f>IF(AND(COUNTIFS(OrderLines[OrderID],Orders[[#This Row],[OrderID]],OrderLines[Category],"Hot Meal"),Orders[[#This Row],[has beverage]]="yes"),"combo","single")</f>
        <v>combo</v>
      </c>
      <c r="K33" s="8" t="str" cm="1">
        <f t="array" ref="K33">IF((SUMPRODUCT(OrderLines[UnitPrice],OrderLines[Qty],--(OrderLines[OrderID]=Orders[[#This Row],[OrderID]]))-Orders[[#This Row],[Revenue]])&gt;40,"high disc","ok")</f>
        <v>high disc</v>
      </c>
      <c r="L33">
        <f>SUMIFS(OrderLines[Food Cost],OrderLines[OrderID],Orders[[#This Row],[OrderID]])</f>
        <v>256.44</v>
      </c>
      <c r="M33" s="8">
        <f>Orders[[#This Row],[Revenue]]-Orders[[#This Row],[total cost]]</f>
        <v>209.74879999999996</v>
      </c>
      <c r="N33" t="str" cm="1">
        <f t="array" ref="N33">_xlfn.TEXTJOIN("+",,_xlfn._xlws.SORT(_xlfn.UNIQUE(_xlfn._xlws.FILTER(OrderLines[Category],OrderLines[OrderID]=Orders[[#This Row],[OrderID]]))))</f>
        <v>Beverage+Dessert+Hot Meal</v>
      </c>
    </row>
    <row r="34" spans="1:14" x14ac:dyDescent="0.3">
      <c r="A34" t="s">
        <v>66</v>
      </c>
      <c r="B34" s="1">
        <v>45880.375127314823</v>
      </c>
      <c r="C34" t="s">
        <v>15</v>
      </c>
      <c r="D34" t="s">
        <v>28</v>
      </c>
      <c r="E34" t="s">
        <v>17</v>
      </c>
      <c r="F34" t="s">
        <v>12</v>
      </c>
      <c r="G34">
        <v>0</v>
      </c>
      <c r="H34" s="8">
        <f>SUMIFS(OrderLines[LineNetAmount],OrderLines[OrderID],Orders[[#This Row],[OrderID]])</f>
        <v>390.34999999999997</v>
      </c>
      <c r="I34" t="str">
        <f>IF(COUNTIFS(OrderLines[OrderID],Orders[[#This Row],[OrderID]],OrderLines[Category],"Beverage"),"yes","no")</f>
        <v>no</v>
      </c>
      <c r="J34" t="str">
        <f>IF(AND(COUNTIFS(OrderLines[OrderID],Orders[[#This Row],[OrderID]],OrderLines[Category],"Hot Meal"),Orders[[#This Row],[has beverage]]="yes"),"combo","single")</f>
        <v>single</v>
      </c>
      <c r="K34" s="8" t="str" cm="1">
        <f t="array" ref="K34">IF((SUMPRODUCT(OrderLines[UnitPrice],OrderLines[Qty],--(OrderLines[OrderID]=Orders[[#This Row],[OrderID]]))-Orders[[#This Row],[Revenue]])&gt;40,"high disc","ok")</f>
        <v>ok</v>
      </c>
      <c r="L34">
        <f>SUMIFS(OrderLines[Food Cost],OrderLines[OrderID],Orders[[#This Row],[OrderID]])</f>
        <v>162.41999999999999</v>
      </c>
      <c r="M34" s="8">
        <f>Orders[[#This Row],[Revenue]]-Orders[[#This Row],[total cost]]</f>
        <v>227.92999999999998</v>
      </c>
      <c r="N34" t="str" cm="1">
        <f t="array" ref="N34">_xlfn.TEXTJOIN("+",,_xlfn._xlws.SORT(_xlfn.UNIQUE(_xlfn._xlws.FILTER(OrderLines[Category],OrderLines[OrderID]=Orders[[#This Row],[OrderID]]))))</f>
        <v>Dessert+Snack</v>
      </c>
    </row>
    <row r="35" spans="1:14" x14ac:dyDescent="0.3">
      <c r="A35" t="s">
        <v>67</v>
      </c>
      <c r="B35" s="1">
        <v>45851.951319444437</v>
      </c>
      <c r="C35" t="s">
        <v>9</v>
      </c>
      <c r="D35" t="s">
        <v>16</v>
      </c>
      <c r="E35" t="s">
        <v>17</v>
      </c>
      <c r="F35" t="s">
        <v>18</v>
      </c>
      <c r="G35">
        <v>0.09</v>
      </c>
      <c r="H35" s="8">
        <f>SUMIFS(OrderLines[LineNetAmount],OrderLines[OrderID],Orders[[#This Row],[OrderID]])</f>
        <v>86.568299999999994</v>
      </c>
      <c r="I35" t="str">
        <f>IF(COUNTIFS(OrderLines[OrderID],Orders[[#This Row],[OrderID]],OrderLines[Category],"Beverage"),"yes","no")</f>
        <v>yes</v>
      </c>
      <c r="J35" t="str">
        <f>IF(AND(COUNTIFS(OrderLines[OrderID],Orders[[#This Row],[OrderID]],OrderLines[Category],"Hot Meal"),Orders[[#This Row],[has beverage]]="yes"),"combo","single")</f>
        <v>single</v>
      </c>
      <c r="K35" s="8" t="str" cm="1">
        <f t="array" ref="K35">IF((SUMPRODUCT(OrderLines[UnitPrice],OrderLines[Qty],--(OrderLines[OrderID]=Orders[[#This Row],[OrderID]]))-Orders[[#This Row],[Revenue]])&gt;40,"high disc","ok")</f>
        <v>ok</v>
      </c>
      <c r="L35">
        <f>SUMIFS(OrderLines[Food Cost],OrderLines[OrderID],Orders[[#This Row],[OrderID]])</f>
        <v>36.730000000000004</v>
      </c>
      <c r="M35" s="8">
        <f>Orders[[#This Row],[Revenue]]-Orders[[#This Row],[total cost]]</f>
        <v>49.83829999999999</v>
      </c>
      <c r="N35" t="str" cm="1">
        <f t="array" ref="N35">_xlfn.TEXTJOIN("+",,_xlfn._xlws.SORT(_xlfn.UNIQUE(_xlfn._xlws.FILTER(OrderLines[Category],OrderLines[OrderID]=Orders[[#This Row],[OrderID]]))))</f>
        <v>Beverage+Snack</v>
      </c>
    </row>
    <row r="36" spans="1:14" x14ac:dyDescent="0.3">
      <c r="A36" t="s">
        <v>68</v>
      </c>
      <c r="B36" s="1">
        <v>45892.812847222223</v>
      </c>
      <c r="C36" t="s">
        <v>9</v>
      </c>
      <c r="D36" t="s">
        <v>16</v>
      </c>
      <c r="E36" t="s">
        <v>11</v>
      </c>
      <c r="F36" t="s">
        <v>18</v>
      </c>
      <c r="G36">
        <v>0.06</v>
      </c>
      <c r="H36" s="8">
        <f>SUMIFS(OrderLines[LineNetAmount],OrderLines[OrderID],Orders[[#This Row],[OrderID]])</f>
        <v>636.38</v>
      </c>
      <c r="I36" t="str">
        <f>IF(COUNTIFS(OrderLines[OrderID],Orders[[#This Row],[OrderID]],OrderLines[Category],"Beverage"),"yes","no")</f>
        <v>yes</v>
      </c>
      <c r="J36" t="str">
        <f>IF(AND(COUNTIFS(OrderLines[OrderID],Orders[[#This Row],[OrderID]],OrderLines[Category],"Hot Meal"),Orders[[#This Row],[has beverage]]="yes"),"combo","single")</f>
        <v>combo</v>
      </c>
      <c r="K36" s="8" t="str" cm="1">
        <f t="array" ref="K36">IF((SUMPRODUCT(OrderLines[UnitPrice],OrderLines[Qty],--(OrderLines[OrderID]=Orders[[#This Row],[OrderID]]))-Orders[[#This Row],[Revenue]])&gt;40,"high disc","ok")</f>
        <v>high disc</v>
      </c>
      <c r="L36">
        <f>SUMIFS(OrderLines[Food Cost],OrderLines[OrderID],Orders[[#This Row],[OrderID]])</f>
        <v>293.52999999999997</v>
      </c>
      <c r="M36" s="8">
        <f>Orders[[#This Row],[Revenue]]-Orders[[#This Row],[total cost]]</f>
        <v>342.85</v>
      </c>
      <c r="N36" t="str" cm="1">
        <f t="array" ref="N36">_xlfn.TEXTJOIN("+",,_xlfn._xlws.SORT(_xlfn.UNIQUE(_xlfn._xlws.FILTER(OrderLines[Category],OrderLines[OrderID]=Orders[[#This Row],[OrderID]]))))</f>
        <v>Beverage+Dessert+Hot Meal</v>
      </c>
    </row>
    <row r="37" spans="1:14" x14ac:dyDescent="0.3">
      <c r="A37" t="s">
        <v>70</v>
      </c>
      <c r="B37" s="1">
        <v>45850.111875000002</v>
      </c>
      <c r="C37" t="s">
        <v>27</v>
      </c>
      <c r="D37" t="s">
        <v>10</v>
      </c>
      <c r="E37" t="s">
        <v>17</v>
      </c>
      <c r="F37" t="s">
        <v>12</v>
      </c>
      <c r="G37">
        <v>0.05</v>
      </c>
      <c r="H37" s="8">
        <f>SUMIFS(OrderLines[LineNetAmount],OrderLines[OrderID],Orders[[#This Row],[OrderID]])</f>
        <v>209.96899999999999</v>
      </c>
      <c r="I37" t="str">
        <f>IF(COUNTIFS(OrderLines[OrderID],Orders[[#This Row],[OrderID]],OrderLines[Category],"Beverage"),"yes","no")</f>
        <v>no</v>
      </c>
      <c r="J37" t="str">
        <f>IF(AND(COUNTIFS(OrderLines[OrderID],Orders[[#This Row],[OrderID]],OrderLines[Category],"Hot Meal"),Orders[[#This Row],[has beverage]]="yes"),"combo","single")</f>
        <v>single</v>
      </c>
      <c r="K37" s="8" t="str" cm="1">
        <f t="array" ref="K37">IF((SUMPRODUCT(OrderLines[UnitPrice],OrderLines[Qty],--(OrderLines[OrderID]=Orders[[#This Row],[OrderID]]))-Orders[[#This Row],[Revenue]])&gt;40,"high disc","ok")</f>
        <v>ok</v>
      </c>
      <c r="L37">
        <f>SUMIFS(OrderLines[Food Cost],OrderLines[OrderID],Orders[[#This Row],[OrderID]])</f>
        <v>96.679999999999993</v>
      </c>
      <c r="M37" s="8">
        <f>Orders[[#This Row],[Revenue]]-Orders[[#This Row],[total cost]]</f>
        <v>113.289</v>
      </c>
      <c r="N37" t="str" cm="1">
        <f t="array" ref="N37">_xlfn.TEXTJOIN("+",,_xlfn._xlws.SORT(_xlfn.UNIQUE(_xlfn._xlws.FILTER(OrderLines[Category],OrderLines[OrderID]=Orders[[#This Row],[OrderID]]))))</f>
        <v>Hot Meal+Snack</v>
      </c>
    </row>
    <row r="38" spans="1:14" x14ac:dyDescent="0.3">
      <c r="A38" t="s">
        <v>71</v>
      </c>
      <c r="B38" s="1">
        <v>45842.747974537036</v>
      </c>
      <c r="C38" t="s">
        <v>15</v>
      </c>
      <c r="D38" t="s">
        <v>10</v>
      </c>
      <c r="E38" t="s">
        <v>11</v>
      </c>
      <c r="F38" t="s">
        <v>18</v>
      </c>
      <c r="G38">
        <v>0.06</v>
      </c>
      <c r="H38" s="8">
        <f>SUMIFS(OrderLines[LineNetAmount],OrderLines[OrderID],Orders[[#This Row],[OrderID]])</f>
        <v>321.16039999999998</v>
      </c>
      <c r="I38" t="str">
        <f>IF(COUNTIFS(OrderLines[OrderID],Orders[[#This Row],[OrderID]],OrderLines[Category],"Beverage"),"yes","no")</f>
        <v>no</v>
      </c>
      <c r="J38" t="str">
        <f>IF(AND(COUNTIFS(OrderLines[OrderID],Orders[[#This Row],[OrderID]],OrderLines[Category],"Hot Meal"),Orders[[#This Row],[has beverage]]="yes"),"combo","single")</f>
        <v>single</v>
      </c>
      <c r="K38" s="8" t="str" cm="1">
        <f t="array" ref="K38">IF((SUMPRODUCT(OrderLines[UnitPrice],OrderLines[Qty],--(OrderLines[OrderID]=Orders[[#This Row],[OrderID]]))-Orders[[#This Row],[Revenue]])&gt;40,"high disc","ok")</f>
        <v>ok</v>
      </c>
      <c r="L38">
        <f>SUMIFS(OrderLines[Food Cost],OrderLines[OrderID],Orders[[#This Row],[OrderID]])</f>
        <v>148.13999999999999</v>
      </c>
      <c r="M38" s="8">
        <f>Orders[[#This Row],[Revenue]]-Orders[[#This Row],[total cost]]</f>
        <v>173.0204</v>
      </c>
      <c r="N38" t="str" cm="1">
        <f t="array" ref="N38">_xlfn.TEXTJOIN("+",,_xlfn._xlws.SORT(_xlfn.UNIQUE(_xlfn._xlws.FILTER(OrderLines[Category],OrderLines[OrderID]=Orders[[#This Row],[OrderID]]))))</f>
        <v>Hot Meal</v>
      </c>
    </row>
    <row r="39" spans="1:14" x14ac:dyDescent="0.3">
      <c r="A39" t="s">
        <v>73</v>
      </c>
      <c r="B39" s="1">
        <v>45880.978148148148</v>
      </c>
      <c r="C39" t="s">
        <v>27</v>
      </c>
      <c r="D39" t="s">
        <v>28</v>
      </c>
      <c r="E39" t="s">
        <v>21</v>
      </c>
      <c r="F39" t="s">
        <v>18</v>
      </c>
      <c r="G39">
        <v>0</v>
      </c>
      <c r="H39" s="8">
        <f>SUMIFS(OrderLines[LineNetAmount],OrderLines[OrderID],Orders[[#This Row],[OrderID]])</f>
        <v>88.16</v>
      </c>
      <c r="I39" t="str">
        <f>IF(COUNTIFS(OrderLines[OrderID],Orders[[#This Row],[OrderID]],OrderLines[Category],"Beverage"),"yes","no")</f>
        <v>yes</v>
      </c>
      <c r="J39" t="str">
        <f>IF(AND(COUNTIFS(OrderLines[OrderID],Orders[[#This Row],[OrderID]],OrderLines[Category],"Hot Meal"),Orders[[#This Row],[has beverage]]="yes"),"combo","single")</f>
        <v>single</v>
      </c>
      <c r="K39" s="8" t="str" cm="1">
        <f t="array" ref="K39">IF((SUMPRODUCT(OrderLines[UnitPrice],OrderLines[Qty],--(OrderLines[OrderID]=Orders[[#This Row],[OrderID]]))-Orders[[#This Row],[Revenue]])&gt;40,"high disc","ok")</f>
        <v>ok</v>
      </c>
      <c r="L39">
        <f>SUMIFS(OrderLines[Food Cost],OrderLines[OrderID],Orders[[#This Row],[OrderID]])</f>
        <v>33.06</v>
      </c>
      <c r="M39" s="8">
        <f>Orders[[#This Row],[Revenue]]-Orders[[#This Row],[total cost]]</f>
        <v>55.099999999999994</v>
      </c>
      <c r="N39" t="str" cm="1">
        <f t="array" ref="N39">_xlfn.TEXTJOIN("+",,_xlfn._xlws.SORT(_xlfn.UNIQUE(_xlfn._xlws.FILTER(OrderLines[Category],OrderLines[OrderID]=Orders[[#This Row],[OrderID]]))))</f>
        <v>Beverage</v>
      </c>
    </row>
    <row r="40" spans="1:14" x14ac:dyDescent="0.3">
      <c r="A40" t="s">
        <v>75</v>
      </c>
      <c r="B40" s="1">
        <v>45843.123402777783</v>
      </c>
      <c r="C40" t="s">
        <v>15</v>
      </c>
      <c r="D40" t="s">
        <v>28</v>
      </c>
      <c r="E40" t="s">
        <v>11</v>
      </c>
      <c r="F40" t="s">
        <v>12</v>
      </c>
      <c r="G40">
        <v>0.05</v>
      </c>
      <c r="H40" s="8">
        <f>SUMIFS(OrderLines[LineNetAmount],OrderLines[OrderID],Orders[[#This Row],[OrderID]])</f>
        <v>486.8655</v>
      </c>
      <c r="I40" t="str">
        <f>IF(COUNTIFS(OrderLines[OrderID],Orders[[#This Row],[OrderID]],OrderLines[Category],"Beverage"),"yes","no")</f>
        <v>no</v>
      </c>
      <c r="J40" t="str">
        <f>IF(AND(COUNTIFS(OrderLines[OrderID],Orders[[#This Row],[OrderID]],OrderLines[Category],"Hot Meal"),Orders[[#This Row],[has beverage]]="yes"),"combo","single")</f>
        <v>single</v>
      </c>
      <c r="K40" s="8" t="str" cm="1">
        <f t="array" ref="K40">IF((SUMPRODUCT(OrderLines[UnitPrice],OrderLines[Qty],--(OrderLines[OrderID]=Orders[[#This Row],[OrderID]]))-Orders[[#This Row],[Revenue]])&gt;40,"high disc","ok")</f>
        <v>ok</v>
      </c>
      <c r="L40">
        <f>SUMIFS(OrderLines[Food Cost],OrderLines[OrderID],Orders[[#This Row],[OrderID]])</f>
        <v>222.20999999999998</v>
      </c>
      <c r="M40" s="8">
        <f>Orders[[#This Row],[Revenue]]-Orders[[#This Row],[total cost]]</f>
        <v>264.65550000000002</v>
      </c>
      <c r="N40" t="str" cm="1">
        <f t="array" ref="N40">_xlfn.TEXTJOIN("+",,_xlfn._xlws.SORT(_xlfn.UNIQUE(_xlfn._xlws.FILTER(OrderLines[Category],OrderLines[OrderID]=Orders[[#This Row],[OrderID]]))))</f>
        <v>Hot Meal</v>
      </c>
    </row>
    <row r="41" spans="1:14" x14ac:dyDescent="0.3">
      <c r="A41" t="s">
        <v>76</v>
      </c>
      <c r="B41" s="1">
        <v>45849.230266203696</v>
      </c>
      <c r="C41" t="s">
        <v>15</v>
      </c>
      <c r="D41" t="s">
        <v>10</v>
      </c>
      <c r="E41" t="s">
        <v>21</v>
      </c>
      <c r="F41" t="s">
        <v>12</v>
      </c>
      <c r="G41">
        <v>7.0000000000000007E-2</v>
      </c>
      <c r="H41" s="8">
        <f>SUMIFS(OrderLines[LineNetAmount],OrderLines[OrderID],Orders[[#This Row],[OrderID]])</f>
        <v>624.52289999999994</v>
      </c>
      <c r="I41" t="str">
        <f>IF(COUNTIFS(OrderLines[OrderID],Orders[[#This Row],[OrderID]],OrderLines[Category],"Beverage"),"yes","no")</f>
        <v>yes</v>
      </c>
      <c r="J41" t="str">
        <f>IF(AND(COUNTIFS(OrderLines[OrderID],Orders[[#This Row],[OrderID]],OrderLines[Category],"Hot Meal"),Orders[[#This Row],[has beverage]]="yes"),"combo","single")</f>
        <v>combo</v>
      </c>
      <c r="K41" s="8" t="str" cm="1">
        <f t="array" ref="K41">IF((SUMPRODUCT(OrderLines[UnitPrice],OrderLines[Qty],--(OrderLines[OrderID]=Orders[[#This Row],[OrderID]]))-Orders[[#This Row],[Revenue]])&gt;40,"high disc","ok")</f>
        <v>high disc</v>
      </c>
      <c r="L41">
        <f>SUMIFS(OrderLines[Food Cost],OrderLines[OrderID],Orders[[#This Row],[OrderID]])</f>
        <v>306.07</v>
      </c>
      <c r="M41" s="8">
        <f>Orders[[#This Row],[Revenue]]-Orders[[#This Row],[total cost]]</f>
        <v>318.45289999999994</v>
      </c>
      <c r="N41" t="str" cm="1">
        <f t="array" ref="N41">_xlfn.TEXTJOIN("+",,_xlfn._xlws.SORT(_xlfn.UNIQUE(_xlfn._xlws.FILTER(OrderLines[Category],OrderLines[OrderID]=Orders[[#This Row],[OrderID]]))))</f>
        <v>Beverage+Hot Meal</v>
      </c>
    </row>
    <row r="42" spans="1:14" x14ac:dyDescent="0.3">
      <c r="A42" t="s">
        <v>77</v>
      </c>
      <c r="B42" s="1">
        <v>45862.234907407408</v>
      </c>
      <c r="C42" t="s">
        <v>27</v>
      </c>
      <c r="D42" t="s">
        <v>28</v>
      </c>
      <c r="E42" t="s">
        <v>21</v>
      </c>
      <c r="F42" t="s">
        <v>12</v>
      </c>
      <c r="G42">
        <v>0.12</v>
      </c>
      <c r="H42" s="8">
        <f>SUMIFS(OrderLines[LineNetAmount],OrderLines[OrderID],Orders[[#This Row],[OrderID]])</f>
        <v>149.14240000000001</v>
      </c>
      <c r="I42" t="str">
        <f>IF(COUNTIFS(OrderLines[OrderID],Orders[[#This Row],[OrderID]],OrderLines[Category],"Beverage"),"yes","no")</f>
        <v>yes</v>
      </c>
      <c r="J42" t="str">
        <f>IF(AND(COUNTIFS(OrderLines[OrderID],Orders[[#This Row],[OrderID]],OrderLines[Category],"Hot Meal"),Orders[[#This Row],[has beverage]]="yes"),"combo","single")</f>
        <v>single</v>
      </c>
      <c r="K42" s="8" t="str" cm="1">
        <f t="array" ref="K42">IF((SUMPRODUCT(OrderLines[UnitPrice],OrderLines[Qty],--(OrderLines[OrderID]=Orders[[#This Row],[OrderID]]))-Orders[[#This Row],[Revenue]])&gt;40,"high disc","ok")</f>
        <v>ok</v>
      </c>
      <c r="L42">
        <f>SUMIFS(OrderLines[Food Cost],OrderLines[OrderID],Orders[[#This Row],[OrderID]])</f>
        <v>71.33</v>
      </c>
      <c r="M42" s="8">
        <f>Orders[[#This Row],[Revenue]]-Orders[[#This Row],[total cost]]</f>
        <v>77.812400000000011</v>
      </c>
      <c r="N42" t="str" cm="1">
        <f t="array" ref="N42">_xlfn.TEXTJOIN("+",,_xlfn._xlws.SORT(_xlfn.UNIQUE(_xlfn._xlws.FILTER(OrderLines[Category],OrderLines[OrderID]=Orders[[#This Row],[OrderID]]))))</f>
        <v>Beverage+Snack</v>
      </c>
    </row>
    <row r="43" spans="1:14" x14ac:dyDescent="0.3">
      <c r="A43" t="s">
        <v>78</v>
      </c>
      <c r="B43" s="1">
        <v>45856.664189814823</v>
      </c>
      <c r="C43" t="s">
        <v>9</v>
      </c>
      <c r="D43" t="s">
        <v>16</v>
      </c>
      <c r="E43" t="s">
        <v>21</v>
      </c>
      <c r="F43" t="s">
        <v>22</v>
      </c>
      <c r="G43">
        <v>0.04</v>
      </c>
      <c r="H43" s="8">
        <f>SUMIFS(OrderLines[LineNetAmount],OrderLines[OrderID],Orders[[#This Row],[OrderID]])</f>
        <v>346.63679999999999</v>
      </c>
      <c r="I43" t="str">
        <f>IF(COUNTIFS(OrderLines[OrderID],Orders[[#This Row],[OrderID]],OrderLines[Category],"Beverage"),"yes","no")</f>
        <v>yes</v>
      </c>
      <c r="J43" t="str">
        <f>IF(AND(COUNTIFS(OrderLines[OrderID],Orders[[#This Row],[OrderID]],OrderLines[Category],"Hot Meal"),Orders[[#This Row],[has beverage]]="yes"),"combo","single")</f>
        <v>combo</v>
      </c>
      <c r="K43" s="8" t="str" cm="1">
        <f t="array" ref="K43">IF((SUMPRODUCT(OrderLines[UnitPrice],OrderLines[Qty],--(OrderLines[OrderID]=Orders[[#This Row],[OrderID]]))-Orders[[#This Row],[Revenue]])&gt;40,"high disc","ok")</f>
        <v>ok</v>
      </c>
      <c r="L43">
        <f>SUMIFS(OrderLines[Food Cost],OrderLines[OrderID],Orders[[#This Row],[OrderID]])</f>
        <v>156.69</v>
      </c>
      <c r="M43" s="8">
        <f>Orders[[#This Row],[Revenue]]-Orders[[#This Row],[total cost]]</f>
        <v>189.9468</v>
      </c>
      <c r="N43" t="str" cm="1">
        <f t="array" ref="N43">_xlfn.TEXTJOIN("+",,_xlfn._xlws.SORT(_xlfn.UNIQUE(_xlfn._xlws.FILTER(OrderLines[Category],OrderLines[OrderID]=Orders[[#This Row],[OrderID]]))))</f>
        <v>Beverage+Dessert+Hot Meal</v>
      </c>
    </row>
    <row r="44" spans="1:14" x14ac:dyDescent="0.3">
      <c r="A44" t="s">
        <v>79</v>
      </c>
      <c r="B44" s="1">
        <v>45865.15425925926</v>
      </c>
      <c r="C44" t="s">
        <v>27</v>
      </c>
      <c r="D44" t="s">
        <v>10</v>
      </c>
      <c r="E44" t="s">
        <v>17</v>
      </c>
      <c r="F44" t="s">
        <v>12</v>
      </c>
      <c r="G44">
        <v>0.03</v>
      </c>
      <c r="H44" s="8">
        <f>SUMIFS(OrderLines[LineNetAmount],OrderLines[OrderID],Orders[[#This Row],[OrderID]])</f>
        <v>21.533999999999999</v>
      </c>
      <c r="I44" t="str">
        <f>IF(COUNTIFS(OrderLines[OrderID],Orders[[#This Row],[OrderID]],OrderLines[Category],"Beverage"),"yes","no")</f>
        <v>yes</v>
      </c>
      <c r="J44" t="str">
        <f>IF(AND(COUNTIFS(OrderLines[OrderID],Orders[[#This Row],[OrderID]],OrderLines[Category],"Hot Meal"),Orders[[#This Row],[has beverage]]="yes"),"combo","single")</f>
        <v>single</v>
      </c>
      <c r="K44" s="8" t="str" cm="1">
        <f t="array" ref="K44">IF((SUMPRODUCT(OrderLines[UnitPrice],OrderLines[Qty],--(OrderLines[OrderID]=Orders[[#This Row],[OrderID]]))-Orders[[#This Row],[Revenue]])&gt;40,"high disc","ok")</f>
        <v>ok</v>
      </c>
      <c r="L44">
        <f>SUMIFS(OrderLines[Food Cost],OrderLines[OrderID],Orders[[#This Row],[OrderID]])</f>
        <v>9.3800000000000008</v>
      </c>
      <c r="M44" s="8">
        <f>Orders[[#This Row],[Revenue]]-Orders[[#This Row],[total cost]]</f>
        <v>12.153999999999998</v>
      </c>
      <c r="N44" t="str" cm="1">
        <f t="array" ref="N44">_xlfn.TEXTJOIN("+",,_xlfn._xlws.SORT(_xlfn.UNIQUE(_xlfn._xlws.FILTER(OrderLines[Category],OrderLines[OrderID]=Orders[[#This Row],[OrderID]]))))</f>
        <v>Beverage</v>
      </c>
    </row>
    <row r="45" spans="1:14" x14ac:dyDescent="0.3">
      <c r="A45" t="s">
        <v>80</v>
      </c>
      <c r="B45" s="1">
        <v>45843.009780092587</v>
      </c>
      <c r="C45" t="s">
        <v>15</v>
      </c>
      <c r="D45" t="s">
        <v>28</v>
      </c>
      <c r="E45" t="s">
        <v>17</v>
      </c>
      <c r="F45" t="s">
        <v>12</v>
      </c>
      <c r="G45">
        <v>0.04</v>
      </c>
      <c r="H45" s="8">
        <f>SUMIFS(OrderLines[LineNetAmount],OrderLines[OrderID],Orders[[#This Row],[OrderID]])</f>
        <v>139.38240000000002</v>
      </c>
      <c r="I45" t="str">
        <f>IF(COUNTIFS(OrderLines[OrderID],Orders[[#This Row],[OrderID]],OrderLines[Category],"Beverage"),"yes","no")</f>
        <v>yes</v>
      </c>
      <c r="J45" t="str">
        <f>IF(AND(COUNTIFS(OrderLines[OrderID],Orders[[#This Row],[OrderID]],OrderLines[Category],"Hot Meal"),Orders[[#This Row],[has beverage]]="yes"),"combo","single")</f>
        <v>single</v>
      </c>
      <c r="K45" s="8" t="str" cm="1">
        <f t="array" ref="K45">IF((SUMPRODUCT(OrderLines[UnitPrice],OrderLines[Qty],--(OrderLines[OrderID]=Orders[[#This Row],[OrderID]]))-Orders[[#This Row],[Revenue]])&gt;40,"high disc","ok")</f>
        <v>ok</v>
      </c>
      <c r="L45">
        <f>SUMIFS(OrderLines[Food Cost],OrderLines[OrderID],Orders[[#This Row],[OrderID]])</f>
        <v>70.990000000000009</v>
      </c>
      <c r="M45" s="8">
        <f>Orders[[#This Row],[Revenue]]-Orders[[#This Row],[total cost]]</f>
        <v>68.392400000000009</v>
      </c>
      <c r="N45" t="str" cm="1">
        <f t="array" ref="N45">_xlfn.TEXTJOIN("+",,_xlfn._xlws.SORT(_xlfn.UNIQUE(_xlfn._xlws.FILTER(OrderLines[Category],OrderLines[OrderID]=Orders[[#This Row],[OrderID]]))))</f>
        <v>Beverage+Snack</v>
      </c>
    </row>
    <row r="46" spans="1:14" x14ac:dyDescent="0.3">
      <c r="A46" t="s">
        <v>81</v>
      </c>
      <c r="B46" s="1">
        <v>45873.198460648149</v>
      </c>
      <c r="C46" t="s">
        <v>15</v>
      </c>
      <c r="D46" t="s">
        <v>28</v>
      </c>
      <c r="E46" t="s">
        <v>17</v>
      </c>
      <c r="F46" t="s">
        <v>12</v>
      </c>
      <c r="G46">
        <v>0.1</v>
      </c>
      <c r="H46" s="8">
        <f>SUMIFS(OrderLines[LineNetAmount],OrderLines[OrderID],Orders[[#This Row],[OrderID]])</f>
        <v>323.90100000000001</v>
      </c>
      <c r="I46" t="str">
        <f>IF(COUNTIFS(OrderLines[OrderID],Orders[[#This Row],[OrderID]],OrderLines[Category],"Beverage"),"yes","no")</f>
        <v>yes</v>
      </c>
      <c r="J46" t="str">
        <f>IF(AND(COUNTIFS(OrderLines[OrderID],Orders[[#This Row],[OrderID]],OrderLines[Category],"Hot Meal"),Orders[[#This Row],[has beverage]]="yes"),"combo","single")</f>
        <v>single</v>
      </c>
      <c r="K46" s="8" t="str" cm="1">
        <f t="array" ref="K46">IF((SUMPRODUCT(OrderLines[UnitPrice],OrderLines[Qty],--(OrderLines[OrderID]=Orders[[#This Row],[OrderID]]))-Orders[[#This Row],[Revenue]])&gt;40,"high disc","ok")</f>
        <v>ok</v>
      </c>
      <c r="L46">
        <f>SUMIFS(OrderLines[Food Cost],OrderLines[OrderID],Orders[[#This Row],[OrderID]])</f>
        <v>145.62</v>
      </c>
      <c r="M46" s="8">
        <f>Orders[[#This Row],[Revenue]]-Orders[[#This Row],[total cost]]</f>
        <v>178.28100000000001</v>
      </c>
      <c r="N46" t="str" cm="1">
        <f t="array" ref="N46">_xlfn.TEXTJOIN("+",,_xlfn._xlws.SORT(_xlfn.UNIQUE(_xlfn._xlws.FILTER(OrderLines[Category],OrderLines[OrderID]=Orders[[#This Row],[OrderID]]))))</f>
        <v>Beverage+Dessert</v>
      </c>
    </row>
    <row r="47" spans="1:14" x14ac:dyDescent="0.3">
      <c r="A47" t="s">
        <v>82</v>
      </c>
      <c r="B47" s="1">
        <v>45858.00104166667</v>
      </c>
      <c r="C47" t="s">
        <v>15</v>
      </c>
      <c r="D47" t="s">
        <v>16</v>
      </c>
      <c r="E47" t="s">
        <v>21</v>
      </c>
      <c r="F47" t="s">
        <v>12</v>
      </c>
      <c r="G47">
        <v>7.0000000000000007E-2</v>
      </c>
      <c r="H47" s="8">
        <f>SUMIFS(OrderLines[LineNetAmount],OrderLines[OrderID],Orders[[#This Row],[OrderID]])</f>
        <v>37.153500000000001</v>
      </c>
      <c r="I47" t="str">
        <f>IF(COUNTIFS(OrderLines[OrderID],Orders[[#This Row],[OrderID]],OrderLines[Category],"Beverage"),"yes","no")</f>
        <v>no</v>
      </c>
      <c r="J47" t="str">
        <f>IF(AND(COUNTIFS(OrderLines[OrderID],Orders[[#This Row],[OrderID]],OrderLines[Category],"Hot Meal"),Orders[[#This Row],[has beverage]]="yes"),"combo","single")</f>
        <v>single</v>
      </c>
      <c r="K47" s="8" t="str" cm="1">
        <f t="array" ref="K47">IF((SUMPRODUCT(OrderLines[UnitPrice],OrderLines[Qty],--(OrderLines[OrderID]=Orders[[#This Row],[OrderID]]))-Orders[[#This Row],[Revenue]])&gt;40,"high disc","ok")</f>
        <v>ok</v>
      </c>
      <c r="L47">
        <f>SUMIFS(OrderLines[Food Cost],OrderLines[OrderID],Orders[[#This Row],[OrderID]])</f>
        <v>15.51</v>
      </c>
      <c r="M47" s="8">
        <f>Orders[[#This Row],[Revenue]]-Orders[[#This Row],[total cost]]</f>
        <v>21.643500000000003</v>
      </c>
      <c r="N47" t="str" cm="1">
        <f t="array" ref="N47">_xlfn.TEXTJOIN("+",,_xlfn._xlws.SORT(_xlfn.UNIQUE(_xlfn._xlws.FILTER(OrderLines[Category],OrderLines[OrderID]=Orders[[#This Row],[OrderID]]))))</f>
        <v>Snack</v>
      </c>
    </row>
    <row r="48" spans="1:14" x14ac:dyDescent="0.3">
      <c r="A48" t="s">
        <v>83</v>
      </c>
      <c r="B48" s="1">
        <v>45866.350347222222</v>
      </c>
      <c r="C48" t="s">
        <v>15</v>
      </c>
      <c r="D48" t="s">
        <v>10</v>
      </c>
      <c r="E48" t="s">
        <v>11</v>
      </c>
      <c r="F48" t="s">
        <v>12</v>
      </c>
      <c r="G48">
        <v>0.04</v>
      </c>
      <c r="H48" s="8">
        <f>SUMIFS(OrderLines[LineNetAmount],OrderLines[OrderID],Orders[[#This Row],[OrderID]])</f>
        <v>595.65120000000002</v>
      </c>
      <c r="I48" t="str">
        <f>IF(COUNTIFS(OrderLines[OrderID],Orders[[#This Row],[OrderID]],OrderLines[Category],"Beverage"),"yes","no")</f>
        <v>no</v>
      </c>
      <c r="J48" t="str">
        <f>IF(AND(COUNTIFS(OrderLines[OrderID],Orders[[#This Row],[OrderID]],OrderLines[Category],"Hot Meal"),Orders[[#This Row],[has beverage]]="yes"),"combo","single")</f>
        <v>single</v>
      </c>
      <c r="K48" s="8" t="str" cm="1">
        <f t="array" ref="K48">IF((SUMPRODUCT(OrderLines[UnitPrice],OrderLines[Qty],--(OrderLines[OrderID]=Orders[[#This Row],[OrderID]]))-Orders[[#This Row],[Revenue]])&gt;40,"high disc","ok")</f>
        <v>ok</v>
      </c>
      <c r="L48">
        <f>SUMIFS(OrderLines[Food Cost],OrderLines[OrderID],Orders[[#This Row],[OrderID]])</f>
        <v>290.22999999999996</v>
      </c>
      <c r="M48" s="8">
        <f>Orders[[#This Row],[Revenue]]-Orders[[#This Row],[total cost]]</f>
        <v>305.42120000000006</v>
      </c>
      <c r="N48" t="str" cm="1">
        <f t="array" ref="N48">_xlfn.TEXTJOIN("+",,_xlfn._xlws.SORT(_xlfn.UNIQUE(_xlfn._xlws.FILTER(OrderLines[Category],OrderLines[OrderID]=Orders[[#This Row],[OrderID]]))))</f>
        <v>Dessert+Hot Meal+Snack</v>
      </c>
    </row>
    <row r="49" spans="1:14" x14ac:dyDescent="0.3">
      <c r="A49" t="s">
        <v>84</v>
      </c>
      <c r="B49" s="1">
        <v>45891.311377314807</v>
      </c>
      <c r="C49" t="s">
        <v>15</v>
      </c>
      <c r="D49" t="s">
        <v>28</v>
      </c>
      <c r="E49" t="s">
        <v>17</v>
      </c>
      <c r="F49" t="s">
        <v>12</v>
      </c>
      <c r="G49">
        <v>0.08</v>
      </c>
      <c r="H49" s="8">
        <f>SUMIFS(OrderLines[LineNetAmount],OrderLines[OrderID],Orders[[#This Row],[OrderID]])</f>
        <v>179.67599999999999</v>
      </c>
      <c r="I49" t="str">
        <f>IF(COUNTIFS(OrderLines[OrderID],Orders[[#This Row],[OrderID]],OrderLines[Category],"Beverage"),"yes","no")</f>
        <v>yes</v>
      </c>
      <c r="J49" t="str">
        <f>IF(AND(COUNTIFS(OrderLines[OrderID],Orders[[#This Row],[OrderID]],OrderLines[Category],"Hot Meal"),Orders[[#This Row],[has beverage]]="yes"),"combo","single")</f>
        <v>single</v>
      </c>
      <c r="K49" s="8" t="str" cm="1">
        <f t="array" ref="K49">IF((SUMPRODUCT(OrderLines[UnitPrice],OrderLines[Qty],--(OrderLines[OrderID]=Orders[[#This Row],[OrderID]]))-Orders[[#This Row],[Revenue]])&gt;40,"high disc","ok")</f>
        <v>ok</v>
      </c>
      <c r="L49">
        <f>SUMIFS(OrderLines[Food Cost],OrderLines[OrderID],Orders[[#This Row],[OrderID]])</f>
        <v>92.55</v>
      </c>
      <c r="M49" s="8">
        <f>Orders[[#This Row],[Revenue]]-Orders[[#This Row],[total cost]]</f>
        <v>87.125999999999991</v>
      </c>
      <c r="N49" t="str" cm="1">
        <f t="array" ref="N49">_xlfn.TEXTJOIN("+",,_xlfn._xlws.SORT(_xlfn.UNIQUE(_xlfn._xlws.FILTER(OrderLines[Category],OrderLines[OrderID]=Orders[[#This Row],[OrderID]]))))</f>
        <v>Beverage+Snack</v>
      </c>
    </row>
    <row r="50" spans="1:14" x14ac:dyDescent="0.3">
      <c r="A50" t="s">
        <v>85</v>
      </c>
      <c r="B50" s="1">
        <v>45856.587210648147</v>
      </c>
      <c r="C50" t="s">
        <v>9</v>
      </c>
      <c r="D50" t="s">
        <v>16</v>
      </c>
      <c r="E50" t="s">
        <v>17</v>
      </c>
      <c r="F50" t="s">
        <v>22</v>
      </c>
      <c r="G50">
        <v>0.06</v>
      </c>
      <c r="H50" s="8">
        <f>SUMIFS(OrderLines[LineNetAmount],OrderLines[OrderID],Orders[[#This Row],[OrderID]])</f>
        <v>275.95579999999995</v>
      </c>
      <c r="I50" t="str">
        <f>IF(COUNTIFS(OrderLines[OrderID],Orders[[#This Row],[OrderID]],OrderLines[Category],"Beverage"),"yes","no")</f>
        <v>yes</v>
      </c>
      <c r="J50" t="str">
        <f>IF(AND(COUNTIFS(OrderLines[OrderID],Orders[[#This Row],[OrderID]],OrderLines[Category],"Hot Meal"),Orders[[#This Row],[has beverage]]="yes"),"combo","single")</f>
        <v>combo</v>
      </c>
      <c r="K50" s="8" t="str" cm="1">
        <f t="array" ref="K50">IF((SUMPRODUCT(OrderLines[UnitPrice],OrderLines[Qty],--(OrderLines[OrderID]=Orders[[#This Row],[OrderID]]))-Orders[[#This Row],[Revenue]])&gt;40,"high disc","ok")</f>
        <v>ok</v>
      </c>
      <c r="L50">
        <f>SUMIFS(OrderLines[Food Cost],OrderLines[OrderID],Orders[[#This Row],[OrderID]])</f>
        <v>119.9</v>
      </c>
      <c r="M50" s="8">
        <f>Orders[[#This Row],[Revenue]]-Orders[[#This Row],[total cost]]</f>
        <v>156.05579999999995</v>
      </c>
      <c r="N50" t="str" cm="1">
        <f t="array" ref="N50">_xlfn.TEXTJOIN("+",,_xlfn._xlws.SORT(_xlfn.UNIQUE(_xlfn._xlws.FILTER(OrderLines[Category],OrderLines[OrderID]=Orders[[#This Row],[OrderID]]))))</f>
        <v>Beverage+Hot Meal</v>
      </c>
    </row>
    <row r="51" spans="1:14" x14ac:dyDescent="0.3">
      <c r="A51" t="s">
        <v>86</v>
      </c>
      <c r="B51" s="1">
        <v>45897.171319444453</v>
      </c>
      <c r="C51" t="s">
        <v>15</v>
      </c>
      <c r="D51" t="s">
        <v>16</v>
      </c>
      <c r="E51" t="s">
        <v>11</v>
      </c>
      <c r="F51" t="s">
        <v>12</v>
      </c>
      <c r="G51">
        <v>0.1</v>
      </c>
      <c r="H51" s="8">
        <f>SUMIFS(OrderLines[LineNetAmount],OrderLines[OrderID],Orders[[#This Row],[OrderID]])</f>
        <v>98.576999999999998</v>
      </c>
      <c r="I51" t="str">
        <f>IF(COUNTIFS(OrderLines[OrderID],Orders[[#This Row],[OrderID]],OrderLines[Category],"Beverage"),"yes","no")</f>
        <v>yes</v>
      </c>
      <c r="J51" t="str">
        <f>IF(AND(COUNTIFS(OrderLines[OrderID],Orders[[#This Row],[OrderID]],OrderLines[Category],"Hot Meal"),Orders[[#This Row],[has beverage]]="yes"),"combo","single")</f>
        <v>single</v>
      </c>
      <c r="K51" s="8" t="str" cm="1">
        <f t="array" ref="K51">IF((SUMPRODUCT(OrderLines[UnitPrice],OrderLines[Qty],--(OrderLines[OrderID]=Orders[[#This Row],[OrderID]]))-Orders[[#This Row],[Revenue]])&gt;40,"high disc","ok")</f>
        <v>ok</v>
      </c>
      <c r="L51">
        <f>SUMIFS(OrderLines[Food Cost],OrderLines[OrderID],Orders[[#This Row],[OrderID]])</f>
        <v>50.069999999999993</v>
      </c>
      <c r="M51" s="8">
        <f>Orders[[#This Row],[Revenue]]-Orders[[#This Row],[total cost]]</f>
        <v>48.507000000000005</v>
      </c>
      <c r="N51" t="str" cm="1">
        <f t="array" ref="N51">_xlfn.TEXTJOIN("+",,_xlfn._xlws.SORT(_xlfn.UNIQUE(_xlfn._xlws.FILTER(OrderLines[Category],OrderLines[OrderID]=Orders[[#This Row],[OrderID]]))))</f>
        <v>Beverage+Dessert</v>
      </c>
    </row>
    <row r="52" spans="1:14" x14ac:dyDescent="0.3">
      <c r="A52" t="s">
        <v>87</v>
      </c>
      <c r="B52" s="1">
        <v>45881.619641203702</v>
      </c>
      <c r="C52" t="s">
        <v>9</v>
      </c>
      <c r="D52" t="s">
        <v>10</v>
      </c>
      <c r="E52" t="s">
        <v>17</v>
      </c>
      <c r="F52" t="s">
        <v>22</v>
      </c>
      <c r="G52">
        <v>0.03</v>
      </c>
      <c r="H52" s="8">
        <f>SUMIFS(OrderLines[LineNetAmount],OrderLines[OrderID],Orders[[#This Row],[OrderID]])</f>
        <v>574.76379999999995</v>
      </c>
      <c r="I52" t="str">
        <f>IF(COUNTIFS(OrderLines[OrderID],Orders[[#This Row],[OrderID]],OrderLines[Category],"Beverage"),"yes","no")</f>
        <v>no</v>
      </c>
      <c r="J52" t="str">
        <f>IF(AND(COUNTIFS(OrderLines[OrderID],Orders[[#This Row],[OrderID]],OrderLines[Category],"Hot Meal"),Orders[[#This Row],[has beverage]]="yes"),"combo","single")</f>
        <v>single</v>
      </c>
      <c r="K52" s="8" t="str" cm="1">
        <f t="array" ref="K52">IF((SUMPRODUCT(OrderLines[UnitPrice],OrderLines[Qty],--(OrderLines[OrderID]=Orders[[#This Row],[OrderID]]))-Orders[[#This Row],[Revenue]])&gt;40,"high disc","ok")</f>
        <v>ok</v>
      </c>
      <c r="L52">
        <f>SUMIFS(OrderLines[Food Cost],OrderLines[OrderID],Orders[[#This Row],[OrderID]])</f>
        <v>275.74</v>
      </c>
      <c r="M52" s="8">
        <f>Orders[[#This Row],[Revenue]]-Orders[[#This Row],[total cost]]</f>
        <v>299.02379999999994</v>
      </c>
      <c r="N52" t="str" cm="1">
        <f t="array" ref="N52">_xlfn.TEXTJOIN("+",,_xlfn._xlws.SORT(_xlfn.UNIQUE(_xlfn._xlws.FILTER(OrderLines[Category],OrderLines[OrderID]=Orders[[#This Row],[OrderID]]))))</f>
        <v>Dessert+Hot Meal</v>
      </c>
    </row>
    <row r="53" spans="1:14" x14ac:dyDescent="0.3">
      <c r="A53" t="s">
        <v>88</v>
      </c>
      <c r="B53" s="1">
        <v>45895.231145833342</v>
      </c>
      <c r="C53" t="s">
        <v>27</v>
      </c>
      <c r="D53" t="s">
        <v>16</v>
      </c>
      <c r="E53" t="s">
        <v>17</v>
      </c>
      <c r="F53" t="s">
        <v>12</v>
      </c>
      <c r="G53">
        <v>0.05</v>
      </c>
      <c r="H53" s="8">
        <f>SUMIFS(OrderLines[LineNetAmount],OrderLines[OrderID],Orders[[#This Row],[OrderID]])</f>
        <v>183.8535</v>
      </c>
      <c r="I53" t="str">
        <f>IF(COUNTIFS(OrderLines[OrderID],Orders[[#This Row],[OrderID]],OrderLines[Category],"Beverage"),"yes","no")</f>
        <v>no</v>
      </c>
      <c r="J53" t="str">
        <f>IF(AND(COUNTIFS(OrderLines[OrderID],Orders[[#This Row],[OrderID]],OrderLines[Category],"Hot Meal"),Orders[[#This Row],[has beverage]]="yes"),"combo","single")</f>
        <v>single</v>
      </c>
      <c r="K53" s="8" t="str" cm="1">
        <f t="array" ref="K53">IF((SUMPRODUCT(OrderLines[UnitPrice],OrderLines[Qty],--(OrderLines[OrderID]=Orders[[#This Row],[OrderID]]))-Orders[[#This Row],[Revenue]])&gt;40,"high disc","ok")</f>
        <v>ok</v>
      </c>
      <c r="L53">
        <f>SUMIFS(OrderLines[Food Cost],OrderLines[OrderID],Orders[[#This Row],[OrderID]])</f>
        <v>97.42</v>
      </c>
      <c r="M53" s="8">
        <f>Orders[[#This Row],[Revenue]]-Orders[[#This Row],[total cost]]</f>
        <v>86.433499999999995</v>
      </c>
      <c r="N53" t="str" cm="1">
        <f t="array" ref="N53">_xlfn.TEXTJOIN("+",,_xlfn._xlws.SORT(_xlfn.UNIQUE(_xlfn._xlws.FILTER(OrderLines[Category],OrderLines[OrderID]=Orders[[#This Row],[OrderID]]))))</f>
        <v>Snack</v>
      </c>
    </row>
    <row r="54" spans="1:14" x14ac:dyDescent="0.3">
      <c r="A54" t="s">
        <v>89</v>
      </c>
      <c r="B54" s="1">
        <v>45839.414201388892</v>
      </c>
      <c r="C54" t="s">
        <v>9</v>
      </c>
      <c r="D54" t="s">
        <v>10</v>
      </c>
      <c r="E54" t="s">
        <v>11</v>
      </c>
      <c r="F54" t="s">
        <v>12</v>
      </c>
      <c r="G54">
        <v>0.04</v>
      </c>
      <c r="H54" s="8">
        <f>SUMIFS(OrderLines[LineNetAmount],OrderLines[OrderID],Orders[[#This Row],[OrderID]])</f>
        <v>100.70400000000001</v>
      </c>
      <c r="I54" t="str">
        <f>IF(COUNTIFS(OrderLines[OrderID],Orders[[#This Row],[OrderID]],OrderLines[Category],"Beverage"),"yes","no")</f>
        <v>no</v>
      </c>
      <c r="J54" t="str">
        <f>IF(AND(COUNTIFS(OrderLines[OrderID],Orders[[#This Row],[OrderID]],OrderLines[Category],"Hot Meal"),Orders[[#This Row],[has beverage]]="yes"),"combo","single")</f>
        <v>single</v>
      </c>
      <c r="K54" s="8" t="str" cm="1">
        <f t="array" ref="K54">IF((SUMPRODUCT(OrderLines[UnitPrice],OrderLines[Qty],--(OrderLines[OrderID]=Orders[[#This Row],[OrderID]]))-Orders[[#This Row],[Revenue]])&gt;40,"high disc","ok")</f>
        <v>ok</v>
      </c>
      <c r="L54">
        <f>SUMIFS(OrderLines[Food Cost],OrderLines[OrderID],Orders[[#This Row],[OrderID]])</f>
        <v>51.6</v>
      </c>
      <c r="M54" s="8">
        <f>Orders[[#This Row],[Revenue]]-Orders[[#This Row],[total cost]]</f>
        <v>49.104000000000006</v>
      </c>
      <c r="N54" t="str" cm="1">
        <f t="array" ref="N54">_xlfn.TEXTJOIN("+",,_xlfn._xlws.SORT(_xlfn.UNIQUE(_xlfn._xlws.FILTER(OrderLines[Category],OrderLines[OrderID]=Orders[[#This Row],[OrderID]]))))</f>
        <v>Snack</v>
      </c>
    </row>
    <row r="55" spans="1:14" x14ac:dyDescent="0.3">
      <c r="A55" t="s">
        <v>90</v>
      </c>
      <c r="B55" s="1">
        <v>45874.612395833326</v>
      </c>
      <c r="C55" t="s">
        <v>15</v>
      </c>
      <c r="D55" t="s">
        <v>28</v>
      </c>
      <c r="E55" t="s">
        <v>11</v>
      </c>
      <c r="F55" t="s">
        <v>22</v>
      </c>
      <c r="G55">
        <v>0</v>
      </c>
      <c r="H55" s="8">
        <f>SUMIFS(OrderLines[LineNetAmount],OrderLines[OrderID],Orders[[#This Row],[OrderID]])</f>
        <v>271.65999999999997</v>
      </c>
      <c r="I55" t="str">
        <f>IF(COUNTIFS(OrderLines[OrderID],Orders[[#This Row],[OrderID]],OrderLines[Category],"Beverage"),"yes","no")</f>
        <v>no</v>
      </c>
      <c r="J55" t="str">
        <f>IF(AND(COUNTIFS(OrderLines[OrderID],Orders[[#This Row],[OrderID]],OrderLines[Category],"Hot Meal"),Orders[[#This Row],[has beverage]]="yes"),"combo","single")</f>
        <v>single</v>
      </c>
      <c r="K55" s="8" t="str" cm="1">
        <f t="array" ref="K55">IF((SUMPRODUCT(OrderLines[UnitPrice],OrderLines[Qty],--(OrderLines[OrderID]=Orders[[#This Row],[OrderID]]))-Orders[[#This Row],[Revenue]])&gt;40,"high disc","ok")</f>
        <v>ok</v>
      </c>
      <c r="L55">
        <f>SUMIFS(OrderLines[Food Cost],OrderLines[OrderID],Orders[[#This Row],[OrderID]])</f>
        <v>117.49</v>
      </c>
      <c r="M55" s="8">
        <f>Orders[[#This Row],[Revenue]]-Orders[[#This Row],[total cost]]</f>
        <v>154.16999999999996</v>
      </c>
      <c r="N55" t="str" cm="1">
        <f t="array" ref="N55">_xlfn.TEXTJOIN("+",,_xlfn._xlws.SORT(_xlfn.UNIQUE(_xlfn._xlws.FILTER(OrderLines[Category],OrderLines[OrderID]=Orders[[#This Row],[OrderID]]))))</f>
        <v>Dessert+Snack</v>
      </c>
    </row>
    <row r="56" spans="1:14" x14ac:dyDescent="0.3">
      <c r="A56" t="s">
        <v>91</v>
      </c>
      <c r="B56" s="1">
        <v>45869.728182870371</v>
      </c>
      <c r="C56" t="s">
        <v>9</v>
      </c>
      <c r="D56" t="s">
        <v>28</v>
      </c>
      <c r="E56" t="s">
        <v>11</v>
      </c>
      <c r="F56" t="s">
        <v>18</v>
      </c>
      <c r="G56">
        <v>7.0000000000000007E-2</v>
      </c>
      <c r="H56" s="8">
        <f>SUMIFS(OrderLines[LineNetAmount],OrderLines[OrderID],Orders[[#This Row],[OrderID]])</f>
        <v>706.71630000000005</v>
      </c>
      <c r="I56" t="str">
        <f>IF(COUNTIFS(OrderLines[OrderID],Orders[[#This Row],[OrderID]],OrderLines[Category],"Beverage"),"yes","no")</f>
        <v>no</v>
      </c>
      <c r="J56" t="str">
        <f>IF(AND(COUNTIFS(OrderLines[OrderID],Orders[[#This Row],[OrderID]],OrderLines[Category],"Hot Meal"),Orders[[#This Row],[has beverage]]="yes"),"combo","single")</f>
        <v>single</v>
      </c>
      <c r="K56" s="8" t="str" cm="1">
        <f t="array" ref="K56">IF((SUMPRODUCT(OrderLines[UnitPrice],OrderLines[Qty],--(OrderLines[OrderID]=Orders[[#This Row],[OrderID]]))-Orders[[#This Row],[Revenue]])&gt;40,"high disc","ok")</f>
        <v>high disc</v>
      </c>
      <c r="L56">
        <f>SUMIFS(OrderLines[Food Cost],OrderLines[OrderID],Orders[[#This Row],[OrderID]])</f>
        <v>354.56</v>
      </c>
      <c r="M56" s="8">
        <f>Orders[[#This Row],[Revenue]]-Orders[[#This Row],[total cost]]</f>
        <v>352.15630000000004</v>
      </c>
      <c r="N56" t="str" cm="1">
        <f t="array" ref="N56">_xlfn.TEXTJOIN("+",,_xlfn._xlws.SORT(_xlfn.UNIQUE(_xlfn._xlws.FILTER(OrderLines[Category],OrderLines[OrderID]=Orders[[#This Row],[OrderID]]))))</f>
        <v>Hot Meal</v>
      </c>
    </row>
    <row r="57" spans="1:14" x14ac:dyDescent="0.3">
      <c r="A57" t="s">
        <v>92</v>
      </c>
      <c r="B57" s="1">
        <v>45888.486701388887</v>
      </c>
      <c r="C57" t="s">
        <v>15</v>
      </c>
      <c r="D57" t="s">
        <v>10</v>
      </c>
      <c r="E57" t="s">
        <v>21</v>
      </c>
      <c r="F57" t="s">
        <v>22</v>
      </c>
      <c r="G57">
        <v>7.0000000000000007E-2</v>
      </c>
      <c r="H57" s="8">
        <f>SUMIFS(OrderLines[LineNetAmount],OrderLines[OrderID],Orders[[#This Row],[OrderID]])</f>
        <v>462.02399999999994</v>
      </c>
      <c r="I57" t="str">
        <f>IF(COUNTIFS(OrderLines[OrderID],Orders[[#This Row],[OrderID]],OrderLines[Category],"Beverage"),"yes","no")</f>
        <v>no</v>
      </c>
      <c r="J57" t="str">
        <f>IF(AND(COUNTIFS(OrderLines[OrderID],Orders[[#This Row],[OrderID]],OrderLines[Category],"Hot Meal"),Orders[[#This Row],[has beverage]]="yes"),"combo","single")</f>
        <v>single</v>
      </c>
      <c r="K57" s="8" t="str" cm="1">
        <f t="array" ref="K57">IF((SUMPRODUCT(OrderLines[UnitPrice],OrderLines[Qty],--(OrderLines[OrderID]=Orders[[#This Row],[OrderID]]))-Orders[[#This Row],[Revenue]])&gt;40,"high disc","ok")</f>
        <v>ok</v>
      </c>
      <c r="L57">
        <f>SUMIFS(OrderLines[Food Cost],OrderLines[OrderID],Orders[[#This Row],[OrderID]])</f>
        <v>227.82999999999998</v>
      </c>
      <c r="M57" s="8">
        <f>Orders[[#This Row],[Revenue]]-Orders[[#This Row],[total cost]]</f>
        <v>234.19399999999996</v>
      </c>
      <c r="N57" t="str" cm="1">
        <f t="array" ref="N57">_xlfn.TEXTJOIN("+",,_xlfn._xlws.SORT(_xlfn.UNIQUE(_xlfn._xlws.FILTER(OrderLines[Category],OrderLines[OrderID]=Orders[[#This Row],[OrderID]]))))</f>
        <v>Dessert+Hot Meal</v>
      </c>
    </row>
    <row r="58" spans="1:14" x14ac:dyDescent="0.3">
      <c r="A58" t="s">
        <v>93</v>
      </c>
      <c r="B58" s="1">
        <v>45878.319201388891</v>
      </c>
      <c r="C58" t="s">
        <v>9</v>
      </c>
      <c r="D58" t="s">
        <v>16</v>
      </c>
      <c r="E58" t="s">
        <v>11</v>
      </c>
      <c r="F58" t="s">
        <v>12</v>
      </c>
      <c r="G58">
        <v>0.06</v>
      </c>
      <c r="H58" s="8">
        <f>SUMIFS(OrderLines[LineNetAmount],OrderLines[OrderID],Orders[[#This Row],[OrderID]])</f>
        <v>240.47079999999997</v>
      </c>
      <c r="I58" t="str">
        <f>IF(COUNTIFS(OrderLines[OrderID],Orders[[#This Row],[OrderID]],OrderLines[Category],"Beverage"),"yes","no")</f>
        <v>yes</v>
      </c>
      <c r="J58" t="str">
        <f>IF(AND(COUNTIFS(OrderLines[OrderID],Orders[[#This Row],[OrderID]],OrderLines[Category],"Hot Meal"),Orders[[#This Row],[has beverage]]="yes"),"combo","single")</f>
        <v>single</v>
      </c>
      <c r="K58" s="8" t="str" cm="1">
        <f t="array" ref="K58">IF((SUMPRODUCT(OrderLines[UnitPrice],OrderLines[Qty],--(OrderLines[OrderID]=Orders[[#This Row],[OrderID]]))-Orders[[#This Row],[Revenue]])&gt;40,"high disc","ok")</f>
        <v>ok</v>
      </c>
      <c r="L58">
        <f>SUMIFS(OrderLines[Food Cost],OrderLines[OrderID],Orders[[#This Row],[OrderID]])</f>
        <v>122.93</v>
      </c>
      <c r="M58" s="8">
        <f>Orders[[#This Row],[Revenue]]-Orders[[#This Row],[total cost]]</f>
        <v>117.54079999999996</v>
      </c>
      <c r="N58" t="str" cm="1">
        <f t="array" ref="N58">_xlfn.TEXTJOIN("+",,_xlfn._xlws.SORT(_xlfn.UNIQUE(_xlfn._xlws.FILTER(OrderLines[Category],OrderLines[OrderID]=Orders[[#This Row],[OrderID]]))))</f>
        <v>Beverage+Dessert+Snack</v>
      </c>
    </row>
    <row r="59" spans="1:14" x14ac:dyDescent="0.3">
      <c r="A59" t="s">
        <v>94</v>
      </c>
      <c r="B59" s="1">
        <v>45857.875821759262</v>
      </c>
      <c r="C59" t="s">
        <v>15</v>
      </c>
      <c r="D59" t="s">
        <v>10</v>
      </c>
      <c r="E59" t="s">
        <v>21</v>
      </c>
      <c r="F59" t="s">
        <v>18</v>
      </c>
      <c r="G59">
        <v>0.05</v>
      </c>
      <c r="H59" s="8">
        <f>SUMIFS(OrderLines[LineNetAmount],OrderLines[OrderID],Orders[[#This Row],[OrderID]])</f>
        <v>233.78549999999998</v>
      </c>
      <c r="I59" t="str">
        <f>IF(COUNTIFS(OrderLines[OrderID],Orders[[#This Row],[OrderID]],OrderLines[Category],"Beverage"),"yes","no")</f>
        <v>no</v>
      </c>
      <c r="J59" t="str">
        <f>IF(AND(COUNTIFS(OrderLines[OrderID],Orders[[#This Row],[OrderID]],OrderLines[Category],"Hot Meal"),Orders[[#This Row],[has beverage]]="yes"),"combo","single")</f>
        <v>single</v>
      </c>
      <c r="K59" s="8" t="str" cm="1">
        <f t="array" ref="K59">IF((SUMPRODUCT(OrderLines[UnitPrice],OrderLines[Qty],--(OrderLines[OrderID]=Orders[[#This Row],[OrderID]]))-Orders[[#This Row],[Revenue]])&gt;40,"high disc","ok")</f>
        <v>ok</v>
      </c>
      <c r="L59">
        <f>SUMIFS(OrderLines[Food Cost],OrderLines[OrderID],Orders[[#This Row],[OrderID]])</f>
        <v>112.08</v>
      </c>
      <c r="M59" s="8">
        <f>Orders[[#This Row],[Revenue]]-Orders[[#This Row],[total cost]]</f>
        <v>121.70549999999999</v>
      </c>
      <c r="N59" t="str" cm="1">
        <f t="array" ref="N59">_xlfn.TEXTJOIN("+",,_xlfn._xlws.SORT(_xlfn.UNIQUE(_xlfn._xlws.FILTER(OrderLines[Category],OrderLines[OrderID]=Orders[[#This Row],[OrderID]]))))</f>
        <v>Hot Meal</v>
      </c>
    </row>
    <row r="60" spans="1:14" x14ac:dyDescent="0.3">
      <c r="A60" t="s">
        <v>96</v>
      </c>
      <c r="B60" s="1">
        <v>45894.504629629628</v>
      </c>
      <c r="C60" t="s">
        <v>15</v>
      </c>
      <c r="D60" t="s">
        <v>16</v>
      </c>
      <c r="E60" t="s">
        <v>11</v>
      </c>
      <c r="F60" t="s">
        <v>22</v>
      </c>
      <c r="G60">
        <v>0</v>
      </c>
      <c r="H60" s="8">
        <f>SUMIFS(OrderLines[LineNetAmount],OrderLines[OrderID],Orders[[#This Row],[OrderID]])</f>
        <v>662.52</v>
      </c>
      <c r="I60" t="str">
        <f>IF(COUNTIFS(OrderLines[OrderID],Orders[[#This Row],[OrderID]],OrderLines[Category],"Beverage"),"yes","no")</f>
        <v>no</v>
      </c>
      <c r="J60" t="str">
        <f>IF(AND(COUNTIFS(OrderLines[OrderID],Orders[[#This Row],[OrderID]],OrderLines[Category],"Hot Meal"),Orders[[#This Row],[has beverage]]="yes"),"combo","single")</f>
        <v>single</v>
      </c>
      <c r="K60" s="8" t="str" cm="1">
        <f t="array" ref="K60">IF((SUMPRODUCT(OrderLines[UnitPrice],OrderLines[Qty],--(OrderLines[OrderID]=Orders[[#This Row],[OrderID]]))-Orders[[#This Row],[Revenue]])&gt;40,"high disc","ok")</f>
        <v>ok</v>
      </c>
      <c r="L60">
        <f>SUMIFS(OrderLines[Food Cost],OrderLines[OrderID],Orders[[#This Row],[OrderID]])</f>
        <v>290.85000000000002</v>
      </c>
      <c r="M60" s="8">
        <f>Orders[[#This Row],[Revenue]]-Orders[[#This Row],[total cost]]</f>
        <v>371.66999999999996</v>
      </c>
      <c r="N60" t="str" cm="1">
        <f t="array" ref="N60">_xlfn.TEXTJOIN("+",,_xlfn._xlws.SORT(_xlfn.UNIQUE(_xlfn._xlws.FILTER(OrderLines[Category],OrderLines[OrderID]=Orders[[#This Row],[OrderID]]))))</f>
        <v>Dessert+Hot Meal</v>
      </c>
    </row>
    <row r="61" spans="1:14" x14ac:dyDescent="0.3">
      <c r="A61" t="s">
        <v>97</v>
      </c>
      <c r="B61" s="1">
        <v>45868.753321759257</v>
      </c>
      <c r="C61" t="s">
        <v>15</v>
      </c>
      <c r="D61" t="s">
        <v>28</v>
      </c>
      <c r="E61" t="s">
        <v>21</v>
      </c>
      <c r="F61" t="s">
        <v>18</v>
      </c>
      <c r="G61">
        <v>0.04</v>
      </c>
      <c r="H61" s="8">
        <f>SUMIFS(OrderLines[LineNetAmount],OrderLines[OrderID],Orders[[#This Row],[OrderID]])</f>
        <v>710.06400000000008</v>
      </c>
      <c r="I61" t="str">
        <f>IF(COUNTIFS(OrderLines[OrderID],Orders[[#This Row],[OrderID]],OrderLines[Category],"Beverage"),"yes","no")</f>
        <v>no</v>
      </c>
      <c r="J61" t="str">
        <f>IF(AND(COUNTIFS(OrderLines[OrderID],Orders[[#This Row],[OrderID]],OrderLines[Category],"Hot Meal"),Orders[[#This Row],[has beverage]]="yes"),"combo","single")</f>
        <v>single</v>
      </c>
      <c r="K61" s="8" t="str" cm="1">
        <f t="array" ref="K61">IF((SUMPRODUCT(OrderLines[UnitPrice],OrderLines[Qty],--(OrderLines[OrderID]=Orders[[#This Row],[OrderID]]))-Orders[[#This Row],[Revenue]])&gt;40,"high disc","ok")</f>
        <v>ok</v>
      </c>
      <c r="L61">
        <f>SUMIFS(OrderLines[Food Cost],OrderLines[OrderID],Orders[[#This Row],[OrderID]])</f>
        <v>341</v>
      </c>
      <c r="M61" s="8">
        <f>Orders[[#This Row],[Revenue]]-Orders[[#This Row],[total cost]]</f>
        <v>369.06400000000008</v>
      </c>
      <c r="N61" t="str" cm="1">
        <f t="array" ref="N61">_xlfn.TEXTJOIN("+",,_xlfn._xlws.SORT(_xlfn.UNIQUE(_xlfn._xlws.FILTER(OrderLines[Category],OrderLines[OrderID]=Orders[[#This Row],[OrderID]]))))</f>
        <v>Hot Meal+Snack</v>
      </c>
    </row>
    <row r="62" spans="1:14" x14ac:dyDescent="0.3">
      <c r="A62" t="s">
        <v>98</v>
      </c>
      <c r="B62" s="1">
        <v>45884.395868055559</v>
      </c>
      <c r="C62" t="s">
        <v>15</v>
      </c>
      <c r="D62" t="s">
        <v>16</v>
      </c>
      <c r="E62" t="s">
        <v>11</v>
      </c>
      <c r="F62" t="s">
        <v>12</v>
      </c>
      <c r="G62">
        <v>0.05</v>
      </c>
      <c r="H62" s="8">
        <f>SUMIFS(OrderLines[LineNetAmount],OrderLines[OrderID],Orders[[#This Row],[OrderID]])</f>
        <v>252.66200000000001</v>
      </c>
      <c r="I62" t="str">
        <f>IF(COUNTIFS(OrderLines[OrderID],Orders[[#This Row],[OrderID]],OrderLines[Category],"Beverage"),"yes","no")</f>
        <v>yes</v>
      </c>
      <c r="J62" t="str">
        <f>IF(AND(COUNTIFS(OrderLines[OrderID],Orders[[#This Row],[OrderID]],OrderLines[Category],"Hot Meal"),Orders[[#This Row],[has beverage]]="yes"),"combo","single")</f>
        <v>single</v>
      </c>
      <c r="K62" s="8" t="str" cm="1">
        <f t="array" ref="K62">IF((SUMPRODUCT(OrderLines[UnitPrice],OrderLines[Qty],--(OrderLines[OrderID]=Orders[[#This Row],[OrderID]]))-Orders[[#This Row],[Revenue]])&gt;40,"high disc","ok")</f>
        <v>ok</v>
      </c>
      <c r="L62">
        <f>SUMIFS(OrderLines[Food Cost],OrderLines[OrderID],Orders[[#This Row],[OrderID]])</f>
        <v>112.53</v>
      </c>
      <c r="M62" s="8">
        <f>Orders[[#This Row],[Revenue]]-Orders[[#This Row],[total cost]]</f>
        <v>140.13200000000001</v>
      </c>
      <c r="N62" t="str" cm="1">
        <f t="array" ref="N62">_xlfn.TEXTJOIN("+",,_xlfn._xlws.SORT(_xlfn.UNIQUE(_xlfn._xlws.FILTER(OrderLines[Category],OrderLines[OrderID]=Orders[[#This Row],[OrderID]]))))</f>
        <v>Beverage+Snack</v>
      </c>
    </row>
    <row r="63" spans="1:14" x14ac:dyDescent="0.3">
      <c r="A63" t="s">
        <v>99</v>
      </c>
      <c r="B63" s="1">
        <v>45888.880069444444</v>
      </c>
      <c r="C63" t="s">
        <v>15</v>
      </c>
      <c r="D63" t="s">
        <v>10</v>
      </c>
      <c r="E63" t="s">
        <v>17</v>
      </c>
      <c r="F63" t="s">
        <v>18</v>
      </c>
      <c r="G63">
        <v>0.03</v>
      </c>
      <c r="H63" s="8">
        <f>SUMIFS(OrderLines[LineNetAmount],OrderLines[OrderID],Orders[[#This Row],[OrderID]])</f>
        <v>285.45159999999998</v>
      </c>
      <c r="I63" t="str">
        <f>IF(COUNTIFS(OrderLines[OrderID],Orders[[#This Row],[OrderID]],OrderLines[Category],"Beverage"),"yes","no")</f>
        <v>yes</v>
      </c>
      <c r="J63" t="str">
        <f>IF(AND(COUNTIFS(OrderLines[OrderID],Orders[[#This Row],[OrderID]],OrderLines[Category],"Hot Meal"),Orders[[#This Row],[has beverage]]="yes"),"combo","single")</f>
        <v>single</v>
      </c>
      <c r="K63" s="8" t="str" cm="1">
        <f t="array" ref="K63">IF((SUMPRODUCT(OrderLines[UnitPrice],OrderLines[Qty],--(OrderLines[OrderID]=Orders[[#This Row],[OrderID]]))-Orders[[#This Row],[Revenue]])&gt;40,"high disc","ok")</f>
        <v>ok</v>
      </c>
      <c r="L63">
        <f>SUMIFS(OrderLines[Food Cost],OrderLines[OrderID],Orders[[#This Row],[OrderID]])</f>
        <v>126.3</v>
      </c>
      <c r="M63" s="8">
        <f>Orders[[#This Row],[Revenue]]-Orders[[#This Row],[total cost]]</f>
        <v>159.15159999999997</v>
      </c>
      <c r="N63" t="str" cm="1">
        <f t="array" ref="N63">_xlfn.TEXTJOIN("+",,_xlfn._xlws.SORT(_xlfn.UNIQUE(_xlfn._xlws.FILTER(OrderLines[Category],OrderLines[OrderID]=Orders[[#This Row],[OrderID]]))))</f>
        <v>Beverage+Dessert</v>
      </c>
    </row>
    <row r="64" spans="1:14" x14ac:dyDescent="0.3">
      <c r="A64" t="s">
        <v>100</v>
      </c>
      <c r="B64" s="1">
        <v>45866.802916666667</v>
      </c>
      <c r="C64" t="s">
        <v>9</v>
      </c>
      <c r="D64" t="s">
        <v>10</v>
      </c>
      <c r="E64" t="s">
        <v>11</v>
      </c>
      <c r="F64" t="s">
        <v>18</v>
      </c>
      <c r="G64">
        <v>0.05</v>
      </c>
      <c r="H64" s="8">
        <f>SUMIFS(OrderLines[LineNetAmount],OrderLines[OrderID],Orders[[#This Row],[OrderID]])</f>
        <v>145.44499999999999</v>
      </c>
      <c r="I64" t="str">
        <f>IF(COUNTIFS(OrderLines[OrderID],Orders[[#This Row],[OrderID]],OrderLines[Category],"Beverage"),"yes","no")</f>
        <v>no</v>
      </c>
      <c r="J64" t="str">
        <f>IF(AND(COUNTIFS(OrderLines[OrderID],Orders[[#This Row],[OrderID]],OrderLines[Category],"Hot Meal"),Orders[[#This Row],[has beverage]]="yes"),"combo","single")</f>
        <v>single</v>
      </c>
      <c r="K64" s="8" t="str" cm="1">
        <f t="array" ref="K64">IF((SUMPRODUCT(OrderLines[UnitPrice],OrderLines[Qty],--(OrderLines[OrderID]=Orders[[#This Row],[OrderID]]))-Orders[[#This Row],[Revenue]])&gt;40,"high disc","ok")</f>
        <v>ok</v>
      </c>
      <c r="L64">
        <f>SUMIFS(OrderLines[Food Cost],OrderLines[OrderID],Orders[[#This Row],[OrderID]])</f>
        <v>76.459999999999994</v>
      </c>
      <c r="M64" s="8">
        <f>Orders[[#This Row],[Revenue]]-Orders[[#This Row],[total cost]]</f>
        <v>68.984999999999999</v>
      </c>
      <c r="N64" t="str" cm="1">
        <f t="array" ref="N64">_xlfn.TEXTJOIN("+",,_xlfn._xlws.SORT(_xlfn.UNIQUE(_xlfn._xlws.FILTER(OrderLines[Category],OrderLines[OrderID]=Orders[[#This Row],[OrderID]]))))</f>
        <v>Dessert</v>
      </c>
    </row>
    <row r="65" spans="1:14" x14ac:dyDescent="0.3">
      <c r="A65" t="s">
        <v>101</v>
      </c>
      <c r="B65" s="1">
        <v>45848.316990740743</v>
      </c>
      <c r="C65" t="s">
        <v>27</v>
      </c>
      <c r="D65" t="s">
        <v>10</v>
      </c>
      <c r="E65" t="s">
        <v>21</v>
      </c>
      <c r="F65" t="s">
        <v>12</v>
      </c>
      <c r="G65">
        <v>0.08</v>
      </c>
      <c r="H65" s="8">
        <f>SUMIFS(OrderLines[LineNetAmount],OrderLines[OrderID],Orders[[#This Row],[OrderID]])</f>
        <v>18.501200000000001</v>
      </c>
      <c r="I65" t="str">
        <f>IF(COUNTIFS(OrderLines[OrderID],Orders[[#This Row],[OrderID]],OrderLines[Category],"Beverage"),"yes","no")</f>
        <v>yes</v>
      </c>
      <c r="J65" t="str">
        <f>IF(AND(COUNTIFS(OrderLines[OrderID],Orders[[#This Row],[OrderID]],OrderLines[Category],"Hot Meal"),Orders[[#This Row],[has beverage]]="yes"),"combo","single")</f>
        <v>single</v>
      </c>
      <c r="K65" s="8" t="str" cm="1">
        <f t="array" ref="K65">IF((SUMPRODUCT(OrderLines[UnitPrice],OrderLines[Qty],--(OrderLines[OrderID]=Orders[[#This Row],[OrderID]]))-Orders[[#This Row],[Revenue]])&gt;40,"high disc","ok")</f>
        <v>ok</v>
      </c>
      <c r="L65">
        <f>SUMIFS(OrderLines[Food Cost],OrderLines[OrderID],Orders[[#This Row],[OrderID]])</f>
        <v>8</v>
      </c>
      <c r="M65" s="8">
        <f>Orders[[#This Row],[Revenue]]-Orders[[#This Row],[total cost]]</f>
        <v>10.501200000000001</v>
      </c>
      <c r="N65" t="str" cm="1">
        <f t="array" ref="N65">_xlfn.TEXTJOIN("+",,_xlfn._xlws.SORT(_xlfn.UNIQUE(_xlfn._xlws.FILTER(OrderLines[Category],OrderLines[OrderID]=Orders[[#This Row],[OrderID]]))))</f>
        <v>Beverage</v>
      </c>
    </row>
    <row r="66" spans="1:14" x14ac:dyDescent="0.3">
      <c r="A66" t="s">
        <v>102</v>
      </c>
      <c r="B66" s="1">
        <v>45858.583587962959</v>
      </c>
      <c r="C66" t="s">
        <v>27</v>
      </c>
      <c r="D66" t="s">
        <v>28</v>
      </c>
      <c r="E66" t="s">
        <v>17</v>
      </c>
      <c r="F66" t="s">
        <v>22</v>
      </c>
      <c r="G66">
        <v>0.14000000000000001</v>
      </c>
      <c r="H66" s="8">
        <f>SUMIFS(OrderLines[LineNetAmount],OrderLines[OrderID],Orders[[#This Row],[OrderID]])</f>
        <v>587.66380000000004</v>
      </c>
      <c r="I66" t="str">
        <f>IF(COUNTIFS(OrderLines[OrderID],Orders[[#This Row],[OrderID]],OrderLines[Category],"Beverage"),"yes","no")</f>
        <v>yes</v>
      </c>
      <c r="J66" t="str">
        <f>IF(AND(COUNTIFS(OrderLines[OrderID],Orders[[#This Row],[OrderID]],OrderLines[Category],"Hot Meal"),Orders[[#This Row],[has beverage]]="yes"),"combo","single")</f>
        <v>combo</v>
      </c>
      <c r="K66" s="8" t="str" cm="1">
        <f t="array" ref="K66">IF((SUMPRODUCT(OrderLines[UnitPrice],OrderLines[Qty],--(OrderLines[OrderID]=Orders[[#This Row],[OrderID]]))-Orders[[#This Row],[Revenue]])&gt;40,"high disc","ok")</f>
        <v>high disc</v>
      </c>
      <c r="L66">
        <f>SUMIFS(OrderLines[Food Cost],OrderLines[OrderID],Orders[[#This Row],[OrderID]])</f>
        <v>327.99</v>
      </c>
      <c r="M66" s="8">
        <f>Orders[[#This Row],[Revenue]]-Orders[[#This Row],[total cost]]</f>
        <v>259.67380000000003</v>
      </c>
      <c r="N66" t="str" cm="1">
        <f t="array" ref="N66">_xlfn.TEXTJOIN("+",,_xlfn._xlws.SORT(_xlfn.UNIQUE(_xlfn._xlws.FILTER(OrderLines[Category],OrderLines[OrderID]=Orders[[#This Row],[OrderID]]))))</f>
        <v>Beverage+Hot Meal+Snack</v>
      </c>
    </row>
    <row r="67" spans="1:14" x14ac:dyDescent="0.3">
      <c r="A67" t="s">
        <v>103</v>
      </c>
      <c r="B67" s="1">
        <v>45885.381157407413</v>
      </c>
      <c r="C67" t="s">
        <v>9</v>
      </c>
      <c r="D67" t="s">
        <v>28</v>
      </c>
      <c r="E67" t="s">
        <v>21</v>
      </c>
      <c r="F67" t="s">
        <v>12</v>
      </c>
      <c r="G67">
        <v>7.0000000000000007E-2</v>
      </c>
      <c r="H67" s="8">
        <f>SUMIFS(OrderLines[LineNetAmount],OrderLines[OrderID],Orders[[#This Row],[OrderID]])</f>
        <v>1009.5894</v>
      </c>
      <c r="I67" t="str">
        <f>IF(COUNTIFS(OrderLines[OrderID],Orders[[#This Row],[OrderID]],OrderLines[Category],"Beverage"),"yes","no")</f>
        <v>no</v>
      </c>
      <c r="J67" t="str">
        <f>IF(AND(COUNTIFS(OrderLines[OrderID],Orders[[#This Row],[OrderID]],OrderLines[Category],"Hot Meal"),Orders[[#This Row],[has beverage]]="yes"),"combo","single")</f>
        <v>single</v>
      </c>
      <c r="K67" s="8" t="str" cm="1">
        <f t="array" ref="K67">IF((SUMPRODUCT(OrderLines[UnitPrice],OrderLines[Qty],--(OrderLines[OrderID]=Orders[[#This Row],[OrderID]]))-Orders[[#This Row],[Revenue]])&gt;40,"high disc","ok")</f>
        <v>high disc</v>
      </c>
      <c r="L67">
        <f>SUMIFS(OrderLines[Food Cost],OrderLines[OrderID],Orders[[#This Row],[OrderID]])</f>
        <v>531.21</v>
      </c>
      <c r="M67" s="8">
        <f>Orders[[#This Row],[Revenue]]-Orders[[#This Row],[total cost]]</f>
        <v>478.37939999999992</v>
      </c>
      <c r="N67" t="str" cm="1">
        <f t="array" ref="N67">_xlfn.TEXTJOIN("+",,_xlfn._xlws.SORT(_xlfn.UNIQUE(_xlfn._xlws.FILTER(OrderLines[Category],OrderLines[OrderID]=Orders[[#This Row],[OrderID]]))))</f>
        <v>Dessert+Hot Meal+Snack</v>
      </c>
    </row>
    <row r="68" spans="1:14" x14ac:dyDescent="0.3">
      <c r="A68" t="s">
        <v>104</v>
      </c>
      <c r="B68" s="1">
        <v>45895.142094907409</v>
      </c>
      <c r="C68" t="s">
        <v>27</v>
      </c>
      <c r="D68" t="s">
        <v>10</v>
      </c>
      <c r="E68" t="s">
        <v>11</v>
      </c>
      <c r="F68" t="s">
        <v>12</v>
      </c>
      <c r="G68">
        <v>7.0000000000000007E-2</v>
      </c>
      <c r="H68" s="8">
        <f>SUMIFS(OrderLines[LineNetAmount],OrderLines[OrderID],Orders[[#This Row],[OrderID]])</f>
        <v>337.50630000000001</v>
      </c>
      <c r="I68" t="str">
        <f>IF(COUNTIFS(OrderLines[OrderID],Orders[[#This Row],[OrderID]],OrderLines[Category],"Beverage"),"yes","no")</f>
        <v>yes</v>
      </c>
      <c r="J68" t="str">
        <f>IF(AND(COUNTIFS(OrderLines[OrderID],Orders[[#This Row],[OrderID]],OrderLines[Category],"Hot Meal"),Orders[[#This Row],[has beverage]]="yes"),"combo","single")</f>
        <v>single</v>
      </c>
      <c r="K68" s="8" t="str" cm="1">
        <f t="array" ref="K68">IF((SUMPRODUCT(OrderLines[UnitPrice],OrderLines[Qty],--(OrderLines[OrderID]=Orders[[#This Row],[OrderID]]))-Orders[[#This Row],[Revenue]])&gt;40,"high disc","ok")</f>
        <v>ok</v>
      </c>
      <c r="L68">
        <f>SUMIFS(OrderLines[Food Cost],OrderLines[OrderID],Orders[[#This Row],[OrderID]])</f>
        <v>161.82</v>
      </c>
      <c r="M68" s="8">
        <f>Orders[[#This Row],[Revenue]]-Orders[[#This Row],[total cost]]</f>
        <v>175.68630000000002</v>
      </c>
      <c r="N68" t="str" cm="1">
        <f t="array" ref="N68">_xlfn.TEXTJOIN("+",,_xlfn._xlws.SORT(_xlfn.UNIQUE(_xlfn._xlws.FILTER(OrderLines[Category],OrderLines[OrderID]=Orders[[#This Row],[OrderID]]))))</f>
        <v>Beverage+Dessert+Snack</v>
      </c>
    </row>
    <row r="69" spans="1:14" x14ac:dyDescent="0.3">
      <c r="A69" t="s">
        <v>105</v>
      </c>
      <c r="B69" s="1">
        <v>45887.249259259261</v>
      </c>
      <c r="C69" t="s">
        <v>15</v>
      </c>
      <c r="D69" t="s">
        <v>28</v>
      </c>
      <c r="E69" t="s">
        <v>17</v>
      </c>
      <c r="F69" t="s">
        <v>12</v>
      </c>
      <c r="G69">
        <v>0.06</v>
      </c>
      <c r="H69" s="8">
        <f>SUMIFS(OrderLines[LineNetAmount],OrderLines[OrderID],Orders[[#This Row],[OrderID]])</f>
        <v>373.89439999999996</v>
      </c>
      <c r="I69" t="str">
        <f>IF(COUNTIFS(OrderLines[OrderID],Orders[[#This Row],[OrderID]],OrderLines[Category],"Beverage"),"yes","no")</f>
        <v>yes</v>
      </c>
      <c r="J69" t="str">
        <f>IF(AND(COUNTIFS(OrderLines[OrderID],Orders[[#This Row],[OrderID]],OrderLines[Category],"Hot Meal"),Orders[[#This Row],[has beverage]]="yes"),"combo","single")</f>
        <v>combo</v>
      </c>
      <c r="K69" s="8" t="str" cm="1">
        <f t="array" ref="K69">IF((SUMPRODUCT(OrderLines[UnitPrice],OrderLines[Qty],--(OrderLines[OrderID]=Orders[[#This Row],[OrderID]]))-Orders[[#This Row],[Revenue]])&gt;40,"high disc","ok")</f>
        <v>ok</v>
      </c>
      <c r="L69">
        <f>SUMIFS(OrderLines[Food Cost],OrderLines[OrderID],Orders[[#This Row],[OrderID]])</f>
        <v>191.77999999999997</v>
      </c>
      <c r="M69" s="8">
        <f>Orders[[#This Row],[Revenue]]-Orders[[#This Row],[total cost]]</f>
        <v>182.11439999999999</v>
      </c>
      <c r="N69" t="str" cm="1">
        <f t="array" ref="N69">_xlfn.TEXTJOIN("+",,_xlfn._xlws.SORT(_xlfn.UNIQUE(_xlfn._xlws.FILTER(OrderLines[Category],OrderLines[OrderID]=Orders[[#This Row],[OrderID]]))))</f>
        <v>Beverage+Hot Meal+Snack</v>
      </c>
    </row>
    <row r="70" spans="1:14" x14ac:dyDescent="0.3">
      <c r="A70" t="s">
        <v>106</v>
      </c>
      <c r="B70" s="1">
        <v>45849.598599537043</v>
      </c>
      <c r="C70" t="s">
        <v>15</v>
      </c>
      <c r="D70" t="s">
        <v>28</v>
      </c>
      <c r="E70" t="s">
        <v>17</v>
      </c>
      <c r="F70" t="s">
        <v>22</v>
      </c>
      <c r="G70">
        <v>0</v>
      </c>
      <c r="H70" s="8">
        <f>SUMIFS(OrderLines[LineNetAmount],OrderLines[OrderID],Orders[[#This Row],[OrderID]])</f>
        <v>1539.5700000000002</v>
      </c>
      <c r="I70" t="str">
        <f>IF(COUNTIFS(OrderLines[OrderID],Orders[[#This Row],[OrderID]],OrderLines[Category],"Beverage"),"yes","no")</f>
        <v>no</v>
      </c>
      <c r="J70" t="str">
        <f>IF(AND(COUNTIFS(OrderLines[OrderID],Orders[[#This Row],[OrderID]],OrderLines[Category],"Hot Meal"),Orders[[#This Row],[has beverage]]="yes"),"combo","single")</f>
        <v>single</v>
      </c>
      <c r="K70" s="8" t="str" cm="1">
        <f t="array" ref="K70">IF((SUMPRODUCT(OrderLines[UnitPrice],OrderLines[Qty],--(OrderLines[OrderID]=Orders[[#This Row],[OrderID]]))-Orders[[#This Row],[Revenue]])&gt;40,"high disc","ok")</f>
        <v>ok</v>
      </c>
      <c r="L70">
        <f>SUMIFS(OrderLines[Food Cost],OrderLines[OrderID],Orders[[#This Row],[OrderID]])</f>
        <v>731.26</v>
      </c>
      <c r="M70" s="8">
        <f>Orders[[#This Row],[Revenue]]-Orders[[#This Row],[total cost]]</f>
        <v>808.31000000000017</v>
      </c>
      <c r="N70" t="str" cm="1">
        <f t="array" ref="N70">_xlfn.TEXTJOIN("+",,_xlfn._xlws.SORT(_xlfn.UNIQUE(_xlfn._xlws.FILTER(OrderLines[Category],OrderLines[OrderID]=Orders[[#This Row],[OrderID]]))))</f>
        <v>Hot Meal+Snack</v>
      </c>
    </row>
    <row r="71" spans="1:14" x14ac:dyDescent="0.3">
      <c r="A71" t="s">
        <v>107</v>
      </c>
      <c r="B71" s="1">
        <v>45884.353310185194</v>
      </c>
      <c r="C71" t="s">
        <v>27</v>
      </c>
      <c r="D71" t="s">
        <v>10</v>
      </c>
      <c r="E71" t="s">
        <v>17</v>
      </c>
      <c r="F71" t="s">
        <v>12</v>
      </c>
      <c r="G71">
        <v>0.06</v>
      </c>
      <c r="H71" s="8">
        <f>SUMIFS(OrderLines[LineNetAmount],OrderLines[OrderID],Orders[[#This Row],[OrderID]])</f>
        <v>56.710199999999993</v>
      </c>
      <c r="I71" t="str">
        <f>IF(COUNTIFS(OrderLines[OrderID],Orders[[#This Row],[OrderID]],OrderLines[Category],"Beverage"),"yes","no")</f>
        <v>yes</v>
      </c>
      <c r="J71" t="str">
        <f>IF(AND(COUNTIFS(OrderLines[OrderID],Orders[[#This Row],[OrderID]],OrderLines[Category],"Hot Meal"),Orders[[#This Row],[has beverage]]="yes"),"combo","single")</f>
        <v>single</v>
      </c>
      <c r="K71" s="8" t="str" cm="1">
        <f t="array" ref="K71">IF((SUMPRODUCT(OrderLines[UnitPrice],OrderLines[Qty],--(OrderLines[OrderID]=Orders[[#This Row],[OrderID]]))-Orders[[#This Row],[Revenue]])&gt;40,"high disc","ok")</f>
        <v>ok</v>
      </c>
      <c r="L71">
        <f>SUMIFS(OrderLines[Food Cost],OrderLines[OrderID],Orders[[#This Row],[OrderID]])</f>
        <v>24</v>
      </c>
      <c r="M71" s="8">
        <f>Orders[[#This Row],[Revenue]]-Orders[[#This Row],[total cost]]</f>
        <v>32.710199999999993</v>
      </c>
      <c r="N71" t="str" cm="1">
        <f t="array" ref="N71">_xlfn.TEXTJOIN("+",,_xlfn._xlws.SORT(_xlfn.UNIQUE(_xlfn._xlws.FILTER(OrderLines[Category],OrderLines[OrderID]=Orders[[#This Row],[OrderID]]))))</f>
        <v>Beverage</v>
      </c>
    </row>
    <row r="72" spans="1:14" x14ac:dyDescent="0.3">
      <c r="A72" t="s">
        <v>108</v>
      </c>
      <c r="B72" s="1">
        <v>45883.568043981482</v>
      </c>
      <c r="C72" t="s">
        <v>27</v>
      </c>
      <c r="D72" t="s">
        <v>16</v>
      </c>
      <c r="E72" t="s">
        <v>11</v>
      </c>
      <c r="F72" t="s">
        <v>22</v>
      </c>
      <c r="G72">
        <v>0.06</v>
      </c>
      <c r="H72" s="8">
        <f>SUMIFS(OrderLines[LineNetAmount],OrderLines[OrderID],Orders[[#This Row],[OrderID]])</f>
        <v>304.49419999999998</v>
      </c>
      <c r="I72" t="str">
        <f>IF(COUNTIFS(OrderLines[OrderID],Orders[[#This Row],[OrderID]],OrderLines[Category],"Beverage"),"yes","no")</f>
        <v>no</v>
      </c>
      <c r="J72" t="str">
        <f>IF(AND(COUNTIFS(OrderLines[OrderID],Orders[[#This Row],[OrderID]],OrderLines[Category],"Hot Meal"),Orders[[#This Row],[has beverage]]="yes"),"combo","single")</f>
        <v>single</v>
      </c>
      <c r="K72" s="8" t="str" cm="1">
        <f t="array" ref="K72">IF((SUMPRODUCT(OrderLines[UnitPrice],OrderLines[Qty],--(OrderLines[OrderID]=Orders[[#This Row],[OrderID]]))-Orders[[#This Row],[Revenue]])&gt;40,"high disc","ok")</f>
        <v>ok</v>
      </c>
      <c r="L72">
        <f>SUMIFS(OrderLines[Food Cost],OrderLines[OrderID],Orders[[#This Row],[OrderID]])</f>
        <v>150.52999999999997</v>
      </c>
      <c r="M72" s="8">
        <f>Orders[[#This Row],[Revenue]]-Orders[[#This Row],[total cost]]</f>
        <v>153.96420000000001</v>
      </c>
      <c r="N72" t="str" cm="1">
        <f t="array" ref="N72">_xlfn.TEXTJOIN("+",,_xlfn._xlws.SORT(_xlfn.UNIQUE(_xlfn._xlws.FILTER(OrderLines[Category],OrderLines[OrderID]=Orders[[#This Row],[OrderID]]))))</f>
        <v>Dessert+Hot Meal</v>
      </c>
    </row>
    <row r="73" spans="1:14" x14ac:dyDescent="0.3">
      <c r="A73" t="s">
        <v>109</v>
      </c>
      <c r="B73" s="1">
        <v>45893.516261574077</v>
      </c>
      <c r="C73" t="s">
        <v>9</v>
      </c>
      <c r="D73" t="s">
        <v>16</v>
      </c>
      <c r="E73" t="s">
        <v>21</v>
      </c>
      <c r="F73" t="s">
        <v>22</v>
      </c>
      <c r="G73">
        <v>0.16</v>
      </c>
      <c r="H73" s="8">
        <f>SUMIFS(OrderLines[LineNetAmount],OrderLines[OrderID],Orders[[#This Row],[OrderID]])</f>
        <v>336.36119999999994</v>
      </c>
      <c r="I73" t="str">
        <f>IF(COUNTIFS(OrderLines[OrderID],Orders[[#This Row],[OrderID]],OrderLines[Category],"Beverage"),"yes","no")</f>
        <v>yes</v>
      </c>
      <c r="J73" t="str">
        <f>IF(AND(COUNTIFS(OrderLines[OrderID],Orders[[#This Row],[OrderID]],OrderLines[Category],"Hot Meal"),Orders[[#This Row],[has beverage]]="yes"),"combo","single")</f>
        <v>combo</v>
      </c>
      <c r="K73" s="8" t="str" cm="1">
        <f t="array" ref="K73">IF((SUMPRODUCT(OrderLines[UnitPrice],OrderLines[Qty],--(OrderLines[OrderID]=Orders[[#This Row],[OrderID]]))-Orders[[#This Row],[Revenue]])&gt;40,"high disc","ok")</f>
        <v>high disc</v>
      </c>
      <c r="L73">
        <f>SUMIFS(OrderLines[Food Cost],OrderLines[OrderID],Orders[[#This Row],[OrderID]])</f>
        <v>176.20999999999998</v>
      </c>
      <c r="M73" s="8">
        <f>Orders[[#This Row],[Revenue]]-Orders[[#This Row],[total cost]]</f>
        <v>160.15119999999996</v>
      </c>
      <c r="N73" t="str" cm="1">
        <f t="array" ref="N73">_xlfn.TEXTJOIN("+",,_xlfn._xlws.SORT(_xlfn.UNIQUE(_xlfn._xlws.FILTER(OrderLines[Category],OrderLines[OrderID]=Orders[[#This Row],[OrderID]]))))</f>
        <v>Beverage+Hot Meal</v>
      </c>
    </row>
    <row r="74" spans="1:14" x14ac:dyDescent="0.3">
      <c r="A74" t="s">
        <v>110</v>
      </c>
      <c r="B74" s="1">
        <v>45880.68240740741</v>
      </c>
      <c r="C74" t="s">
        <v>9</v>
      </c>
      <c r="D74" t="s">
        <v>16</v>
      </c>
      <c r="E74" t="s">
        <v>17</v>
      </c>
      <c r="F74" t="s">
        <v>18</v>
      </c>
      <c r="G74">
        <v>0.05</v>
      </c>
      <c r="H74" s="8">
        <f>SUMIFS(OrderLines[LineNetAmount],OrderLines[OrderID],Orders[[#This Row],[OrderID]])</f>
        <v>95.36099999999999</v>
      </c>
      <c r="I74" t="str">
        <f>IF(COUNTIFS(OrderLines[OrderID],Orders[[#This Row],[OrderID]],OrderLines[Category],"Beverage"),"yes","no")</f>
        <v>no</v>
      </c>
      <c r="J74" t="str">
        <f>IF(AND(COUNTIFS(OrderLines[OrderID],Orders[[#This Row],[OrderID]],OrderLines[Category],"Hot Meal"),Orders[[#This Row],[has beverage]]="yes"),"combo","single")</f>
        <v>single</v>
      </c>
      <c r="K74" s="8" t="str" cm="1">
        <f t="array" ref="K74">IF((SUMPRODUCT(OrderLines[UnitPrice],OrderLines[Qty],--(OrderLines[OrderID]=Orders[[#This Row],[OrderID]]))-Orders[[#This Row],[Revenue]])&gt;40,"high disc","ok")</f>
        <v>ok</v>
      </c>
      <c r="L74">
        <f>SUMIFS(OrderLines[Food Cost],OrderLines[OrderID],Orders[[#This Row],[OrderID]])</f>
        <v>45.22</v>
      </c>
      <c r="M74" s="8">
        <f>Orders[[#This Row],[Revenue]]-Orders[[#This Row],[total cost]]</f>
        <v>50.140999999999991</v>
      </c>
      <c r="N74" t="str" cm="1">
        <f t="array" ref="N74">_xlfn.TEXTJOIN("+",,_xlfn._xlws.SORT(_xlfn.UNIQUE(_xlfn._xlws.FILTER(OrderLines[Category],OrderLines[OrderID]=Orders[[#This Row],[OrderID]]))))</f>
        <v>Snack</v>
      </c>
    </row>
    <row r="75" spans="1:14" x14ac:dyDescent="0.3">
      <c r="A75" t="s">
        <v>111</v>
      </c>
      <c r="B75" s="1">
        <v>45882.947430555563</v>
      </c>
      <c r="C75" t="s">
        <v>15</v>
      </c>
      <c r="D75" t="s">
        <v>28</v>
      </c>
      <c r="E75" t="s">
        <v>11</v>
      </c>
      <c r="F75" t="s">
        <v>18</v>
      </c>
      <c r="G75">
        <v>7.0000000000000007E-2</v>
      </c>
      <c r="H75" s="8">
        <f>SUMIFS(OrderLines[LineNetAmount],OrderLines[OrderID],Orders[[#This Row],[OrderID]])</f>
        <v>835.66079999999988</v>
      </c>
      <c r="I75" t="str">
        <f>IF(COUNTIFS(OrderLines[OrderID],Orders[[#This Row],[OrderID]],OrderLines[Category],"Beverage"),"yes","no")</f>
        <v>yes</v>
      </c>
      <c r="J75" t="str">
        <f>IF(AND(COUNTIFS(OrderLines[OrderID],Orders[[#This Row],[OrderID]],OrderLines[Category],"Hot Meal"),Orders[[#This Row],[has beverage]]="yes"),"combo","single")</f>
        <v>combo</v>
      </c>
      <c r="K75" s="8" t="str" cm="1">
        <f t="array" ref="K75">IF((SUMPRODUCT(OrderLines[UnitPrice],OrderLines[Qty],--(OrderLines[OrderID]=Orders[[#This Row],[OrderID]]))-Orders[[#This Row],[Revenue]])&gt;40,"high disc","ok")</f>
        <v>high disc</v>
      </c>
      <c r="L75">
        <f>SUMIFS(OrderLines[Food Cost],OrderLines[OrderID],Orders[[#This Row],[OrderID]])</f>
        <v>395.46</v>
      </c>
      <c r="M75" s="8">
        <f>Orders[[#This Row],[Revenue]]-Orders[[#This Row],[total cost]]</f>
        <v>440.2007999999999</v>
      </c>
      <c r="N75" t="str" cm="1">
        <f t="array" ref="N75">_xlfn.TEXTJOIN("+",,_xlfn._xlws.SORT(_xlfn.UNIQUE(_xlfn._xlws.FILTER(OrderLines[Category],OrderLines[OrderID]=Orders[[#This Row],[OrderID]]))))</f>
        <v>Beverage+Hot Meal+Snack</v>
      </c>
    </row>
    <row r="76" spans="1:14" x14ac:dyDescent="0.3">
      <c r="A76" t="s">
        <v>112</v>
      </c>
      <c r="B76" s="1">
        <v>45889.863182870373</v>
      </c>
      <c r="C76" t="s">
        <v>15</v>
      </c>
      <c r="D76" t="s">
        <v>10</v>
      </c>
      <c r="E76" t="s">
        <v>17</v>
      </c>
      <c r="F76" t="s">
        <v>18</v>
      </c>
      <c r="G76">
        <v>0.06</v>
      </c>
      <c r="H76" s="8">
        <f>SUMIFS(OrderLines[LineNetAmount],OrderLines[OrderID],Orders[[#This Row],[OrderID]])</f>
        <v>512.8922</v>
      </c>
      <c r="I76" t="str">
        <f>IF(COUNTIFS(OrderLines[OrderID],Orders[[#This Row],[OrderID]],OrderLines[Category],"Beverage"),"yes","no")</f>
        <v>yes</v>
      </c>
      <c r="J76" t="str">
        <f>IF(AND(COUNTIFS(OrderLines[OrderID],Orders[[#This Row],[OrderID]],OrderLines[Category],"Hot Meal"),Orders[[#This Row],[has beverage]]="yes"),"combo","single")</f>
        <v>combo</v>
      </c>
      <c r="K76" s="8" t="str" cm="1">
        <f t="array" ref="K76">IF((SUMPRODUCT(OrderLines[UnitPrice],OrderLines[Qty],--(OrderLines[OrderID]=Orders[[#This Row],[OrderID]]))-Orders[[#This Row],[Revenue]])&gt;40,"high disc","ok")</f>
        <v>ok</v>
      </c>
      <c r="L76">
        <f>SUMIFS(OrderLines[Food Cost],OrderLines[OrderID],Orders[[#This Row],[OrderID]])</f>
        <v>275.25</v>
      </c>
      <c r="M76" s="8">
        <f>Orders[[#This Row],[Revenue]]-Orders[[#This Row],[total cost]]</f>
        <v>237.6422</v>
      </c>
      <c r="N76" t="str" cm="1">
        <f t="array" ref="N76">_xlfn.TEXTJOIN("+",,_xlfn._xlws.SORT(_xlfn.UNIQUE(_xlfn._xlws.FILTER(OrderLines[Category],OrderLines[OrderID]=Orders[[#This Row],[OrderID]]))))</f>
        <v>Beverage+Hot Meal+Snack</v>
      </c>
    </row>
    <row r="77" spans="1:14" x14ac:dyDescent="0.3">
      <c r="A77" t="s">
        <v>113</v>
      </c>
      <c r="B77" s="1">
        <v>45881.957384259258</v>
      </c>
      <c r="C77" t="s">
        <v>27</v>
      </c>
      <c r="D77" t="s">
        <v>10</v>
      </c>
      <c r="E77" t="s">
        <v>21</v>
      </c>
      <c r="F77" t="s">
        <v>18</v>
      </c>
      <c r="G77">
        <v>0.01</v>
      </c>
      <c r="H77" s="8">
        <f>SUMIFS(OrderLines[LineNetAmount],OrderLines[OrderID],Orders[[#This Row],[OrderID]])</f>
        <v>393.21810000000005</v>
      </c>
      <c r="I77" t="str">
        <f>IF(COUNTIFS(OrderLines[OrderID],Orders[[#This Row],[OrderID]],OrderLines[Category],"Beverage"),"yes","no")</f>
        <v>no</v>
      </c>
      <c r="J77" t="str">
        <f>IF(AND(COUNTIFS(OrderLines[OrderID],Orders[[#This Row],[OrderID]],OrderLines[Category],"Hot Meal"),Orders[[#This Row],[has beverage]]="yes"),"combo","single")</f>
        <v>single</v>
      </c>
      <c r="K77" s="8" t="str" cm="1">
        <f t="array" ref="K77">IF((SUMPRODUCT(OrderLines[UnitPrice],OrderLines[Qty],--(OrderLines[OrderID]=Orders[[#This Row],[OrderID]]))-Orders[[#This Row],[Revenue]])&gt;40,"high disc","ok")</f>
        <v>ok</v>
      </c>
      <c r="L77">
        <f>SUMIFS(OrderLines[Food Cost],OrderLines[OrderID],Orders[[#This Row],[OrderID]])</f>
        <v>206.4</v>
      </c>
      <c r="M77" s="8">
        <f>Orders[[#This Row],[Revenue]]-Orders[[#This Row],[total cost]]</f>
        <v>186.81810000000004</v>
      </c>
      <c r="N77" t="str" cm="1">
        <f t="array" ref="N77">_xlfn.TEXTJOIN("+",,_xlfn._xlws.SORT(_xlfn.UNIQUE(_xlfn._xlws.FILTER(OrderLines[Category],OrderLines[OrderID]=Orders[[#This Row],[OrderID]]))))</f>
        <v>Dessert+Hot Meal+Snack</v>
      </c>
    </row>
    <row r="78" spans="1:14" x14ac:dyDescent="0.3">
      <c r="A78" t="s">
        <v>114</v>
      </c>
      <c r="B78" s="1">
        <v>45865.630914351852</v>
      </c>
      <c r="C78" t="s">
        <v>15</v>
      </c>
      <c r="D78" t="s">
        <v>16</v>
      </c>
      <c r="E78" t="s">
        <v>11</v>
      </c>
      <c r="F78" t="s">
        <v>22</v>
      </c>
      <c r="G78">
        <v>0.11</v>
      </c>
      <c r="H78" s="8">
        <f>SUMIFS(OrderLines[LineNetAmount],OrderLines[OrderID],Orders[[#This Row],[OrderID]])</f>
        <v>92.132800000000003</v>
      </c>
      <c r="I78" t="str">
        <f>IF(COUNTIFS(OrderLines[OrderID],Orders[[#This Row],[OrderID]],OrderLines[Category],"Beverage"),"yes","no")</f>
        <v>yes</v>
      </c>
      <c r="J78" t="str">
        <f>IF(AND(COUNTIFS(OrderLines[OrderID],Orders[[#This Row],[OrderID]],OrderLines[Category],"Hot Meal"),Orders[[#This Row],[has beverage]]="yes"),"combo","single")</f>
        <v>single</v>
      </c>
      <c r="K78" s="8" t="str" cm="1">
        <f t="array" ref="K78">IF((SUMPRODUCT(OrderLines[UnitPrice],OrderLines[Qty],--(OrderLines[OrderID]=Orders[[#This Row],[OrderID]]))-Orders[[#This Row],[Revenue]])&gt;40,"high disc","ok")</f>
        <v>ok</v>
      </c>
      <c r="L78">
        <f>SUMIFS(OrderLines[Food Cost],OrderLines[OrderID],Orders[[#This Row],[OrderID]])</f>
        <v>47.650000000000006</v>
      </c>
      <c r="M78" s="8">
        <f>Orders[[#This Row],[Revenue]]-Orders[[#This Row],[total cost]]</f>
        <v>44.482799999999997</v>
      </c>
      <c r="N78" t="str" cm="1">
        <f t="array" ref="N78">_xlfn.TEXTJOIN("+",,_xlfn._xlws.SORT(_xlfn.UNIQUE(_xlfn._xlws.FILTER(OrderLines[Category],OrderLines[OrderID]=Orders[[#This Row],[OrderID]]))))</f>
        <v>Beverage+Snack</v>
      </c>
    </row>
    <row r="79" spans="1:14" x14ac:dyDescent="0.3">
      <c r="A79" t="s">
        <v>115</v>
      </c>
      <c r="B79" s="1">
        <v>45852.68478009259</v>
      </c>
      <c r="C79" t="s">
        <v>27</v>
      </c>
      <c r="D79" t="s">
        <v>28</v>
      </c>
      <c r="E79" t="s">
        <v>21</v>
      </c>
      <c r="F79" t="s">
        <v>18</v>
      </c>
      <c r="G79">
        <v>0.09</v>
      </c>
      <c r="H79" s="8">
        <f>SUMIFS(OrderLines[LineNetAmount],OrderLines[OrderID],Orders[[#This Row],[OrderID]])</f>
        <v>135.70830000000001</v>
      </c>
      <c r="I79" t="str">
        <f>IF(COUNTIFS(OrderLines[OrderID],Orders[[#This Row],[OrderID]],OrderLines[Category],"Beverage"),"yes","no")</f>
        <v>yes</v>
      </c>
      <c r="J79" t="str">
        <f>IF(AND(COUNTIFS(OrderLines[OrderID],Orders[[#This Row],[OrderID]],OrderLines[Category],"Hot Meal"),Orders[[#This Row],[has beverage]]="yes"),"combo","single")</f>
        <v>single</v>
      </c>
      <c r="K79" s="8" t="str" cm="1">
        <f t="array" ref="K79">IF((SUMPRODUCT(OrderLines[UnitPrice],OrderLines[Qty],--(OrderLines[OrderID]=Orders[[#This Row],[OrderID]]))-Orders[[#This Row],[Revenue]])&gt;40,"high disc","ok")</f>
        <v>ok</v>
      </c>
      <c r="L79">
        <f>SUMIFS(OrderLines[Food Cost],OrderLines[OrderID],Orders[[#This Row],[OrderID]])</f>
        <v>58.129999999999995</v>
      </c>
      <c r="M79" s="8">
        <f>Orders[[#This Row],[Revenue]]-Orders[[#This Row],[total cost]]</f>
        <v>77.578300000000013</v>
      </c>
      <c r="N79" t="str" cm="1">
        <f t="array" ref="N79">_xlfn.TEXTJOIN("+",,_xlfn._xlws.SORT(_xlfn.UNIQUE(_xlfn._xlws.FILTER(OrderLines[Category],OrderLines[OrderID]=Orders[[#This Row],[OrderID]]))))</f>
        <v>Beverage+Snack</v>
      </c>
    </row>
    <row r="80" spans="1:14" x14ac:dyDescent="0.3">
      <c r="A80" t="s">
        <v>116</v>
      </c>
      <c r="B80" s="1">
        <v>45860.02275462963</v>
      </c>
      <c r="C80" t="s">
        <v>27</v>
      </c>
      <c r="D80" t="s">
        <v>16</v>
      </c>
      <c r="E80" t="s">
        <v>21</v>
      </c>
      <c r="F80" t="s">
        <v>12</v>
      </c>
      <c r="G80">
        <v>0.09</v>
      </c>
      <c r="H80" s="8">
        <f>SUMIFS(OrderLines[LineNetAmount],OrderLines[OrderID],Orders[[#This Row],[OrderID]])</f>
        <v>86.377200000000016</v>
      </c>
      <c r="I80" t="str">
        <f>IF(COUNTIFS(OrderLines[OrderID],Orders[[#This Row],[OrderID]],OrderLines[Category],"Beverage"),"yes","no")</f>
        <v>yes</v>
      </c>
      <c r="J80" t="str">
        <f>IF(AND(COUNTIFS(OrderLines[OrderID],Orders[[#This Row],[OrderID]],OrderLines[Category],"Hot Meal"),Orders[[#This Row],[has beverage]]="yes"),"combo","single")</f>
        <v>single</v>
      </c>
      <c r="K80" s="8" t="str" cm="1">
        <f t="array" ref="K80">IF((SUMPRODUCT(OrderLines[UnitPrice],OrderLines[Qty],--(OrderLines[OrderID]=Orders[[#This Row],[OrderID]]))-Orders[[#This Row],[Revenue]])&gt;40,"high disc","ok")</f>
        <v>ok</v>
      </c>
      <c r="L80">
        <f>SUMIFS(OrderLines[Food Cost],OrderLines[OrderID],Orders[[#This Row],[OrderID]])</f>
        <v>47.33</v>
      </c>
      <c r="M80" s="8">
        <f>Orders[[#This Row],[Revenue]]-Orders[[#This Row],[total cost]]</f>
        <v>39.047200000000018</v>
      </c>
      <c r="N80" t="str" cm="1">
        <f t="array" ref="N80">_xlfn.TEXTJOIN("+",,_xlfn._xlws.SORT(_xlfn.UNIQUE(_xlfn._xlws.FILTER(OrderLines[Category],OrderLines[OrderID]=Orders[[#This Row],[OrderID]]))))</f>
        <v>Beverage+Snack</v>
      </c>
    </row>
    <row r="81" spans="1:14" x14ac:dyDescent="0.3">
      <c r="A81" t="s">
        <v>117</v>
      </c>
      <c r="B81" s="1">
        <v>45891.932314814818</v>
      </c>
      <c r="C81" t="s">
        <v>15</v>
      </c>
      <c r="D81" t="s">
        <v>16</v>
      </c>
      <c r="E81" t="s">
        <v>17</v>
      </c>
      <c r="F81" t="s">
        <v>18</v>
      </c>
      <c r="G81">
        <v>0.02</v>
      </c>
      <c r="H81" s="8">
        <f>SUMIFS(OrderLines[LineNetAmount],OrderLines[OrderID],Orders[[#This Row],[OrderID]])</f>
        <v>419.39100000000002</v>
      </c>
      <c r="I81" t="str">
        <f>IF(COUNTIFS(OrderLines[OrderID],Orders[[#This Row],[OrderID]],OrderLines[Category],"Beverage"),"yes","no")</f>
        <v>yes</v>
      </c>
      <c r="J81" t="str">
        <f>IF(AND(COUNTIFS(OrderLines[OrderID],Orders[[#This Row],[OrderID]],OrderLines[Category],"Hot Meal"),Orders[[#This Row],[has beverage]]="yes"),"combo","single")</f>
        <v>combo</v>
      </c>
      <c r="K81" s="8" t="str" cm="1">
        <f t="array" ref="K81">IF((SUMPRODUCT(OrderLines[UnitPrice],OrderLines[Qty],--(OrderLines[OrderID]=Orders[[#This Row],[OrderID]]))-Orders[[#This Row],[Revenue]])&gt;40,"high disc","ok")</f>
        <v>ok</v>
      </c>
      <c r="L81">
        <f>SUMIFS(OrderLines[Food Cost],OrderLines[OrderID],Orders[[#This Row],[OrderID]])</f>
        <v>192.04000000000002</v>
      </c>
      <c r="M81" s="8">
        <f>Orders[[#This Row],[Revenue]]-Orders[[#This Row],[total cost]]</f>
        <v>227.351</v>
      </c>
      <c r="N81" t="str" cm="1">
        <f t="array" ref="N81">_xlfn.TEXTJOIN("+",,_xlfn._xlws.SORT(_xlfn.UNIQUE(_xlfn._xlws.FILTER(OrderLines[Category],OrderLines[OrderID]=Orders[[#This Row],[OrderID]]))))</f>
        <v>Beverage+Hot Meal</v>
      </c>
    </row>
    <row r="82" spans="1:14" x14ac:dyDescent="0.3">
      <c r="A82" t="s">
        <v>118</v>
      </c>
      <c r="B82" s="1">
        <v>45880.041886574072</v>
      </c>
      <c r="C82" t="s">
        <v>15</v>
      </c>
      <c r="D82" t="s">
        <v>10</v>
      </c>
      <c r="E82" t="s">
        <v>11</v>
      </c>
      <c r="F82" t="s">
        <v>12</v>
      </c>
      <c r="G82">
        <v>0.12</v>
      </c>
      <c r="H82" s="8">
        <f>SUMIFS(OrderLines[LineNetAmount],OrderLines[OrderID],Orders[[#This Row],[OrderID]])</f>
        <v>44.167200000000001</v>
      </c>
      <c r="I82" t="str">
        <f>IF(COUNTIFS(OrderLines[OrderID],Orders[[#This Row],[OrderID]],OrderLines[Category],"Beverage"),"yes","no")</f>
        <v>no</v>
      </c>
      <c r="J82" t="str">
        <f>IF(AND(COUNTIFS(OrderLines[OrderID],Orders[[#This Row],[OrderID]],OrderLines[Category],"Hot Meal"),Orders[[#This Row],[has beverage]]="yes"),"combo","single")</f>
        <v>single</v>
      </c>
      <c r="K82" s="8" t="str" cm="1">
        <f t="array" ref="K82">IF((SUMPRODUCT(OrderLines[UnitPrice],OrderLines[Qty],--(OrderLines[OrderID]=Orders[[#This Row],[OrderID]]))-Orders[[#This Row],[Revenue]])&gt;40,"high disc","ok")</f>
        <v>ok</v>
      </c>
      <c r="L82">
        <f>SUMIFS(OrderLines[Food Cost],OrderLines[OrderID],Orders[[#This Row],[OrderID]])</f>
        <v>22.61</v>
      </c>
      <c r="M82" s="8">
        <f>Orders[[#This Row],[Revenue]]-Orders[[#This Row],[total cost]]</f>
        <v>21.557200000000002</v>
      </c>
      <c r="N82" t="str" cm="1">
        <f t="array" ref="N82">_xlfn.TEXTJOIN("+",,_xlfn._xlws.SORT(_xlfn.UNIQUE(_xlfn._xlws.FILTER(OrderLines[Category],OrderLines[OrderID]=Orders[[#This Row],[OrderID]]))))</f>
        <v>Snack</v>
      </c>
    </row>
    <row r="83" spans="1:14" x14ac:dyDescent="0.3">
      <c r="A83" t="s">
        <v>119</v>
      </c>
      <c r="B83" s="1">
        <v>45895.14398148148</v>
      </c>
      <c r="C83" t="s">
        <v>15</v>
      </c>
      <c r="D83" t="s">
        <v>16</v>
      </c>
      <c r="E83" t="s">
        <v>17</v>
      </c>
      <c r="F83" t="s">
        <v>12</v>
      </c>
      <c r="G83">
        <v>0</v>
      </c>
      <c r="H83" s="8">
        <f>SUMIFS(OrderLines[LineNetAmount],OrderLines[OrderID],Orders[[#This Row],[OrderID]])</f>
        <v>119.85000000000001</v>
      </c>
      <c r="I83" t="str">
        <f>IF(COUNTIFS(OrderLines[OrderID],Orders[[#This Row],[OrderID]],OrderLines[Category],"Beverage"),"yes","no")</f>
        <v>no</v>
      </c>
      <c r="J83" t="str">
        <f>IF(AND(COUNTIFS(OrderLines[OrderID],Orders[[#This Row],[OrderID]],OrderLines[Category],"Hot Meal"),Orders[[#This Row],[has beverage]]="yes"),"combo","single")</f>
        <v>single</v>
      </c>
      <c r="K83" s="8" t="str" cm="1">
        <f t="array" ref="K83">IF((SUMPRODUCT(OrderLines[UnitPrice],OrderLines[Qty],--(OrderLines[OrderID]=Orders[[#This Row],[OrderID]]))-Orders[[#This Row],[Revenue]])&gt;40,"high disc","ok")</f>
        <v>ok</v>
      </c>
      <c r="L83">
        <f>SUMIFS(OrderLines[Food Cost],OrderLines[OrderID],Orders[[#This Row],[OrderID]])</f>
        <v>46.53</v>
      </c>
      <c r="M83" s="8">
        <f>Orders[[#This Row],[Revenue]]-Orders[[#This Row],[total cost]]</f>
        <v>73.320000000000007</v>
      </c>
      <c r="N83" t="str" cm="1">
        <f t="array" ref="N83">_xlfn.TEXTJOIN("+",,_xlfn._xlws.SORT(_xlfn.UNIQUE(_xlfn._xlws.FILTER(OrderLines[Category],OrderLines[OrderID]=Orders[[#This Row],[OrderID]]))))</f>
        <v>Snack</v>
      </c>
    </row>
    <row r="84" spans="1:14" x14ac:dyDescent="0.3">
      <c r="A84" t="s">
        <v>120</v>
      </c>
      <c r="B84" s="1">
        <v>45868.242407407408</v>
      </c>
      <c r="C84" t="s">
        <v>15</v>
      </c>
      <c r="D84" t="s">
        <v>16</v>
      </c>
      <c r="E84" t="s">
        <v>11</v>
      </c>
      <c r="F84" t="s">
        <v>12</v>
      </c>
      <c r="G84">
        <v>0.08</v>
      </c>
      <c r="H84" s="8">
        <f>SUMIFS(OrderLines[LineNetAmount],OrderLines[OrderID],Orders[[#This Row],[OrderID]])</f>
        <v>297.28880000000004</v>
      </c>
      <c r="I84" t="str">
        <f>IF(COUNTIFS(OrderLines[OrderID],Orders[[#This Row],[OrderID]],OrderLines[Category],"Beverage"),"yes","no")</f>
        <v>yes</v>
      </c>
      <c r="J84" t="str">
        <f>IF(AND(COUNTIFS(OrderLines[OrderID],Orders[[#This Row],[OrderID]],OrderLines[Category],"Hot Meal"),Orders[[#This Row],[has beverage]]="yes"),"combo","single")</f>
        <v>combo</v>
      </c>
      <c r="K84" s="8" t="str" cm="1">
        <f t="array" ref="K84">IF((SUMPRODUCT(OrderLines[UnitPrice],OrderLines[Qty],--(OrderLines[OrderID]=Orders[[#This Row],[OrderID]]))-Orders[[#This Row],[Revenue]])&gt;40,"high disc","ok")</f>
        <v>ok</v>
      </c>
      <c r="L84">
        <f>SUMIFS(OrderLines[Food Cost],OrderLines[OrderID],Orders[[#This Row],[OrderID]])</f>
        <v>176.02</v>
      </c>
      <c r="M84" s="8">
        <f>Orders[[#This Row],[Revenue]]-Orders[[#This Row],[total cost]]</f>
        <v>121.26880000000003</v>
      </c>
      <c r="N84" t="str" cm="1">
        <f t="array" ref="N84">_xlfn.TEXTJOIN("+",,_xlfn._xlws.SORT(_xlfn.UNIQUE(_xlfn._xlws.FILTER(OrderLines[Category],OrderLines[OrderID]=Orders[[#This Row],[OrderID]]))))</f>
        <v>Beverage+Hot Meal</v>
      </c>
    </row>
    <row r="85" spans="1:14" x14ac:dyDescent="0.3">
      <c r="A85" t="s">
        <v>121</v>
      </c>
      <c r="B85" s="1">
        <v>45897.820011574076</v>
      </c>
      <c r="C85" t="s">
        <v>27</v>
      </c>
      <c r="D85" t="s">
        <v>16</v>
      </c>
      <c r="E85" t="s">
        <v>17</v>
      </c>
      <c r="F85" t="s">
        <v>18</v>
      </c>
      <c r="G85">
        <v>0.15</v>
      </c>
      <c r="H85" s="8">
        <f>SUMIFS(OrderLines[LineNetAmount],OrderLines[OrderID],Orders[[#This Row],[OrderID]])</f>
        <v>200.50649999999999</v>
      </c>
      <c r="I85" t="str">
        <f>IF(COUNTIFS(OrderLines[OrderID],Orders[[#This Row],[OrderID]],OrderLines[Category],"Beverage"),"yes","no")</f>
        <v>yes</v>
      </c>
      <c r="J85" t="str">
        <f>IF(AND(COUNTIFS(OrderLines[OrderID],Orders[[#This Row],[OrderID]],OrderLines[Category],"Hot Meal"),Orders[[#This Row],[has beverage]]="yes"),"combo","single")</f>
        <v>single</v>
      </c>
      <c r="K85" s="8" t="str" cm="1">
        <f t="array" ref="K85">IF((SUMPRODUCT(OrderLines[UnitPrice],OrderLines[Qty],--(OrderLines[OrderID]=Orders[[#This Row],[OrderID]]))-Orders[[#This Row],[Revenue]])&gt;40,"high disc","ok")</f>
        <v>ok</v>
      </c>
      <c r="L85">
        <f>SUMIFS(OrderLines[Food Cost],OrderLines[OrderID],Orders[[#This Row],[OrderID]])</f>
        <v>116.43999999999998</v>
      </c>
      <c r="M85" s="8">
        <f>Orders[[#This Row],[Revenue]]-Orders[[#This Row],[total cost]]</f>
        <v>84.066500000000005</v>
      </c>
      <c r="N85" t="str" cm="1">
        <f t="array" ref="N85">_xlfn.TEXTJOIN("+",,_xlfn._xlws.SORT(_xlfn.UNIQUE(_xlfn._xlws.FILTER(OrderLines[Category],OrderLines[OrderID]=Orders[[#This Row],[OrderID]]))))</f>
        <v>Beverage+Dessert+Snack</v>
      </c>
    </row>
    <row r="86" spans="1:14" x14ac:dyDescent="0.3">
      <c r="A86" t="s">
        <v>122</v>
      </c>
      <c r="B86" s="1">
        <v>45881.565474537027</v>
      </c>
      <c r="C86" t="s">
        <v>15</v>
      </c>
      <c r="D86" t="s">
        <v>28</v>
      </c>
      <c r="E86" t="s">
        <v>21</v>
      </c>
      <c r="F86" t="s">
        <v>22</v>
      </c>
      <c r="G86">
        <v>0.02</v>
      </c>
      <c r="H86" s="8">
        <f>SUMIFS(OrderLines[LineNetAmount],OrderLines[OrderID],Orders[[#This Row],[OrderID]])</f>
        <v>151.48840000000001</v>
      </c>
      <c r="I86" t="str">
        <f>IF(COUNTIFS(OrderLines[OrderID],Orders[[#This Row],[OrderID]],OrderLines[Category],"Beverage"),"yes","no")</f>
        <v>no</v>
      </c>
      <c r="J86" t="str">
        <f>IF(AND(COUNTIFS(OrderLines[OrderID],Orders[[#This Row],[OrderID]],OrderLines[Category],"Hot Meal"),Orders[[#This Row],[has beverage]]="yes"),"combo","single")</f>
        <v>single</v>
      </c>
      <c r="K86" s="8" t="str" cm="1">
        <f t="array" ref="K86">IF((SUMPRODUCT(OrderLines[UnitPrice],OrderLines[Qty],--(OrderLines[OrderID]=Orders[[#This Row],[OrderID]]))-Orders[[#This Row],[Revenue]])&gt;40,"high disc","ok")</f>
        <v>ok</v>
      </c>
      <c r="L86">
        <f>SUMIFS(OrderLines[Food Cost],OrderLines[OrderID],Orders[[#This Row],[OrderID]])</f>
        <v>67.17</v>
      </c>
      <c r="M86" s="8">
        <f>Orders[[#This Row],[Revenue]]-Orders[[#This Row],[total cost]]</f>
        <v>84.318400000000011</v>
      </c>
      <c r="N86" t="str" cm="1">
        <f t="array" ref="N86">_xlfn.TEXTJOIN("+",,_xlfn._xlws.SORT(_xlfn.UNIQUE(_xlfn._xlws.FILTER(OrderLines[Category],OrderLines[OrderID]=Orders[[#This Row],[OrderID]]))))</f>
        <v>Dessert+Snack</v>
      </c>
    </row>
    <row r="87" spans="1:14" x14ac:dyDescent="0.3">
      <c r="A87" t="s">
        <v>123</v>
      </c>
      <c r="B87" s="1">
        <v>45878.505254629628</v>
      </c>
      <c r="C87" t="s">
        <v>9</v>
      </c>
      <c r="D87" t="s">
        <v>28</v>
      </c>
      <c r="E87" t="s">
        <v>21</v>
      </c>
      <c r="F87" t="s">
        <v>22</v>
      </c>
      <c r="G87">
        <v>0.04</v>
      </c>
      <c r="H87" s="8">
        <f>SUMIFS(OrderLines[LineNetAmount],OrderLines[OrderID],Orders[[#This Row],[OrderID]])</f>
        <v>178.63679999999999</v>
      </c>
      <c r="I87" t="str">
        <f>IF(COUNTIFS(OrderLines[OrderID],Orders[[#This Row],[OrderID]],OrderLines[Category],"Beverage"),"yes","no")</f>
        <v>yes</v>
      </c>
      <c r="J87" t="str">
        <f>IF(AND(COUNTIFS(OrderLines[OrderID],Orders[[#This Row],[OrderID]],OrderLines[Category],"Hot Meal"),Orders[[#This Row],[has beverage]]="yes"),"combo","single")</f>
        <v>single</v>
      </c>
      <c r="K87" s="8" t="str" cm="1">
        <f t="array" ref="K87">IF((SUMPRODUCT(OrderLines[UnitPrice],OrderLines[Qty],--(OrderLines[OrderID]=Orders[[#This Row],[OrderID]]))-Orders[[#This Row],[Revenue]])&gt;40,"high disc","ok")</f>
        <v>ok</v>
      </c>
      <c r="L87">
        <f>SUMIFS(OrderLines[Food Cost],OrderLines[OrderID],Orders[[#This Row],[OrderID]])</f>
        <v>88.3</v>
      </c>
      <c r="M87" s="8">
        <f>Orders[[#This Row],[Revenue]]-Orders[[#This Row],[total cost]]</f>
        <v>90.336799999999997</v>
      </c>
      <c r="N87" t="str" cm="1">
        <f t="array" ref="N87">_xlfn.TEXTJOIN("+",,_xlfn._xlws.SORT(_xlfn.UNIQUE(_xlfn._xlws.FILTER(OrderLines[Category],OrderLines[OrderID]=Orders[[#This Row],[OrderID]]))))</f>
        <v>Beverage+Dessert</v>
      </c>
    </row>
    <row r="88" spans="1:14" x14ac:dyDescent="0.3">
      <c r="A88" t="s">
        <v>124</v>
      </c>
      <c r="B88" s="1">
        <v>45891.108252314807</v>
      </c>
      <c r="C88" t="s">
        <v>27</v>
      </c>
      <c r="D88" t="s">
        <v>16</v>
      </c>
      <c r="E88" t="s">
        <v>11</v>
      </c>
      <c r="F88" t="s">
        <v>12</v>
      </c>
      <c r="G88">
        <v>0.06</v>
      </c>
      <c r="H88" s="8">
        <f>SUMIFS(OrderLines[LineNetAmount],OrderLines[OrderID],Orders[[#This Row],[OrderID]])</f>
        <v>252.08920000000001</v>
      </c>
      <c r="I88" t="str">
        <f>IF(COUNTIFS(OrderLines[OrderID],Orders[[#This Row],[OrderID]],OrderLines[Category],"Beverage"),"yes","no")</f>
        <v>yes</v>
      </c>
      <c r="J88" t="str">
        <f>IF(AND(COUNTIFS(OrderLines[OrderID],Orders[[#This Row],[OrderID]],OrderLines[Category],"Hot Meal"),Orders[[#This Row],[has beverage]]="yes"),"combo","single")</f>
        <v>single</v>
      </c>
      <c r="K88" s="8" t="str" cm="1">
        <f t="array" ref="K88">IF((SUMPRODUCT(OrderLines[UnitPrice],OrderLines[Qty],--(OrderLines[OrderID]=Orders[[#This Row],[OrderID]]))-Orders[[#This Row],[Revenue]])&gt;40,"high disc","ok")</f>
        <v>ok</v>
      </c>
      <c r="L88">
        <f>SUMIFS(OrderLines[Food Cost],OrderLines[OrderID],Orders[[#This Row],[OrderID]])</f>
        <v>132.60000000000002</v>
      </c>
      <c r="M88" s="8">
        <f>Orders[[#This Row],[Revenue]]-Orders[[#This Row],[total cost]]</f>
        <v>119.48919999999998</v>
      </c>
      <c r="N88" t="str" cm="1">
        <f t="array" ref="N88">_xlfn.TEXTJOIN("+",,_xlfn._xlws.SORT(_xlfn.UNIQUE(_xlfn._xlws.FILTER(OrderLines[Category],OrderLines[OrderID]=Orders[[#This Row],[OrderID]]))))</f>
        <v>Beverage+Snack</v>
      </c>
    </row>
    <row r="89" spans="1:14" x14ac:dyDescent="0.3">
      <c r="A89" t="s">
        <v>125</v>
      </c>
      <c r="B89" s="1">
        <v>45847.40048611111</v>
      </c>
      <c r="C89" t="s">
        <v>9</v>
      </c>
      <c r="D89" t="s">
        <v>16</v>
      </c>
      <c r="E89" t="s">
        <v>17</v>
      </c>
      <c r="F89" t="s">
        <v>12</v>
      </c>
      <c r="G89">
        <v>0.04</v>
      </c>
      <c r="H89" s="8">
        <f>SUMIFS(OrderLines[LineNetAmount],OrderLines[OrderID],Orders[[#This Row],[OrderID]])</f>
        <v>291.99360000000001</v>
      </c>
      <c r="I89" t="str">
        <f>IF(COUNTIFS(OrderLines[OrderID],Orders[[#This Row],[OrderID]],OrderLines[Category],"Beverage"),"yes","no")</f>
        <v>no</v>
      </c>
      <c r="J89" t="str">
        <f>IF(AND(COUNTIFS(OrderLines[OrderID],Orders[[#This Row],[OrderID]],OrderLines[Category],"Hot Meal"),Orders[[#This Row],[has beverage]]="yes"),"combo","single")</f>
        <v>single</v>
      </c>
      <c r="K89" s="8" t="str" cm="1">
        <f t="array" ref="K89">IF((SUMPRODUCT(OrderLines[UnitPrice],OrderLines[Qty],--(OrderLines[OrderID]=Orders[[#This Row],[OrderID]]))-Orders[[#This Row],[Revenue]])&gt;40,"high disc","ok")</f>
        <v>ok</v>
      </c>
      <c r="L89">
        <f>SUMIFS(OrderLines[Food Cost],OrderLines[OrderID],Orders[[#This Row],[OrderID]])</f>
        <v>134.44999999999999</v>
      </c>
      <c r="M89" s="8">
        <f>Orders[[#This Row],[Revenue]]-Orders[[#This Row],[total cost]]</f>
        <v>157.54360000000003</v>
      </c>
      <c r="N89" t="str" cm="1">
        <f t="array" ref="N89">_xlfn.TEXTJOIN("+",,_xlfn._xlws.SORT(_xlfn.UNIQUE(_xlfn._xlws.FILTER(OrderLines[Category],OrderLines[OrderID]=Orders[[#This Row],[OrderID]]))))</f>
        <v>Dessert+Hot Meal</v>
      </c>
    </row>
    <row r="90" spans="1:14" x14ac:dyDescent="0.3">
      <c r="A90" t="s">
        <v>126</v>
      </c>
      <c r="B90" s="1">
        <v>45856.894131944442</v>
      </c>
      <c r="C90" t="s">
        <v>27</v>
      </c>
      <c r="D90" t="s">
        <v>16</v>
      </c>
      <c r="E90" t="s">
        <v>21</v>
      </c>
      <c r="F90" t="s">
        <v>18</v>
      </c>
      <c r="G90">
        <v>0</v>
      </c>
      <c r="H90" s="8">
        <f>SUMIFS(OrderLines[LineNetAmount],OrderLines[OrderID],Orders[[#This Row],[OrderID]])</f>
        <v>658.67000000000007</v>
      </c>
      <c r="I90" t="str">
        <f>IF(COUNTIFS(OrderLines[OrderID],Orders[[#This Row],[OrderID]],OrderLines[Category],"Beverage"),"yes","no")</f>
        <v>no</v>
      </c>
      <c r="J90" t="str">
        <f>IF(AND(COUNTIFS(OrderLines[OrderID],Orders[[#This Row],[OrderID]],OrderLines[Category],"Hot Meal"),Orders[[#This Row],[has beverage]]="yes"),"combo","single")</f>
        <v>single</v>
      </c>
      <c r="K90" s="8" t="str" cm="1">
        <f t="array" ref="K90">IF((SUMPRODUCT(OrderLines[UnitPrice],OrderLines[Qty],--(OrderLines[OrderID]=Orders[[#This Row],[OrderID]]))-Orders[[#This Row],[Revenue]])&gt;40,"high disc","ok")</f>
        <v>ok</v>
      </c>
      <c r="L90">
        <f>SUMIFS(OrderLines[Food Cost],OrderLines[OrderID],Orders[[#This Row],[OrderID]])</f>
        <v>309.59000000000003</v>
      </c>
      <c r="M90" s="8">
        <f>Orders[[#This Row],[Revenue]]-Orders[[#This Row],[total cost]]</f>
        <v>349.08000000000004</v>
      </c>
      <c r="N90" t="str" cm="1">
        <f t="array" ref="N90">_xlfn.TEXTJOIN("+",,_xlfn._xlws.SORT(_xlfn.UNIQUE(_xlfn._xlws.FILTER(OrderLines[Category],OrderLines[OrderID]=Orders[[#This Row],[OrderID]]))))</f>
        <v>Hot Meal+Snack</v>
      </c>
    </row>
    <row r="91" spans="1:14" x14ac:dyDescent="0.3">
      <c r="A91" t="s">
        <v>127</v>
      </c>
      <c r="B91" s="1">
        <v>45859.800173611111</v>
      </c>
      <c r="C91" t="s">
        <v>15</v>
      </c>
      <c r="D91" t="s">
        <v>16</v>
      </c>
      <c r="E91" t="s">
        <v>21</v>
      </c>
      <c r="F91" t="s">
        <v>18</v>
      </c>
      <c r="G91">
        <v>0.06</v>
      </c>
      <c r="H91" s="8">
        <f>SUMIFS(OrderLines[LineNetAmount],OrderLines[OrderID],Orders[[#This Row],[OrderID]])</f>
        <v>714.59739999999999</v>
      </c>
      <c r="I91" t="str">
        <f>IF(COUNTIFS(OrderLines[OrderID],Orders[[#This Row],[OrderID]],OrderLines[Category],"Beverage"),"yes","no")</f>
        <v>yes</v>
      </c>
      <c r="J91" t="str">
        <f>IF(AND(COUNTIFS(OrderLines[OrderID],Orders[[#This Row],[OrderID]],OrderLines[Category],"Hot Meal"),Orders[[#This Row],[has beverage]]="yes"),"combo","single")</f>
        <v>combo</v>
      </c>
      <c r="K91" s="8" t="str" cm="1">
        <f t="array" ref="K91">IF((SUMPRODUCT(OrderLines[UnitPrice],OrderLines[Qty],--(OrderLines[OrderID]=Orders[[#This Row],[OrderID]]))-Orders[[#This Row],[Revenue]])&gt;40,"high disc","ok")</f>
        <v>high disc</v>
      </c>
      <c r="L91">
        <f>SUMIFS(OrderLines[Food Cost],OrderLines[OrderID],Orders[[#This Row],[OrderID]])</f>
        <v>319.25999999999993</v>
      </c>
      <c r="M91" s="8">
        <f>Orders[[#This Row],[Revenue]]-Orders[[#This Row],[total cost]]</f>
        <v>395.33740000000006</v>
      </c>
      <c r="N91" t="str" cm="1">
        <f t="array" ref="N91">_xlfn.TEXTJOIN("+",,_xlfn._xlws.SORT(_xlfn.UNIQUE(_xlfn._xlws.FILTER(OrderLines[Category],OrderLines[OrderID]=Orders[[#This Row],[OrderID]]))))</f>
        <v>Beverage+Hot Meal</v>
      </c>
    </row>
    <row r="92" spans="1:14" x14ac:dyDescent="0.3">
      <c r="A92" t="s">
        <v>128</v>
      </c>
      <c r="B92" s="1">
        <v>45866.266030092593</v>
      </c>
      <c r="C92" t="s">
        <v>15</v>
      </c>
      <c r="D92" t="s">
        <v>16</v>
      </c>
      <c r="E92" t="s">
        <v>17</v>
      </c>
      <c r="F92" t="s">
        <v>12</v>
      </c>
      <c r="G92">
        <v>0.02</v>
      </c>
      <c r="H92" s="8">
        <f>SUMIFS(OrderLines[LineNetAmount],OrderLines[OrderID],Orders[[#This Row],[OrderID]])</f>
        <v>286.94400000000002</v>
      </c>
      <c r="I92" t="str">
        <f>IF(COUNTIFS(OrderLines[OrderID],Orders[[#This Row],[OrderID]],OrderLines[Category],"Beverage"),"yes","no")</f>
        <v>no</v>
      </c>
      <c r="J92" t="str">
        <f>IF(AND(COUNTIFS(OrderLines[OrderID],Orders[[#This Row],[OrderID]],OrderLines[Category],"Hot Meal"),Orders[[#This Row],[has beverage]]="yes"),"combo","single")</f>
        <v>single</v>
      </c>
      <c r="K92" s="8" t="str" cm="1">
        <f t="array" ref="K92">IF((SUMPRODUCT(OrderLines[UnitPrice],OrderLines[Qty],--(OrderLines[OrderID]=Orders[[#This Row],[OrderID]]))-Orders[[#This Row],[Revenue]])&gt;40,"high disc","ok")</f>
        <v>ok</v>
      </c>
      <c r="L92">
        <f>SUMIFS(OrderLines[Food Cost],OrderLines[OrderID],Orders[[#This Row],[OrderID]])</f>
        <v>161.84</v>
      </c>
      <c r="M92" s="8">
        <f>Orders[[#This Row],[Revenue]]-Orders[[#This Row],[total cost]]</f>
        <v>125.10400000000001</v>
      </c>
      <c r="N92" t="str" cm="1">
        <f t="array" ref="N92">_xlfn.TEXTJOIN("+",,_xlfn._xlws.SORT(_xlfn.UNIQUE(_xlfn._xlws.FILTER(OrderLines[Category],OrderLines[OrderID]=Orders[[#This Row],[OrderID]]))))</f>
        <v>Hot Meal</v>
      </c>
    </row>
    <row r="93" spans="1:14" x14ac:dyDescent="0.3">
      <c r="A93" t="s">
        <v>129</v>
      </c>
      <c r="B93" s="1">
        <v>45841.131921296299</v>
      </c>
      <c r="C93" t="s">
        <v>9</v>
      </c>
      <c r="D93" t="s">
        <v>10</v>
      </c>
      <c r="E93" t="s">
        <v>17</v>
      </c>
      <c r="F93" t="s">
        <v>12</v>
      </c>
      <c r="G93">
        <v>0.08</v>
      </c>
      <c r="H93" s="8">
        <f>SUMIFS(OrderLines[LineNetAmount],OrderLines[OrderID],Orders[[#This Row],[OrderID]])</f>
        <v>686.02560000000005</v>
      </c>
      <c r="I93" t="str">
        <f>IF(COUNTIFS(OrderLines[OrderID],Orders[[#This Row],[OrderID]],OrderLines[Category],"Beverage"),"yes","no")</f>
        <v>yes</v>
      </c>
      <c r="J93" t="str">
        <f>IF(AND(COUNTIFS(OrderLines[OrderID],Orders[[#This Row],[OrderID]],OrderLines[Category],"Hot Meal"),Orders[[#This Row],[has beverage]]="yes"),"combo","single")</f>
        <v>combo</v>
      </c>
      <c r="K93" s="8" t="str" cm="1">
        <f t="array" ref="K93">IF((SUMPRODUCT(OrderLines[UnitPrice],OrderLines[Qty],--(OrderLines[OrderID]=Orders[[#This Row],[OrderID]]))-Orders[[#This Row],[Revenue]])&gt;40,"high disc","ok")</f>
        <v>high disc</v>
      </c>
      <c r="L93">
        <f>SUMIFS(OrderLines[Food Cost],OrderLines[OrderID],Orders[[#This Row],[OrderID]])</f>
        <v>318.15999999999997</v>
      </c>
      <c r="M93" s="8">
        <f>Orders[[#This Row],[Revenue]]-Orders[[#This Row],[total cost]]</f>
        <v>367.86560000000009</v>
      </c>
      <c r="N93" t="str" cm="1">
        <f t="array" ref="N93">_xlfn.TEXTJOIN("+",,_xlfn._xlws.SORT(_xlfn.UNIQUE(_xlfn._xlws.FILTER(OrderLines[Category],OrderLines[OrderID]=Orders[[#This Row],[OrderID]]))))</f>
        <v>Beverage+Dessert+Hot Meal</v>
      </c>
    </row>
    <row r="94" spans="1:14" x14ac:dyDescent="0.3">
      <c r="A94" t="s">
        <v>130</v>
      </c>
      <c r="B94" s="1">
        <v>45861.019803240742</v>
      </c>
      <c r="C94" t="s">
        <v>9</v>
      </c>
      <c r="D94" t="s">
        <v>28</v>
      </c>
      <c r="E94" t="s">
        <v>11</v>
      </c>
      <c r="F94" t="s">
        <v>12</v>
      </c>
      <c r="G94">
        <v>0.02</v>
      </c>
      <c r="H94" s="8">
        <f>SUMIFS(OrderLines[LineNetAmount],OrderLines[OrderID],Orders[[#This Row],[OrderID]])</f>
        <v>398.80119999999999</v>
      </c>
      <c r="I94" t="str">
        <f>IF(COUNTIFS(OrderLines[OrderID],Orders[[#This Row],[OrderID]],OrderLines[Category],"Beverage"),"yes","no")</f>
        <v>no</v>
      </c>
      <c r="J94" t="str">
        <f>IF(AND(COUNTIFS(OrderLines[OrderID],Orders[[#This Row],[OrderID]],OrderLines[Category],"Hot Meal"),Orders[[#This Row],[has beverage]]="yes"),"combo","single")</f>
        <v>single</v>
      </c>
      <c r="K94" s="8" t="str" cm="1">
        <f t="array" ref="K94">IF((SUMPRODUCT(OrderLines[UnitPrice],OrderLines[Qty],--(OrderLines[OrderID]=Orders[[#This Row],[OrderID]]))-Orders[[#This Row],[Revenue]])&gt;40,"high disc","ok")</f>
        <v>ok</v>
      </c>
      <c r="L94">
        <f>SUMIFS(OrderLines[Food Cost],OrderLines[OrderID],Orders[[#This Row],[OrderID]])</f>
        <v>220.12</v>
      </c>
      <c r="M94" s="8">
        <f>Orders[[#This Row],[Revenue]]-Orders[[#This Row],[total cost]]</f>
        <v>178.68119999999999</v>
      </c>
      <c r="N94" t="str" cm="1">
        <f t="array" ref="N94">_xlfn.TEXTJOIN("+",,_xlfn._xlws.SORT(_xlfn.UNIQUE(_xlfn._xlws.FILTER(OrderLines[Category],OrderLines[OrderID]=Orders[[#This Row],[OrderID]]))))</f>
        <v>Dessert+Hot Meal</v>
      </c>
    </row>
    <row r="95" spans="1:14" x14ac:dyDescent="0.3">
      <c r="A95" t="s">
        <v>131</v>
      </c>
      <c r="B95" s="1">
        <v>45842.262708333343</v>
      </c>
      <c r="C95" t="s">
        <v>27</v>
      </c>
      <c r="D95" t="s">
        <v>28</v>
      </c>
      <c r="E95" t="s">
        <v>17</v>
      </c>
      <c r="F95" t="s">
        <v>12</v>
      </c>
      <c r="G95">
        <v>0.12</v>
      </c>
      <c r="H95" s="8">
        <f>SUMIFS(OrderLines[LineNetAmount],OrderLines[OrderID],Orders[[#This Row],[OrderID]])</f>
        <v>171.96960000000001</v>
      </c>
      <c r="I95" t="str">
        <f>IF(COUNTIFS(OrderLines[OrderID],Orders[[#This Row],[OrderID]],OrderLines[Category],"Beverage"),"yes","no")</f>
        <v>yes</v>
      </c>
      <c r="J95" t="str">
        <f>IF(AND(COUNTIFS(OrderLines[OrderID],Orders[[#This Row],[OrderID]],OrderLines[Category],"Hot Meal"),Orders[[#This Row],[has beverage]]="yes"),"combo","single")</f>
        <v>single</v>
      </c>
      <c r="K95" s="8" t="str" cm="1">
        <f t="array" ref="K95">IF((SUMPRODUCT(OrderLines[UnitPrice],OrderLines[Qty],--(OrderLines[OrderID]=Orders[[#This Row],[OrderID]]))-Orders[[#This Row],[Revenue]])&gt;40,"high disc","ok")</f>
        <v>ok</v>
      </c>
      <c r="L95">
        <f>SUMIFS(OrderLines[Food Cost],OrderLines[OrderID],Orders[[#This Row],[OrderID]])</f>
        <v>85.47</v>
      </c>
      <c r="M95" s="8">
        <f>Orders[[#This Row],[Revenue]]-Orders[[#This Row],[total cost]]</f>
        <v>86.499600000000015</v>
      </c>
      <c r="N95" t="str" cm="1">
        <f t="array" ref="N95">_xlfn.TEXTJOIN("+",,_xlfn._xlws.SORT(_xlfn.UNIQUE(_xlfn._xlws.FILTER(OrderLines[Category],OrderLines[OrderID]=Orders[[#This Row],[OrderID]]))))</f>
        <v>Beverage+Dessert+Snack</v>
      </c>
    </row>
    <row r="96" spans="1:14" x14ac:dyDescent="0.3">
      <c r="A96" t="s">
        <v>132</v>
      </c>
      <c r="B96" s="1">
        <v>45862.410416666673</v>
      </c>
      <c r="C96" t="s">
        <v>27</v>
      </c>
      <c r="D96" t="s">
        <v>16</v>
      </c>
      <c r="E96" t="s">
        <v>11</v>
      </c>
      <c r="F96" t="s">
        <v>12</v>
      </c>
      <c r="G96">
        <v>0.03</v>
      </c>
      <c r="H96" s="8">
        <f>SUMIFS(OrderLines[LineNetAmount],OrderLines[OrderID],Orders[[#This Row],[OrderID]])</f>
        <v>739.84810000000004</v>
      </c>
      <c r="I96" t="str">
        <f>IF(COUNTIFS(OrderLines[OrderID],Orders[[#This Row],[OrderID]],OrderLines[Category],"Beverage"),"yes","no")</f>
        <v>no</v>
      </c>
      <c r="J96" t="str">
        <f>IF(AND(COUNTIFS(OrderLines[OrderID],Orders[[#This Row],[OrderID]],OrderLines[Category],"Hot Meal"),Orders[[#This Row],[has beverage]]="yes"),"combo","single")</f>
        <v>single</v>
      </c>
      <c r="K96" s="8" t="str" cm="1">
        <f t="array" ref="K96">IF((SUMPRODUCT(OrderLines[UnitPrice],OrderLines[Qty],--(OrderLines[OrderID]=Orders[[#This Row],[OrderID]]))-Orders[[#This Row],[Revenue]])&gt;40,"high disc","ok")</f>
        <v>ok</v>
      </c>
      <c r="L96">
        <f>SUMIFS(OrderLines[Food Cost],OrderLines[OrderID],Orders[[#This Row],[OrderID]])</f>
        <v>319.67999999999995</v>
      </c>
      <c r="M96" s="8">
        <f>Orders[[#This Row],[Revenue]]-Orders[[#This Row],[total cost]]</f>
        <v>420.16810000000009</v>
      </c>
      <c r="N96" t="str" cm="1">
        <f t="array" ref="N96">_xlfn.TEXTJOIN("+",,_xlfn._xlws.SORT(_xlfn.UNIQUE(_xlfn._xlws.FILTER(OrderLines[Category],OrderLines[OrderID]=Orders[[#This Row],[OrderID]]))))</f>
        <v>Hot Meal+Snack</v>
      </c>
    </row>
    <row r="97" spans="1:14" x14ac:dyDescent="0.3">
      <c r="A97" t="s">
        <v>133</v>
      </c>
      <c r="B97" s="1">
        <v>45894.006006944437</v>
      </c>
      <c r="C97" t="s">
        <v>27</v>
      </c>
      <c r="D97" t="s">
        <v>16</v>
      </c>
      <c r="E97" t="s">
        <v>11</v>
      </c>
      <c r="F97" t="s">
        <v>12</v>
      </c>
      <c r="G97">
        <v>0.05</v>
      </c>
      <c r="H97" s="8">
        <f>SUMIFS(OrderLines[LineNetAmount],OrderLines[OrderID],Orders[[#This Row],[OrderID]])</f>
        <v>825.56899999999996</v>
      </c>
      <c r="I97" t="str">
        <f>IF(COUNTIFS(OrderLines[OrderID],Orders[[#This Row],[OrderID]],OrderLines[Category],"Beverage"),"yes","no")</f>
        <v>no</v>
      </c>
      <c r="J97" t="str">
        <f>IF(AND(COUNTIFS(OrderLines[OrderID],Orders[[#This Row],[OrderID]],OrderLines[Category],"Hot Meal"),Orders[[#This Row],[has beverage]]="yes"),"combo","single")</f>
        <v>single</v>
      </c>
      <c r="K97" s="8" t="str" cm="1">
        <f t="array" ref="K97">IF((SUMPRODUCT(OrderLines[UnitPrice],OrderLines[Qty],--(OrderLines[OrderID]=Orders[[#This Row],[OrderID]]))-Orders[[#This Row],[Revenue]])&gt;40,"high disc","ok")</f>
        <v>high disc</v>
      </c>
      <c r="L97">
        <f>SUMIFS(OrderLines[Food Cost],OrderLines[OrderID],Orders[[#This Row],[OrderID]])</f>
        <v>396.42</v>
      </c>
      <c r="M97" s="8">
        <f>Orders[[#This Row],[Revenue]]-Orders[[#This Row],[total cost]]</f>
        <v>429.14899999999994</v>
      </c>
      <c r="N97" t="str" cm="1">
        <f t="array" ref="N97">_xlfn.TEXTJOIN("+",,_xlfn._xlws.SORT(_xlfn.UNIQUE(_xlfn._xlws.FILTER(OrderLines[Category],OrderLines[OrderID]=Orders[[#This Row],[OrderID]]))))</f>
        <v>Dessert+Hot Meal</v>
      </c>
    </row>
    <row r="98" spans="1:14" x14ac:dyDescent="0.3">
      <c r="A98" t="s">
        <v>134</v>
      </c>
      <c r="B98" s="1">
        <v>45875.066168981481</v>
      </c>
      <c r="C98" t="s">
        <v>27</v>
      </c>
      <c r="D98" t="s">
        <v>10</v>
      </c>
      <c r="E98" t="s">
        <v>11</v>
      </c>
      <c r="F98" t="s">
        <v>12</v>
      </c>
      <c r="G98">
        <v>0.09</v>
      </c>
      <c r="H98" s="8">
        <f>SUMIFS(OrderLines[LineNetAmount],OrderLines[OrderID],Orders[[#This Row],[OrderID]])</f>
        <v>51.742600000000003</v>
      </c>
      <c r="I98" t="str">
        <f>IF(COUNTIFS(OrderLines[OrderID],Orders[[#This Row],[OrderID]],OrderLines[Category],"Beverage"),"yes","no")</f>
        <v>yes</v>
      </c>
      <c r="J98" t="str">
        <f>IF(AND(COUNTIFS(OrderLines[OrderID],Orders[[#This Row],[OrderID]],OrderLines[Category],"Hot Meal"),Orders[[#This Row],[has beverage]]="yes"),"combo","single")</f>
        <v>single</v>
      </c>
      <c r="K98" s="8" t="str" cm="1">
        <f t="array" ref="K98">IF((SUMPRODUCT(OrderLines[UnitPrice],OrderLines[Qty],--(OrderLines[OrderID]=Orders[[#This Row],[OrderID]]))-Orders[[#This Row],[Revenue]])&gt;40,"high disc","ok")</f>
        <v>ok</v>
      </c>
      <c r="L98">
        <f>SUMIFS(OrderLines[Food Cost],OrderLines[OrderID],Orders[[#This Row],[OrderID]])</f>
        <v>27.78</v>
      </c>
      <c r="M98" s="8">
        <f>Orders[[#This Row],[Revenue]]-Orders[[#This Row],[total cost]]</f>
        <v>23.962600000000002</v>
      </c>
      <c r="N98" t="str" cm="1">
        <f t="array" ref="N98">_xlfn.TEXTJOIN("+",,_xlfn._xlws.SORT(_xlfn.UNIQUE(_xlfn._xlws.FILTER(OrderLines[Category],OrderLines[OrderID]=Orders[[#This Row],[OrderID]]))))</f>
        <v>Beverage</v>
      </c>
    </row>
    <row r="99" spans="1:14" x14ac:dyDescent="0.3">
      <c r="A99" t="s">
        <v>135</v>
      </c>
      <c r="B99" s="1">
        <v>45855.150081018517</v>
      </c>
      <c r="C99" t="s">
        <v>15</v>
      </c>
      <c r="D99" t="s">
        <v>28</v>
      </c>
      <c r="E99" t="s">
        <v>11</v>
      </c>
      <c r="F99" t="s">
        <v>12</v>
      </c>
      <c r="G99">
        <v>0.01</v>
      </c>
      <c r="H99" s="8">
        <f>SUMIFS(OrderLines[LineNetAmount],OrderLines[OrderID],Orders[[#This Row],[OrderID]])</f>
        <v>182.3877</v>
      </c>
      <c r="I99" t="str">
        <f>IF(COUNTIFS(OrderLines[OrderID],Orders[[#This Row],[OrderID]],OrderLines[Category],"Beverage"),"yes","no")</f>
        <v>yes</v>
      </c>
      <c r="J99" t="str">
        <f>IF(AND(COUNTIFS(OrderLines[OrderID],Orders[[#This Row],[OrderID]],OrderLines[Category],"Hot Meal"),Orders[[#This Row],[has beverage]]="yes"),"combo","single")</f>
        <v>single</v>
      </c>
      <c r="K99" s="8" t="str" cm="1">
        <f t="array" ref="K99">IF((SUMPRODUCT(OrderLines[UnitPrice],OrderLines[Qty],--(OrderLines[OrderID]=Orders[[#This Row],[OrderID]]))-Orders[[#This Row],[Revenue]])&gt;40,"high disc","ok")</f>
        <v>ok</v>
      </c>
      <c r="L99">
        <f>SUMIFS(OrderLines[Food Cost],OrderLines[OrderID],Orders[[#This Row],[OrderID]])</f>
        <v>77.19</v>
      </c>
      <c r="M99" s="8">
        <f>Orders[[#This Row],[Revenue]]-Orders[[#This Row],[total cost]]</f>
        <v>105.1977</v>
      </c>
      <c r="N99" t="str" cm="1">
        <f t="array" ref="N99">_xlfn.TEXTJOIN("+",,_xlfn._xlws.SORT(_xlfn.UNIQUE(_xlfn._xlws.FILTER(OrderLines[Category],OrderLines[OrderID]=Orders[[#This Row],[OrderID]]))))</f>
        <v>Beverage</v>
      </c>
    </row>
    <row r="100" spans="1:14" x14ac:dyDescent="0.3">
      <c r="A100" t="s">
        <v>136</v>
      </c>
      <c r="B100" s="1">
        <v>45869.538043981483</v>
      </c>
      <c r="C100" t="s">
        <v>9</v>
      </c>
      <c r="D100" t="s">
        <v>10</v>
      </c>
      <c r="E100" t="s">
        <v>21</v>
      </c>
      <c r="F100" t="s">
        <v>22</v>
      </c>
      <c r="G100">
        <v>7.0000000000000007E-2</v>
      </c>
      <c r="H100" s="8">
        <f>SUMIFS(OrderLines[LineNetAmount],OrderLines[OrderID],Orders[[#This Row],[OrderID]])</f>
        <v>242.30219999999997</v>
      </c>
      <c r="I100" t="str">
        <f>IF(COUNTIFS(OrderLines[OrderID],Orders[[#This Row],[OrderID]],OrderLines[Category],"Beverage"),"yes","no")</f>
        <v>no</v>
      </c>
      <c r="J100" t="str">
        <f>IF(AND(COUNTIFS(OrderLines[OrderID],Orders[[#This Row],[OrderID]],OrderLines[Category],"Hot Meal"),Orders[[#This Row],[has beverage]]="yes"),"combo","single")</f>
        <v>single</v>
      </c>
      <c r="K100" s="8" t="str" cm="1">
        <f t="array" ref="K100">IF((SUMPRODUCT(OrderLines[UnitPrice],OrderLines[Qty],--(OrderLines[OrderID]=Orders[[#This Row],[OrderID]]))-Orders[[#This Row],[Revenue]])&gt;40,"high disc","ok")</f>
        <v>ok</v>
      </c>
      <c r="L100">
        <f>SUMIFS(OrderLines[Food Cost],OrderLines[OrderID],Orders[[#This Row],[OrderID]])</f>
        <v>139.19999999999999</v>
      </c>
      <c r="M100" s="8">
        <f>Orders[[#This Row],[Revenue]]-Orders[[#This Row],[total cost]]</f>
        <v>103.10219999999998</v>
      </c>
      <c r="N100" t="str" cm="1">
        <f t="array" ref="N100">_xlfn.TEXTJOIN("+",,_xlfn._xlws.SORT(_xlfn.UNIQUE(_xlfn._xlws.FILTER(OrderLines[Category],OrderLines[OrderID]=Orders[[#This Row],[OrderID]]))))</f>
        <v>Dessert+Hot Meal</v>
      </c>
    </row>
    <row r="101" spans="1:14" x14ac:dyDescent="0.3">
      <c r="A101" t="s">
        <v>137</v>
      </c>
      <c r="B101" s="1">
        <v>45858.505902777782</v>
      </c>
      <c r="C101" t="s">
        <v>27</v>
      </c>
      <c r="D101" t="s">
        <v>10</v>
      </c>
      <c r="E101" t="s">
        <v>11</v>
      </c>
      <c r="F101" t="s">
        <v>22</v>
      </c>
      <c r="G101">
        <v>0.11</v>
      </c>
      <c r="H101" s="8">
        <f>SUMIFS(OrderLines[LineNetAmount],OrderLines[OrderID],Orders[[#This Row],[OrderID]])</f>
        <v>317.98810000000003</v>
      </c>
      <c r="I101" t="str">
        <f>IF(COUNTIFS(OrderLines[OrderID],Orders[[#This Row],[OrderID]],OrderLines[Category],"Beverage"),"yes","no")</f>
        <v>no</v>
      </c>
      <c r="J101" t="str">
        <f>IF(AND(COUNTIFS(OrderLines[OrderID],Orders[[#This Row],[OrderID]],OrderLines[Category],"Hot Meal"),Orders[[#This Row],[has beverage]]="yes"),"combo","single")</f>
        <v>single</v>
      </c>
      <c r="K101" s="8" t="str" cm="1">
        <f t="array" ref="K101">IF((SUMPRODUCT(OrderLines[UnitPrice],OrderLines[Qty],--(OrderLines[OrderID]=Orders[[#This Row],[OrderID]]))-Orders[[#This Row],[Revenue]])&gt;40,"high disc","ok")</f>
        <v>ok</v>
      </c>
      <c r="L101">
        <f>SUMIFS(OrderLines[Food Cost],OrderLines[OrderID],Orders[[#This Row],[OrderID]])</f>
        <v>166.45999999999998</v>
      </c>
      <c r="M101" s="8">
        <f>Orders[[#This Row],[Revenue]]-Orders[[#This Row],[total cost]]</f>
        <v>151.52810000000005</v>
      </c>
      <c r="N101" t="str" cm="1">
        <f t="array" ref="N101">_xlfn.TEXTJOIN("+",,_xlfn._xlws.SORT(_xlfn.UNIQUE(_xlfn._xlws.FILTER(OrderLines[Category],OrderLines[OrderID]=Orders[[#This Row],[OrderID]]))))</f>
        <v>Hot Meal+Snack</v>
      </c>
    </row>
    <row r="102" spans="1:14" x14ac:dyDescent="0.3">
      <c r="A102" t="s">
        <v>138</v>
      </c>
      <c r="B102" s="1">
        <v>45849.143634259257</v>
      </c>
      <c r="C102" t="s">
        <v>9</v>
      </c>
      <c r="D102" t="s">
        <v>16</v>
      </c>
      <c r="E102" t="s">
        <v>11</v>
      </c>
      <c r="F102" t="s">
        <v>12</v>
      </c>
      <c r="G102">
        <v>0</v>
      </c>
      <c r="H102" s="8">
        <f>SUMIFS(OrderLines[LineNetAmount],OrderLines[OrderID],Orders[[#This Row],[OrderID]])</f>
        <v>140.83000000000001</v>
      </c>
      <c r="I102" t="str">
        <f>IF(COUNTIFS(OrderLines[OrderID],Orders[[#This Row],[OrderID]],OrderLines[Category],"Beverage"),"yes","no")</f>
        <v>yes</v>
      </c>
      <c r="J102" t="str">
        <f>IF(AND(COUNTIFS(OrderLines[OrderID],Orders[[#This Row],[OrderID]],OrderLines[Category],"Hot Meal"),Orders[[#This Row],[has beverage]]="yes"),"combo","single")</f>
        <v>single</v>
      </c>
      <c r="K102" s="8" t="str" cm="1">
        <f t="array" ref="K102">IF((SUMPRODUCT(OrderLines[UnitPrice],OrderLines[Qty],--(OrderLines[OrderID]=Orders[[#This Row],[OrderID]]))-Orders[[#This Row],[Revenue]])&gt;40,"high disc","ok")</f>
        <v>ok</v>
      </c>
      <c r="L102">
        <f>SUMIFS(OrderLines[Food Cost],OrderLines[OrderID],Orders[[#This Row],[OrderID]])</f>
        <v>65.5</v>
      </c>
      <c r="M102" s="8">
        <f>Orders[[#This Row],[Revenue]]-Orders[[#This Row],[total cost]]</f>
        <v>75.330000000000013</v>
      </c>
      <c r="N102" t="str" cm="1">
        <f t="array" ref="N102">_xlfn.TEXTJOIN("+",,_xlfn._xlws.SORT(_xlfn.UNIQUE(_xlfn._xlws.FILTER(OrderLines[Category],OrderLines[OrderID]=Orders[[#This Row],[OrderID]]))))</f>
        <v>Beverage+Snack</v>
      </c>
    </row>
    <row r="103" spans="1:14" x14ac:dyDescent="0.3">
      <c r="A103" t="s">
        <v>139</v>
      </c>
      <c r="B103" s="1">
        <v>45894.196597222217</v>
      </c>
      <c r="C103" t="s">
        <v>27</v>
      </c>
      <c r="D103" t="s">
        <v>16</v>
      </c>
      <c r="E103" t="s">
        <v>11</v>
      </c>
      <c r="F103" t="s">
        <v>12</v>
      </c>
      <c r="G103">
        <v>7.0000000000000007E-2</v>
      </c>
      <c r="H103" s="8">
        <f>SUMIFS(OrderLines[LineNetAmount],OrderLines[OrderID],Orders[[#This Row],[OrderID]])</f>
        <v>70.791600000000003</v>
      </c>
      <c r="I103" t="str">
        <f>IF(COUNTIFS(OrderLines[OrderID],Orders[[#This Row],[OrderID]],OrderLines[Category],"Beverage"),"yes","no")</f>
        <v>no</v>
      </c>
      <c r="J103" t="str">
        <f>IF(AND(COUNTIFS(OrderLines[OrderID],Orders[[#This Row],[OrderID]],OrderLines[Category],"Hot Meal"),Orders[[#This Row],[has beverage]]="yes"),"combo","single")</f>
        <v>single</v>
      </c>
      <c r="K103" s="8" t="str" cm="1">
        <f t="array" ref="K103">IF((SUMPRODUCT(OrderLines[UnitPrice],OrderLines[Qty],--(OrderLines[OrderID]=Orders[[#This Row],[OrderID]]))-Orders[[#This Row],[Revenue]])&gt;40,"high disc","ok")</f>
        <v>ok</v>
      </c>
      <c r="L103">
        <f>SUMIFS(OrderLines[Food Cost],OrderLines[OrderID],Orders[[#This Row],[OrderID]])</f>
        <v>39.1</v>
      </c>
      <c r="M103" s="8">
        <f>Orders[[#This Row],[Revenue]]-Orders[[#This Row],[total cost]]</f>
        <v>31.691600000000001</v>
      </c>
      <c r="N103" t="str" cm="1">
        <f t="array" ref="N103">_xlfn.TEXTJOIN("+",,_xlfn._xlws.SORT(_xlfn.UNIQUE(_xlfn._xlws.FILTER(OrderLines[Category],OrderLines[OrderID]=Orders[[#This Row],[OrderID]]))))</f>
        <v>Snack</v>
      </c>
    </row>
    <row r="104" spans="1:14" x14ac:dyDescent="0.3">
      <c r="A104" t="s">
        <v>140</v>
      </c>
      <c r="B104" s="1">
        <v>45875.228854166657</v>
      </c>
      <c r="C104" t="s">
        <v>27</v>
      </c>
      <c r="D104" t="s">
        <v>10</v>
      </c>
      <c r="E104" t="s">
        <v>11</v>
      </c>
      <c r="F104" t="s">
        <v>12</v>
      </c>
      <c r="G104">
        <v>7.0000000000000007E-2</v>
      </c>
      <c r="H104" s="8">
        <f>SUMIFS(OrderLines[LineNetAmount],OrderLines[OrderID],Orders[[#This Row],[OrderID]])</f>
        <v>131.20439999999999</v>
      </c>
      <c r="I104" t="str">
        <f>IF(COUNTIFS(OrderLines[OrderID],Orders[[#This Row],[OrderID]],OrderLines[Category],"Beverage"),"yes","no")</f>
        <v>no</v>
      </c>
      <c r="J104" t="str">
        <f>IF(AND(COUNTIFS(OrderLines[OrderID],Orders[[#This Row],[OrderID]],OrderLines[Category],"Hot Meal"),Orders[[#This Row],[has beverage]]="yes"),"combo","single")</f>
        <v>single</v>
      </c>
      <c r="K104" s="8" t="str" cm="1">
        <f t="array" ref="K104">IF((SUMPRODUCT(OrderLines[UnitPrice],OrderLines[Qty],--(OrderLines[OrderID]=Orders[[#This Row],[OrderID]]))-Orders[[#This Row],[Revenue]])&gt;40,"high disc","ok")</f>
        <v>ok</v>
      </c>
      <c r="L104">
        <f>SUMIFS(OrderLines[Food Cost],OrderLines[OrderID],Orders[[#This Row],[OrderID]])</f>
        <v>71.62</v>
      </c>
      <c r="M104" s="8">
        <f>Orders[[#This Row],[Revenue]]-Orders[[#This Row],[total cost]]</f>
        <v>59.584399999999988</v>
      </c>
      <c r="N104" t="str" cm="1">
        <f t="array" ref="N104">_xlfn.TEXTJOIN("+",,_xlfn._xlws.SORT(_xlfn.UNIQUE(_xlfn._xlws.FILTER(OrderLines[Category],OrderLines[OrderID]=Orders[[#This Row],[OrderID]]))))</f>
        <v>Snack</v>
      </c>
    </row>
    <row r="105" spans="1:14" x14ac:dyDescent="0.3">
      <c r="A105" t="s">
        <v>141</v>
      </c>
      <c r="B105" s="1">
        <v>45840.478391203702</v>
      </c>
      <c r="C105" t="s">
        <v>15</v>
      </c>
      <c r="D105" t="s">
        <v>16</v>
      </c>
      <c r="E105" t="s">
        <v>17</v>
      </c>
      <c r="F105" t="s">
        <v>22</v>
      </c>
      <c r="G105">
        <v>0.09</v>
      </c>
      <c r="H105" s="8">
        <f>SUMIFS(OrderLines[LineNetAmount],OrderLines[OrderID],Orders[[#This Row],[OrderID]])</f>
        <v>49.322000000000003</v>
      </c>
      <c r="I105" t="str">
        <f>IF(COUNTIFS(OrderLines[OrderID],Orders[[#This Row],[OrderID]],OrderLines[Category],"Beverage"),"yes","no")</f>
        <v>no</v>
      </c>
      <c r="J105" t="str">
        <f>IF(AND(COUNTIFS(OrderLines[OrderID],Orders[[#This Row],[OrderID]],OrderLines[Category],"Hot Meal"),Orders[[#This Row],[has beverage]]="yes"),"combo","single")</f>
        <v>single</v>
      </c>
      <c r="K105" s="8" t="str" cm="1">
        <f t="array" ref="K105">IF((SUMPRODUCT(OrderLines[UnitPrice],OrderLines[Qty],--(OrderLines[OrderID]=Orders[[#This Row],[OrderID]]))-Orders[[#This Row],[Revenue]])&gt;40,"high disc","ok")</f>
        <v>ok</v>
      </c>
      <c r="L105">
        <f>SUMIFS(OrderLines[Food Cost],OrderLines[OrderID],Orders[[#This Row],[OrderID]])</f>
        <v>21.95</v>
      </c>
      <c r="M105" s="8">
        <f>Orders[[#This Row],[Revenue]]-Orders[[#This Row],[total cost]]</f>
        <v>27.372000000000003</v>
      </c>
      <c r="N105" t="str" cm="1">
        <f t="array" ref="N105">_xlfn.TEXTJOIN("+",,_xlfn._xlws.SORT(_xlfn.UNIQUE(_xlfn._xlws.FILTER(OrderLines[Category],OrderLines[OrderID]=Orders[[#This Row],[OrderID]]))))</f>
        <v>Dessert</v>
      </c>
    </row>
    <row r="106" spans="1:14" x14ac:dyDescent="0.3">
      <c r="A106" t="s">
        <v>142</v>
      </c>
      <c r="B106" s="1">
        <v>45874.414965277778</v>
      </c>
      <c r="C106" t="s">
        <v>9</v>
      </c>
      <c r="D106" t="s">
        <v>16</v>
      </c>
      <c r="E106" t="s">
        <v>11</v>
      </c>
      <c r="F106" t="s">
        <v>12</v>
      </c>
      <c r="G106">
        <v>0.01</v>
      </c>
      <c r="H106" s="8">
        <f>SUMIFS(OrderLines[LineNetAmount],OrderLines[OrderID],Orders[[#This Row],[OrderID]])</f>
        <v>30.0366</v>
      </c>
      <c r="I106" t="str">
        <f>IF(COUNTIFS(OrderLines[OrderID],Orders[[#This Row],[OrderID]],OrderLines[Category],"Beverage"),"yes","no")</f>
        <v>yes</v>
      </c>
      <c r="J106" t="str">
        <f>IF(AND(COUNTIFS(OrderLines[OrderID],Orders[[#This Row],[OrderID]],OrderLines[Category],"Hot Meal"),Orders[[#This Row],[has beverage]]="yes"),"combo","single")</f>
        <v>single</v>
      </c>
      <c r="K106" s="8" t="str" cm="1">
        <f t="array" ref="K106">IF((SUMPRODUCT(OrderLines[UnitPrice],OrderLines[Qty],--(OrderLines[OrderID]=Orders[[#This Row],[OrderID]]))-Orders[[#This Row],[Revenue]])&gt;40,"high disc","ok")</f>
        <v>ok</v>
      </c>
      <c r="L106">
        <f>SUMIFS(OrderLines[Food Cost],OrderLines[OrderID],Orders[[#This Row],[OrderID]])</f>
        <v>14.18</v>
      </c>
      <c r="M106" s="8">
        <f>Orders[[#This Row],[Revenue]]-Orders[[#This Row],[total cost]]</f>
        <v>15.8566</v>
      </c>
      <c r="N106" t="str" cm="1">
        <f t="array" ref="N106">_xlfn.TEXTJOIN("+",,_xlfn._xlws.SORT(_xlfn.UNIQUE(_xlfn._xlws.FILTER(OrderLines[Category],OrderLines[OrderID]=Orders[[#This Row],[OrderID]]))))</f>
        <v>Beverage</v>
      </c>
    </row>
    <row r="107" spans="1:14" x14ac:dyDescent="0.3">
      <c r="A107" t="s">
        <v>143</v>
      </c>
      <c r="B107" s="1">
        <v>45881.531597222223</v>
      </c>
      <c r="C107" t="s">
        <v>27</v>
      </c>
      <c r="D107" t="s">
        <v>10</v>
      </c>
      <c r="E107" t="s">
        <v>11</v>
      </c>
      <c r="F107" t="s">
        <v>22</v>
      </c>
      <c r="G107">
        <v>0.01</v>
      </c>
      <c r="H107" s="8">
        <f>SUMIFS(OrderLines[LineNetAmount],OrderLines[OrderID],Orders[[#This Row],[OrderID]])</f>
        <v>423.67050000000006</v>
      </c>
      <c r="I107" t="str">
        <f>IF(COUNTIFS(OrderLines[OrderID],Orders[[#This Row],[OrderID]],OrderLines[Category],"Beverage"),"yes","no")</f>
        <v>yes</v>
      </c>
      <c r="J107" t="str">
        <f>IF(AND(COUNTIFS(OrderLines[OrderID],Orders[[#This Row],[OrderID]],OrderLines[Category],"Hot Meal"),Orders[[#This Row],[has beverage]]="yes"),"combo","single")</f>
        <v>combo</v>
      </c>
      <c r="K107" s="8" t="str" cm="1">
        <f t="array" ref="K107">IF((SUMPRODUCT(OrderLines[UnitPrice],OrderLines[Qty],--(OrderLines[OrderID]=Orders[[#This Row],[OrderID]]))-Orders[[#This Row],[Revenue]])&gt;40,"high disc","ok")</f>
        <v>ok</v>
      </c>
      <c r="L107">
        <f>SUMIFS(OrderLines[Food Cost],OrderLines[OrderID],Orders[[#This Row],[OrderID]])</f>
        <v>207.67000000000002</v>
      </c>
      <c r="M107" s="8">
        <f>Orders[[#This Row],[Revenue]]-Orders[[#This Row],[total cost]]</f>
        <v>216.00050000000005</v>
      </c>
      <c r="N107" t="str" cm="1">
        <f t="array" ref="N107">_xlfn.TEXTJOIN("+",,_xlfn._xlws.SORT(_xlfn.UNIQUE(_xlfn._xlws.FILTER(OrderLines[Category],OrderLines[OrderID]=Orders[[#This Row],[OrderID]]))))</f>
        <v>Beverage+Hot Meal+Snack</v>
      </c>
    </row>
    <row r="108" spans="1:14" x14ac:dyDescent="0.3">
      <c r="A108" t="s">
        <v>144</v>
      </c>
      <c r="B108" s="1">
        <v>45891.501400462963</v>
      </c>
      <c r="C108" t="s">
        <v>15</v>
      </c>
      <c r="D108" t="s">
        <v>16</v>
      </c>
      <c r="E108" t="s">
        <v>21</v>
      </c>
      <c r="F108" t="s">
        <v>22</v>
      </c>
      <c r="G108">
        <v>0.08</v>
      </c>
      <c r="H108" s="8">
        <f>SUMIFS(OrderLines[LineNetAmount],OrderLines[OrderID],Orders[[#This Row],[OrderID]])</f>
        <v>57.426400000000001</v>
      </c>
      <c r="I108" t="str">
        <f>IF(COUNTIFS(OrderLines[OrderID],Orders[[#This Row],[OrderID]],OrderLines[Category],"Beverage"),"yes","no")</f>
        <v>yes</v>
      </c>
      <c r="J108" t="str">
        <f>IF(AND(COUNTIFS(OrderLines[OrderID],Orders[[#This Row],[OrderID]],OrderLines[Category],"Hot Meal"),Orders[[#This Row],[has beverage]]="yes"),"combo","single")</f>
        <v>single</v>
      </c>
      <c r="K108" s="8" t="str" cm="1">
        <f t="array" ref="K108">IF((SUMPRODUCT(OrderLines[UnitPrice],OrderLines[Qty],--(OrderLines[OrderID]=Orders[[#This Row],[OrderID]]))-Orders[[#This Row],[Revenue]])&gt;40,"high disc","ok")</f>
        <v>ok</v>
      </c>
      <c r="L108">
        <f>SUMIFS(OrderLines[Food Cost],OrderLines[OrderID],Orders[[#This Row],[OrderID]])</f>
        <v>25.380000000000003</v>
      </c>
      <c r="M108" s="8">
        <f>Orders[[#This Row],[Revenue]]-Orders[[#This Row],[total cost]]</f>
        <v>32.046399999999998</v>
      </c>
      <c r="N108" t="str" cm="1">
        <f t="array" ref="N108">_xlfn.TEXTJOIN("+",,_xlfn._xlws.SORT(_xlfn.UNIQUE(_xlfn._xlws.FILTER(OrderLines[Category],OrderLines[OrderID]=Orders[[#This Row],[OrderID]]))))</f>
        <v>Beverage</v>
      </c>
    </row>
    <row r="109" spans="1:14" x14ac:dyDescent="0.3">
      <c r="A109" t="s">
        <v>145</v>
      </c>
      <c r="B109" s="1">
        <v>45870.542662037027</v>
      </c>
      <c r="C109" t="s">
        <v>27</v>
      </c>
      <c r="D109" t="s">
        <v>28</v>
      </c>
      <c r="E109" t="s">
        <v>21</v>
      </c>
      <c r="F109" t="s">
        <v>22</v>
      </c>
      <c r="G109">
        <v>7.0000000000000007E-2</v>
      </c>
      <c r="H109" s="8">
        <f>SUMIFS(OrderLines[LineNetAmount],OrderLines[OrderID],Orders[[#This Row],[OrderID]])</f>
        <v>200.38709999999998</v>
      </c>
      <c r="I109" t="str">
        <f>IF(COUNTIFS(OrderLines[OrderID],Orders[[#This Row],[OrderID]],OrderLines[Category],"Beverage"),"yes","no")</f>
        <v>yes</v>
      </c>
      <c r="J109" t="str">
        <f>IF(AND(COUNTIFS(OrderLines[OrderID],Orders[[#This Row],[OrderID]],OrderLines[Category],"Hot Meal"),Orders[[#This Row],[has beverage]]="yes"),"combo","single")</f>
        <v>single</v>
      </c>
      <c r="K109" s="8" t="str" cm="1">
        <f t="array" ref="K109">IF((SUMPRODUCT(OrderLines[UnitPrice],OrderLines[Qty],--(OrderLines[OrderID]=Orders[[#This Row],[OrderID]]))-Orders[[#This Row],[Revenue]])&gt;40,"high disc","ok")</f>
        <v>ok</v>
      </c>
      <c r="L109">
        <f>SUMIFS(OrderLines[Food Cost],OrderLines[OrderID],Orders[[#This Row],[OrderID]])</f>
        <v>103.44000000000001</v>
      </c>
      <c r="M109" s="8">
        <f>Orders[[#This Row],[Revenue]]-Orders[[#This Row],[total cost]]</f>
        <v>96.947099999999963</v>
      </c>
      <c r="N109" t="str" cm="1">
        <f t="array" ref="N109">_xlfn.TEXTJOIN("+",,_xlfn._xlws.SORT(_xlfn.UNIQUE(_xlfn._xlws.FILTER(OrderLines[Category],OrderLines[OrderID]=Orders[[#This Row],[OrderID]]))))</f>
        <v>Beverage+Dessert+Snack</v>
      </c>
    </row>
    <row r="110" spans="1:14" x14ac:dyDescent="0.3">
      <c r="A110" t="s">
        <v>146</v>
      </c>
      <c r="B110" s="1">
        <v>45862.926782407398</v>
      </c>
      <c r="C110" t="s">
        <v>15</v>
      </c>
      <c r="D110" t="s">
        <v>10</v>
      </c>
      <c r="E110" t="s">
        <v>11</v>
      </c>
      <c r="F110" t="s">
        <v>18</v>
      </c>
      <c r="G110">
        <v>7.0000000000000007E-2</v>
      </c>
      <c r="H110" s="8">
        <f>SUMIFS(OrderLines[LineNetAmount],OrderLines[OrderID],Orders[[#This Row],[OrderID]])</f>
        <v>56.432399999999994</v>
      </c>
      <c r="I110" t="str">
        <f>IF(COUNTIFS(OrderLines[OrderID],Orders[[#This Row],[OrderID]],OrderLines[Category],"Beverage"),"yes","no")</f>
        <v>yes</v>
      </c>
      <c r="J110" t="str">
        <f>IF(AND(COUNTIFS(OrderLines[OrderID],Orders[[#This Row],[OrderID]],OrderLines[Category],"Hot Meal"),Orders[[#This Row],[has beverage]]="yes"),"combo","single")</f>
        <v>single</v>
      </c>
      <c r="K110" s="8" t="str" cm="1">
        <f t="array" ref="K110">IF((SUMPRODUCT(OrderLines[UnitPrice],OrderLines[Qty],--(OrderLines[OrderID]=Orders[[#This Row],[OrderID]]))-Orders[[#This Row],[Revenue]])&gt;40,"high disc","ok")</f>
        <v>ok</v>
      </c>
      <c r="L110">
        <f>SUMIFS(OrderLines[Food Cost],OrderLines[OrderID],Orders[[#This Row],[OrderID]])</f>
        <v>28.36</v>
      </c>
      <c r="M110" s="8">
        <f>Orders[[#This Row],[Revenue]]-Orders[[#This Row],[total cost]]</f>
        <v>28.072399999999995</v>
      </c>
      <c r="N110" t="str" cm="1">
        <f t="array" ref="N110">_xlfn.TEXTJOIN("+",,_xlfn._xlws.SORT(_xlfn.UNIQUE(_xlfn._xlws.FILTER(OrderLines[Category],OrderLines[OrderID]=Orders[[#This Row],[OrderID]]))))</f>
        <v>Beverage</v>
      </c>
    </row>
    <row r="111" spans="1:14" x14ac:dyDescent="0.3">
      <c r="A111" t="s">
        <v>147</v>
      </c>
      <c r="B111" s="1">
        <v>45871.910868055558</v>
      </c>
      <c r="C111" t="s">
        <v>27</v>
      </c>
      <c r="D111" t="s">
        <v>16</v>
      </c>
      <c r="E111" t="s">
        <v>21</v>
      </c>
      <c r="F111" t="s">
        <v>18</v>
      </c>
      <c r="G111">
        <v>7.0000000000000007E-2</v>
      </c>
      <c r="H111" s="8">
        <f>SUMIFS(OrderLines[LineNetAmount],OrderLines[OrderID],Orders[[#This Row],[OrderID]])</f>
        <v>761.72579999999994</v>
      </c>
      <c r="I111" t="str">
        <f>IF(COUNTIFS(OrderLines[OrderID],Orders[[#This Row],[OrderID]],OrderLines[Category],"Beverage"),"yes","no")</f>
        <v>yes</v>
      </c>
      <c r="J111" t="str">
        <f>IF(AND(COUNTIFS(OrderLines[OrderID],Orders[[#This Row],[OrderID]],OrderLines[Category],"Hot Meal"),Orders[[#This Row],[has beverage]]="yes"),"combo","single")</f>
        <v>combo</v>
      </c>
      <c r="K111" s="8" t="str" cm="1">
        <f t="array" ref="K111">IF((SUMPRODUCT(OrderLines[UnitPrice],OrderLines[Qty],--(OrderLines[OrderID]=Orders[[#This Row],[OrderID]]))-Orders[[#This Row],[Revenue]])&gt;40,"high disc","ok")</f>
        <v>high disc</v>
      </c>
      <c r="L111">
        <f>SUMIFS(OrderLines[Food Cost],OrderLines[OrderID],Orders[[#This Row],[OrderID]])</f>
        <v>362.02</v>
      </c>
      <c r="M111" s="8">
        <f>Orders[[#This Row],[Revenue]]-Orders[[#This Row],[total cost]]</f>
        <v>399.70579999999995</v>
      </c>
      <c r="N111" t="str" cm="1">
        <f t="array" ref="N111">_xlfn.TEXTJOIN("+",,_xlfn._xlws.SORT(_xlfn.UNIQUE(_xlfn._xlws.FILTER(OrderLines[Category],OrderLines[OrderID]=Orders[[#This Row],[OrderID]]))))</f>
        <v>Beverage+Dessert+Hot Meal</v>
      </c>
    </row>
    <row r="112" spans="1:14" x14ac:dyDescent="0.3">
      <c r="A112" t="s">
        <v>148</v>
      </c>
      <c r="B112" s="1">
        <v>45886.586400462962</v>
      </c>
      <c r="C112" t="s">
        <v>27</v>
      </c>
      <c r="D112" t="s">
        <v>16</v>
      </c>
      <c r="E112" t="s">
        <v>21</v>
      </c>
      <c r="F112" t="s">
        <v>22</v>
      </c>
      <c r="G112">
        <v>0.03</v>
      </c>
      <c r="H112" s="8">
        <f>SUMIFS(OrderLines[LineNetAmount],OrderLines[OrderID],Orders[[#This Row],[OrderID]])</f>
        <v>335.51330000000002</v>
      </c>
      <c r="I112" t="str">
        <f>IF(COUNTIFS(OrderLines[OrderID],Orders[[#This Row],[OrderID]],OrderLines[Category],"Beverage"),"yes","no")</f>
        <v>yes</v>
      </c>
      <c r="J112" t="str">
        <f>IF(AND(COUNTIFS(OrderLines[OrderID],Orders[[#This Row],[OrderID]],OrderLines[Category],"Hot Meal"),Orders[[#This Row],[has beverage]]="yes"),"combo","single")</f>
        <v>combo</v>
      </c>
      <c r="K112" s="8" t="str" cm="1">
        <f t="array" ref="K112">IF((SUMPRODUCT(OrderLines[UnitPrice],OrderLines[Qty],--(OrderLines[OrderID]=Orders[[#This Row],[OrderID]]))-Orders[[#This Row],[Revenue]])&gt;40,"high disc","ok")</f>
        <v>ok</v>
      </c>
      <c r="L112">
        <f>SUMIFS(OrderLines[Food Cost],OrderLines[OrderID],Orders[[#This Row],[OrderID]])</f>
        <v>181.68</v>
      </c>
      <c r="M112" s="8">
        <f>Orders[[#This Row],[Revenue]]-Orders[[#This Row],[total cost]]</f>
        <v>153.83330000000001</v>
      </c>
      <c r="N112" t="str" cm="1">
        <f t="array" ref="N112">_xlfn.TEXTJOIN("+",,_xlfn._xlws.SORT(_xlfn.UNIQUE(_xlfn._xlws.FILTER(OrderLines[Category],OrderLines[OrderID]=Orders[[#This Row],[OrderID]]))))</f>
        <v>Beverage+Hot Meal</v>
      </c>
    </row>
    <row r="113" spans="1:14" x14ac:dyDescent="0.3">
      <c r="A113" t="s">
        <v>149</v>
      </c>
      <c r="B113" s="1">
        <v>45866.402141203696</v>
      </c>
      <c r="C113" t="s">
        <v>9</v>
      </c>
      <c r="D113" t="s">
        <v>10</v>
      </c>
      <c r="E113" t="s">
        <v>21</v>
      </c>
      <c r="F113" t="s">
        <v>12</v>
      </c>
      <c r="G113">
        <v>7.0000000000000007E-2</v>
      </c>
      <c r="H113" s="8">
        <f>SUMIFS(OrderLines[LineNetAmount],OrderLines[OrderID],Orders[[#This Row],[OrderID]])</f>
        <v>409.14420000000001</v>
      </c>
      <c r="I113" t="str">
        <f>IF(COUNTIFS(OrderLines[OrderID],Orders[[#This Row],[OrderID]],OrderLines[Category],"Beverage"),"yes","no")</f>
        <v>yes</v>
      </c>
      <c r="J113" t="str">
        <f>IF(AND(COUNTIFS(OrderLines[OrderID],Orders[[#This Row],[OrderID]],OrderLines[Category],"Hot Meal"),Orders[[#This Row],[has beverage]]="yes"),"combo","single")</f>
        <v>combo</v>
      </c>
      <c r="K113" s="8" t="str" cm="1">
        <f t="array" ref="K113">IF((SUMPRODUCT(OrderLines[UnitPrice],OrderLines[Qty],--(OrderLines[OrderID]=Orders[[#This Row],[OrderID]]))-Orders[[#This Row],[Revenue]])&gt;40,"high disc","ok")</f>
        <v>ok</v>
      </c>
      <c r="L113">
        <f>SUMIFS(OrderLines[Food Cost],OrderLines[OrderID],Orders[[#This Row],[OrderID]])</f>
        <v>224.99</v>
      </c>
      <c r="M113" s="8">
        <f>Orders[[#This Row],[Revenue]]-Orders[[#This Row],[total cost]]</f>
        <v>184.1542</v>
      </c>
      <c r="N113" t="str" cm="1">
        <f t="array" ref="N113">_xlfn.TEXTJOIN("+",,_xlfn._xlws.SORT(_xlfn.UNIQUE(_xlfn._xlws.FILTER(OrderLines[Category],OrderLines[OrderID]=Orders[[#This Row],[OrderID]]))))</f>
        <v>Beverage+Dessert+Hot Meal</v>
      </c>
    </row>
    <row r="114" spans="1:14" x14ac:dyDescent="0.3">
      <c r="A114" t="s">
        <v>150</v>
      </c>
      <c r="B114" s="1">
        <v>45840.235567129632</v>
      </c>
      <c r="C114" t="s">
        <v>9</v>
      </c>
      <c r="D114" t="s">
        <v>28</v>
      </c>
      <c r="E114" t="s">
        <v>17</v>
      </c>
      <c r="F114" t="s">
        <v>12</v>
      </c>
      <c r="G114">
        <v>7.0000000000000007E-2</v>
      </c>
      <c r="H114" s="8">
        <f>SUMIFS(OrderLines[LineNetAmount],OrderLines[OrderID],Orders[[#This Row],[OrderID]])</f>
        <v>509.79810000000003</v>
      </c>
      <c r="I114" t="str">
        <f>IF(COUNTIFS(OrderLines[OrderID],Orders[[#This Row],[OrderID]],OrderLines[Category],"Beverage"),"yes","no")</f>
        <v>no</v>
      </c>
      <c r="J114" t="str">
        <f>IF(AND(COUNTIFS(OrderLines[OrderID],Orders[[#This Row],[OrderID]],OrderLines[Category],"Hot Meal"),Orders[[#This Row],[has beverage]]="yes"),"combo","single")</f>
        <v>single</v>
      </c>
      <c r="K114" s="8" t="str" cm="1">
        <f t="array" ref="K114">IF((SUMPRODUCT(OrderLines[UnitPrice],OrderLines[Qty],--(OrderLines[OrderID]=Orders[[#This Row],[OrderID]]))-Orders[[#This Row],[Revenue]])&gt;40,"high disc","ok")</f>
        <v>ok</v>
      </c>
      <c r="L114">
        <f>SUMIFS(OrderLines[Food Cost],OrderLines[OrderID],Orders[[#This Row],[OrderID]])</f>
        <v>262.24</v>
      </c>
      <c r="M114" s="8">
        <f>Orders[[#This Row],[Revenue]]-Orders[[#This Row],[total cost]]</f>
        <v>247.55810000000002</v>
      </c>
      <c r="N114" t="str" cm="1">
        <f t="array" ref="N114">_xlfn.TEXTJOIN("+",,_xlfn._xlws.SORT(_xlfn.UNIQUE(_xlfn._xlws.FILTER(OrderLines[Category],OrderLines[OrderID]=Orders[[#This Row],[OrderID]]))))</f>
        <v>Dessert+Hot Meal</v>
      </c>
    </row>
    <row r="115" spans="1:14" x14ac:dyDescent="0.3">
      <c r="A115" t="s">
        <v>151</v>
      </c>
      <c r="B115" s="1">
        <v>45878.71025462963</v>
      </c>
      <c r="C115" t="s">
        <v>15</v>
      </c>
      <c r="D115" t="s">
        <v>10</v>
      </c>
      <c r="E115" t="s">
        <v>17</v>
      </c>
      <c r="F115" t="s">
        <v>18</v>
      </c>
      <c r="G115">
        <v>0.03</v>
      </c>
      <c r="H115" s="8">
        <f>SUMIFS(OrderLines[LineNetAmount],OrderLines[OrderID],Orders[[#This Row],[OrderID]])</f>
        <v>251.20089999999999</v>
      </c>
      <c r="I115" t="str">
        <f>IF(COUNTIFS(OrderLines[OrderID],Orders[[#This Row],[OrderID]],OrderLines[Category],"Beverage"),"yes","no")</f>
        <v>no</v>
      </c>
      <c r="J115" t="str">
        <f>IF(AND(COUNTIFS(OrderLines[OrderID],Orders[[#This Row],[OrderID]],OrderLines[Category],"Hot Meal"),Orders[[#This Row],[has beverage]]="yes"),"combo","single")</f>
        <v>single</v>
      </c>
      <c r="K115" s="8" t="str" cm="1">
        <f t="array" ref="K115">IF((SUMPRODUCT(OrderLines[UnitPrice],OrderLines[Qty],--(OrderLines[OrderID]=Orders[[#This Row],[OrderID]]))-Orders[[#This Row],[Revenue]])&gt;40,"high disc","ok")</f>
        <v>ok</v>
      </c>
      <c r="L115">
        <f>SUMIFS(OrderLines[Food Cost],OrderLines[OrderID],Orders[[#This Row],[OrderID]])</f>
        <v>111.72999999999999</v>
      </c>
      <c r="M115" s="8">
        <f>Orders[[#This Row],[Revenue]]-Orders[[#This Row],[total cost]]</f>
        <v>139.4709</v>
      </c>
      <c r="N115" t="str" cm="1">
        <f t="array" ref="N115">_xlfn.TEXTJOIN("+",,_xlfn._xlws.SORT(_xlfn.UNIQUE(_xlfn._xlws.FILTER(OrderLines[Category],OrderLines[OrderID]=Orders[[#This Row],[OrderID]]))))</f>
        <v>Dessert+Snack</v>
      </c>
    </row>
    <row r="116" spans="1:14" x14ac:dyDescent="0.3">
      <c r="A116" t="s">
        <v>152</v>
      </c>
      <c r="B116" s="1">
        <v>45886.904016203713</v>
      </c>
      <c r="C116" t="s">
        <v>15</v>
      </c>
      <c r="D116" t="s">
        <v>28</v>
      </c>
      <c r="E116" t="s">
        <v>17</v>
      </c>
      <c r="F116" t="s">
        <v>18</v>
      </c>
      <c r="G116">
        <v>0.13</v>
      </c>
      <c r="H116" s="8">
        <f>SUMIFS(OrderLines[LineNetAmount],OrderLines[OrderID],Orders[[#This Row],[OrderID]])</f>
        <v>750.9926999999999</v>
      </c>
      <c r="I116" t="str">
        <f>IF(COUNTIFS(OrderLines[OrderID],Orders[[#This Row],[OrderID]],OrderLines[Category],"Beverage"),"yes","no")</f>
        <v>yes</v>
      </c>
      <c r="J116" t="str">
        <f>IF(AND(COUNTIFS(OrderLines[OrderID],Orders[[#This Row],[OrderID]],OrderLines[Category],"Hot Meal"),Orders[[#This Row],[has beverage]]="yes"),"combo","single")</f>
        <v>combo</v>
      </c>
      <c r="K116" s="8" t="str" cm="1">
        <f t="array" ref="K116">IF((SUMPRODUCT(OrderLines[UnitPrice],OrderLines[Qty],--(OrderLines[OrderID]=Orders[[#This Row],[OrderID]]))-Orders[[#This Row],[Revenue]])&gt;40,"high disc","ok")</f>
        <v>high disc</v>
      </c>
      <c r="L116">
        <f>SUMIFS(OrderLines[Food Cost],OrderLines[OrderID],Orders[[#This Row],[OrderID]])</f>
        <v>394.59</v>
      </c>
      <c r="M116" s="8">
        <f>Orders[[#This Row],[Revenue]]-Orders[[#This Row],[total cost]]</f>
        <v>356.40269999999992</v>
      </c>
      <c r="N116" t="str" cm="1">
        <f t="array" ref="N116">_xlfn.TEXTJOIN("+",,_xlfn._xlws.SORT(_xlfn.UNIQUE(_xlfn._xlws.FILTER(OrderLines[Category],OrderLines[OrderID]=Orders[[#This Row],[OrderID]]))))</f>
        <v>Beverage+Dessert+Hot Meal</v>
      </c>
    </row>
    <row r="117" spans="1:14" x14ac:dyDescent="0.3">
      <c r="A117" t="s">
        <v>153</v>
      </c>
      <c r="B117" s="1">
        <v>45860.764872685177</v>
      </c>
      <c r="C117" t="s">
        <v>15</v>
      </c>
      <c r="D117" t="s">
        <v>10</v>
      </c>
      <c r="E117" t="s">
        <v>17</v>
      </c>
      <c r="F117" t="s">
        <v>18</v>
      </c>
      <c r="G117">
        <v>0.08</v>
      </c>
      <c r="H117" s="8">
        <f>SUMIFS(OrderLines[LineNetAmount],OrderLines[OrderID],Orders[[#This Row],[OrderID]])</f>
        <v>376.96080000000006</v>
      </c>
      <c r="I117" t="str">
        <f>IF(COUNTIFS(OrderLines[OrderID],Orders[[#This Row],[OrderID]],OrderLines[Category],"Beverage"),"yes","no")</f>
        <v>yes</v>
      </c>
      <c r="J117" t="str">
        <f>IF(AND(COUNTIFS(OrderLines[OrderID],Orders[[#This Row],[OrderID]],OrderLines[Category],"Hot Meal"),Orders[[#This Row],[has beverage]]="yes"),"combo","single")</f>
        <v>combo</v>
      </c>
      <c r="K117" s="8" t="str" cm="1">
        <f t="array" ref="K117">IF((SUMPRODUCT(OrderLines[UnitPrice],OrderLines[Qty],--(OrderLines[OrderID]=Orders[[#This Row],[OrderID]]))-Orders[[#This Row],[Revenue]])&gt;40,"high disc","ok")</f>
        <v>ok</v>
      </c>
      <c r="L117">
        <f>SUMIFS(OrderLines[Food Cost],OrderLines[OrderID],Orders[[#This Row],[OrderID]])</f>
        <v>179.60999999999999</v>
      </c>
      <c r="M117" s="8">
        <f>Orders[[#This Row],[Revenue]]-Orders[[#This Row],[total cost]]</f>
        <v>197.35080000000008</v>
      </c>
      <c r="N117" t="str" cm="1">
        <f t="array" ref="N117">_xlfn.TEXTJOIN("+",,_xlfn._xlws.SORT(_xlfn.UNIQUE(_xlfn._xlws.FILTER(OrderLines[Category],OrderLines[OrderID]=Orders[[#This Row],[OrderID]]))))</f>
        <v>Beverage+Hot Meal+Snack</v>
      </c>
    </row>
    <row r="118" spans="1:14" x14ac:dyDescent="0.3">
      <c r="A118" t="s">
        <v>154</v>
      </c>
      <c r="B118" s="1">
        <v>45895.713437500002</v>
      </c>
      <c r="C118" t="s">
        <v>15</v>
      </c>
      <c r="D118" t="s">
        <v>16</v>
      </c>
      <c r="E118" t="s">
        <v>11</v>
      </c>
      <c r="F118" t="s">
        <v>18</v>
      </c>
      <c r="G118">
        <v>0.01</v>
      </c>
      <c r="H118" s="8">
        <f>SUMIFS(OrderLines[LineNetAmount],OrderLines[OrderID],Orders[[#This Row],[OrderID]])</f>
        <v>667.4085</v>
      </c>
      <c r="I118" t="str">
        <f>IF(COUNTIFS(OrderLines[OrderID],Orders[[#This Row],[OrderID]],OrderLines[Category],"Beverage"),"yes","no")</f>
        <v>yes</v>
      </c>
      <c r="J118" t="str">
        <f>IF(AND(COUNTIFS(OrderLines[OrderID],Orders[[#This Row],[OrderID]],OrderLines[Category],"Hot Meal"),Orders[[#This Row],[has beverage]]="yes"),"combo","single")</f>
        <v>single</v>
      </c>
      <c r="K118" s="8" t="str" cm="1">
        <f t="array" ref="K118">IF((SUMPRODUCT(OrderLines[UnitPrice],OrderLines[Qty],--(OrderLines[OrderID]=Orders[[#This Row],[OrderID]]))-Orders[[#This Row],[Revenue]])&gt;40,"high disc","ok")</f>
        <v>ok</v>
      </c>
      <c r="L118">
        <f>SUMIFS(OrderLines[Food Cost],OrderLines[OrderID],Orders[[#This Row],[OrderID]])</f>
        <v>304.45999999999998</v>
      </c>
      <c r="M118" s="8">
        <f>Orders[[#This Row],[Revenue]]-Orders[[#This Row],[total cost]]</f>
        <v>362.94850000000002</v>
      </c>
      <c r="N118" t="str" cm="1">
        <f t="array" ref="N118">_xlfn.TEXTJOIN("+",,_xlfn._xlws.SORT(_xlfn.UNIQUE(_xlfn._xlws.FILTER(OrderLines[Category],OrderLines[OrderID]=Orders[[#This Row],[OrderID]]))))</f>
        <v>Beverage+Dessert+Snack</v>
      </c>
    </row>
    <row r="119" spans="1:14" x14ac:dyDescent="0.3">
      <c r="A119" t="s">
        <v>155</v>
      </c>
      <c r="B119" s="1">
        <v>45872.625532407408</v>
      </c>
      <c r="C119" t="s">
        <v>15</v>
      </c>
      <c r="D119" t="s">
        <v>10</v>
      </c>
      <c r="E119" t="s">
        <v>11</v>
      </c>
      <c r="F119" t="s">
        <v>22</v>
      </c>
      <c r="G119">
        <v>0.09</v>
      </c>
      <c r="H119" s="8">
        <f>SUMIFS(OrderLines[LineNetAmount],OrderLines[OrderID],Orders[[#This Row],[OrderID]])</f>
        <v>47.729500000000002</v>
      </c>
      <c r="I119" t="str">
        <f>IF(COUNTIFS(OrderLines[OrderID],Orders[[#This Row],[OrderID]],OrderLines[Category],"Beverage"),"yes","no")</f>
        <v>no</v>
      </c>
      <c r="J119" t="str">
        <f>IF(AND(COUNTIFS(OrderLines[OrderID],Orders[[#This Row],[OrderID]],OrderLines[Category],"Hot Meal"),Orders[[#This Row],[has beverage]]="yes"),"combo","single")</f>
        <v>single</v>
      </c>
      <c r="K119" s="8" t="str" cm="1">
        <f t="array" ref="K119">IF((SUMPRODUCT(OrderLines[UnitPrice],OrderLines[Qty],--(OrderLines[OrderID]=Orders[[#This Row],[OrderID]]))-Orders[[#This Row],[Revenue]])&gt;40,"high disc","ok")</f>
        <v>ok</v>
      </c>
      <c r="L119">
        <f>SUMIFS(OrderLines[Food Cost],OrderLines[OrderID],Orders[[#This Row],[OrderID]])</f>
        <v>25.8</v>
      </c>
      <c r="M119" s="8">
        <f>Orders[[#This Row],[Revenue]]-Orders[[#This Row],[total cost]]</f>
        <v>21.929500000000001</v>
      </c>
      <c r="N119" t="str" cm="1">
        <f t="array" ref="N119">_xlfn.TEXTJOIN("+",,_xlfn._xlws.SORT(_xlfn.UNIQUE(_xlfn._xlws.FILTER(OrderLines[Category],OrderLines[OrderID]=Orders[[#This Row],[OrderID]]))))</f>
        <v>Snack</v>
      </c>
    </row>
    <row r="120" spans="1:14" x14ac:dyDescent="0.3">
      <c r="A120" t="s">
        <v>156</v>
      </c>
      <c r="B120" s="1">
        <v>45873.407407407409</v>
      </c>
      <c r="C120" t="s">
        <v>9</v>
      </c>
      <c r="D120" t="s">
        <v>16</v>
      </c>
      <c r="E120" t="s">
        <v>21</v>
      </c>
      <c r="F120" t="s">
        <v>12</v>
      </c>
      <c r="G120">
        <v>0.02</v>
      </c>
      <c r="H120" s="8">
        <f>SUMIFS(OrderLines[LineNetAmount],OrderLines[OrderID],Orders[[#This Row],[OrderID]])</f>
        <v>69.129200000000012</v>
      </c>
      <c r="I120" t="str">
        <f>IF(COUNTIFS(OrderLines[OrderID],Orders[[#This Row],[OrderID]],OrderLines[Category],"Beverage"),"yes","no")</f>
        <v>no</v>
      </c>
      <c r="J120" t="str">
        <f>IF(AND(COUNTIFS(OrderLines[OrderID],Orders[[#This Row],[OrderID]],OrderLines[Category],"Hot Meal"),Orders[[#This Row],[has beverage]]="yes"),"combo","single")</f>
        <v>single</v>
      </c>
      <c r="K120" s="8" t="str" cm="1">
        <f t="array" ref="K120">IF((SUMPRODUCT(OrderLines[UnitPrice],OrderLines[Qty],--(OrderLines[OrderID]=Orders[[#This Row],[OrderID]]))-Orders[[#This Row],[Revenue]])&gt;40,"high disc","ok")</f>
        <v>ok</v>
      </c>
      <c r="L120">
        <f>SUMIFS(OrderLines[Food Cost],OrderLines[OrderID],Orders[[#This Row],[OrderID]])</f>
        <v>35.81</v>
      </c>
      <c r="M120" s="8">
        <f>Orders[[#This Row],[Revenue]]-Orders[[#This Row],[total cost]]</f>
        <v>33.319200000000009</v>
      </c>
      <c r="N120" t="str" cm="1">
        <f t="array" ref="N120">_xlfn.TEXTJOIN("+",,_xlfn._xlws.SORT(_xlfn.UNIQUE(_xlfn._xlws.FILTER(OrderLines[Category],OrderLines[OrderID]=Orders[[#This Row],[OrderID]]))))</f>
        <v>Snack</v>
      </c>
    </row>
    <row r="121" spans="1:14" x14ac:dyDescent="0.3">
      <c r="A121" t="s">
        <v>157</v>
      </c>
      <c r="B121" s="1">
        <v>45863.658865740741</v>
      </c>
      <c r="C121" t="s">
        <v>27</v>
      </c>
      <c r="D121" t="s">
        <v>28</v>
      </c>
      <c r="E121" t="s">
        <v>11</v>
      </c>
      <c r="F121" t="s">
        <v>22</v>
      </c>
      <c r="G121">
        <v>0.09</v>
      </c>
      <c r="H121" s="8">
        <f>SUMIFS(OrderLines[LineNetAmount],OrderLines[OrderID],Orders[[#This Row],[OrderID]])</f>
        <v>82.491500000000002</v>
      </c>
      <c r="I121" t="str">
        <f>IF(COUNTIFS(OrderLines[OrderID],Orders[[#This Row],[OrderID]],OrderLines[Category],"Beverage"),"yes","no")</f>
        <v>yes</v>
      </c>
      <c r="J121" t="str">
        <f>IF(AND(COUNTIFS(OrderLines[OrderID],Orders[[#This Row],[OrderID]],OrderLines[Category],"Hot Meal"),Orders[[#This Row],[has beverage]]="yes"),"combo","single")</f>
        <v>single</v>
      </c>
      <c r="K121" s="8" t="str" cm="1">
        <f t="array" ref="K121">IF((SUMPRODUCT(OrderLines[UnitPrice],OrderLines[Qty],--(OrderLines[OrderID]=Orders[[#This Row],[OrderID]]))-Orders[[#This Row],[Revenue]])&gt;40,"high disc","ok")</f>
        <v>ok</v>
      </c>
      <c r="L121">
        <f>SUMIFS(OrderLines[Food Cost],OrderLines[OrderID],Orders[[#This Row],[OrderID]])</f>
        <v>43.81</v>
      </c>
      <c r="M121" s="8">
        <f>Orders[[#This Row],[Revenue]]-Orders[[#This Row],[total cost]]</f>
        <v>38.6815</v>
      </c>
      <c r="N121" t="str" cm="1">
        <f t="array" ref="N121">_xlfn.TEXTJOIN("+",,_xlfn._xlws.SORT(_xlfn.UNIQUE(_xlfn._xlws.FILTER(OrderLines[Category],OrderLines[OrderID]=Orders[[#This Row],[OrderID]]))))</f>
        <v>Beverage+Snack</v>
      </c>
    </row>
    <row r="122" spans="1:14" x14ac:dyDescent="0.3">
      <c r="A122" t="s">
        <v>158</v>
      </c>
      <c r="B122" s="1">
        <v>45869.886666666673</v>
      </c>
      <c r="C122" t="s">
        <v>27</v>
      </c>
      <c r="D122" t="s">
        <v>10</v>
      </c>
      <c r="E122" t="s">
        <v>11</v>
      </c>
      <c r="F122" t="s">
        <v>18</v>
      </c>
      <c r="G122">
        <v>0.11</v>
      </c>
      <c r="H122" s="8">
        <f>SUMIFS(OrderLines[LineNetAmount],OrderLines[OrderID],Orders[[#This Row],[OrderID]])</f>
        <v>541.0933</v>
      </c>
      <c r="I122" t="str">
        <f>IF(COUNTIFS(OrderLines[OrderID],Orders[[#This Row],[OrderID]],OrderLines[Category],"Beverage"),"yes","no")</f>
        <v>no</v>
      </c>
      <c r="J122" t="str">
        <f>IF(AND(COUNTIFS(OrderLines[OrderID],Orders[[#This Row],[OrderID]],OrderLines[Category],"Hot Meal"),Orders[[#This Row],[has beverage]]="yes"),"combo","single")</f>
        <v>single</v>
      </c>
      <c r="K122" s="8" t="str" cm="1">
        <f t="array" ref="K122">IF((SUMPRODUCT(OrderLines[UnitPrice],OrderLines[Qty],--(OrderLines[OrderID]=Orders[[#This Row],[OrderID]]))-Orders[[#This Row],[Revenue]])&gt;40,"high disc","ok")</f>
        <v>high disc</v>
      </c>
      <c r="L122">
        <f>SUMIFS(OrderLines[Food Cost],OrderLines[OrderID],Orders[[#This Row],[OrderID]])</f>
        <v>275.83999999999997</v>
      </c>
      <c r="M122" s="8">
        <f>Orders[[#This Row],[Revenue]]-Orders[[#This Row],[total cost]]</f>
        <v>265.25330000000002</v>
      </c>
      <c r="N122" t="str" cm="1">
        <f t="array" ref="N122">_xlfn.TEXTJOIN("+",,_xlfn._xlws.SORT(_xlfn.UNIQUE(_xlfn._xlws.FILTER(OrderLines[Category],OrderLines[OrderID]=Orders[[#This Row],[OrderID]]))))</f>
        <v>Dessert+Snack</v>
      </c>
    </row>
    <row r="123" spans="1:14" x14ac:dyDescent="0.3">
      <c r="A123" t="s">
        <v>159</v>
      </c>
      <c r="B123" s="1">
        <v>45857.846782407411</v>
      </c>
      <c r="C123" t="s">
        <v>27</v>
      </c>
      <c r="D123" t="s">
        <v>10</v>
      </c>
      <c r="E123" t="s">
        <v>21</v>
      </c>
      <c r="F123" t="s">
        <v>18</v>
      </c>
      <c r="G123">
        <v>0.03</v>
      </c>
      <c r="H123" s="8">
        <f>SUMIFS(OrderLines[LineNetAmount],OrderLines[OrderID],Orders[[#This Row],[OrderID]])</f>
        <v>615.94029999999998</v>
      </c>
      <c r="I123" t="str">
        <f>IF(COUNTIFS(OrderLines[OrderID],Orders[[#This Row],[OrderID]],OrderLines[Category],"Beverage"),"yes","no")</f>
        <v>yes</v>
      </c>
      <c r="J123" t="str">
        <f>IF(AND(COUNTIFS(OrderLines[OrderID],Orders[[#This Row],[OrderID]],OrderLines[Category],"Hot Meal"),Orders[[#This Row],[has beverage]]="yes"),"combo","single")</f>
        <v>combo</v>
      </c>
      <c r="K123" s="8" t="str" cm="1">
        <f t="array" ref="K123">IF((SUMPRODUCT(OrderLines[UnitPrice],OrderLines[Qty],--(OrderLines[OrderID]=Orders[[#This Row],[OrderID]]))-Orders[[#This Row],[Revenue]])&gt;40,"high disc","ok")</f>
        <v>ok</v>
      </c>
      <c r="L123">
        <f>SUMIFS(OrderLines[Food Cost],OrderLines[OrderID],Orders[[#This Row],[OrderID]])</f>
        <v>291.64</v>
      </c>
      <c r="M123" s="8">
        <f>Orders[[#This Row],[Revenue]]-Orders[[#This Row],[total cost]]</f>
        <v>324.30029999999999</v>
      </c>
      <c r="N123" t="str" cm="1">
        <f t="array" ref="N123">_xlfn.TEXTJOIN("+",,_xlfn._xlws.SORT(_xlfn.UNIQUE(_xlfn._xlws.FILTER(OrderLines[Category],OrderLines[OrderID]=Orders[[#This Row],[OrderID]]))))</f>
        <v>Beverage+Dessert+Hot Meal</v>
      </c>
    </row>
    <row r="124" spans="1:14" x14ac:dyDescent="0.3">
      <c r="A124" t="s">
        <v>160</v>
      </c>
      <c r="B124" s="1">
        <v>45896.493206018517</v>
      </c>
      <c r="C124" t="s">
        <v>9</v>
      </c>
      <c r="D124" t="s">
        <v>10</v>
      </c>
      <c r="E124" t="s">
        <v>21</v>
      </c>
      <c r="F124" t="s">
        <v>22</v>
      </c>
      <c r="G124">
        <v>0.1</v>
      </c>
      <c r="H124" s="8">
        <f>SUMIFS(OrderLines[LineNetAmount],OrderLines[OrderID],Orders[[#This Row],[OrderID]])</f>
        <v>986.59799999999996</v>
      </c>
      <c r="I124" t="str">
        <f>IF(COUNTIFS(OrderLines[OrderID],Orders[[#This Row],[OrderID]],OrderLines[Category],"Beverage"),"yes","no")</f>
        <v>no</v>
      </c>
      <c r="J124" t="str">
        <f>IF(AND(COUNTIFS(OrderLines[OrderID],Orders[[#This Row],[OrderID]],OrderLines[Category],"Hot Meal"),Orders[[#This Row],[has beverage]]="yes"),"combo","single")</f>
        <v>single</v>
      </c>
      <c r="K124" s="8" t="str" cm="1">
        <f t="array" ref="K124">IF((SUMPRODUCT(OrderLines[UnitPrice],OrderLines[Qty],--(OrderLines[OrderID]=Orders[[#This Row],[OrderID]]))-Orders[[#This Row],[Revenue]])&gt;40,"high disc","ok")</f>
        <v>high disc</v>
      </c>
      <c r="L124">
        <f>SUMIFS(OrderLines[Food Cost],OrderLines[OrderID],Orders[[#This Row],[OrderID]])</f>
        <v>516.5100000000001</v>
      </c>
      <c r="M124" s="8">
        <f>Orders[[#This Row],[Revenue]]-Orders[[#This Row],[total cost]]</f>
        <v>470.08799999999985</v>
      </c>
      <c r="N124" t="str" cm="1">
        <f t="array" ref="N124">_xlfn.TEXTJOIN("+",,_xlfn._xlws.SORT(_xlfn.UNIQUE(_xlfn._xlws.FILTER(OrderLines[Category],OrderLines[OrderID]=Orders[[#This Row],[OrderID]]))))</f>
        <v>Dessert+Hot Meal+Snack</v>
      </c>
    </row>
    <row r="125" spans="1:14" x14ac:dyDescent="0.3">
      <c r="A125" t="s">
        <v>161</v>
      </c>
      <c r="B125" s="1">
        <v>45858.096944444442</v>
      </c>
      <c r="C125" t="s">
        <v>15</v>
      </c>
      <c r="D125" t="s">
        <v>28</v>
      </c>
      <c r="E125" t="s">
        <v>21</v>
      </c>
      <c r="F125" t="s">
        <v>12</v>
      </c>
      <c r="G125">
        <v>0.08</v>
      </c>
      <c r="H125" s="8">
        <f>SUMIFS(OrderLines[LineNetAmount],OrderLines[OrderID],Orders[[#This Row],[OrderID]])</f>
        <v>858.01959999999997</v>
      </c>
      <c r="I125" t="str">
        <f>IF(COUNTIFS(OrderLines[OrderID],Orders[[#This Row],[OrderID]],OrderLines[Category],"Beverage"),"yes","no")</f>
        <v>yes</v>
      </c>
      <c r="J125" t="str">
        <f>IF(AND(COUNTIFS(OrderLines[OrderID],Orders[[#This Row],[OrderID]],OrderLines[Category],"Hot Meal"),Orders[[#This Row],[has beverage]]="yes"),"combo","single")</f>
        <v>combo</v>
      </c>
      <c r="K125" s="8" t="str" cm="1">
        <f t="array" ref="K125">IF((SUMPRODUCT(OrderLines[UnitPrice],OrderLines[Qty],--(OrderLines[OrderID]=Orders[[#This Row],[OrderID]]))-Orders[[#This Row],[Revenue]])&gt;40,"high disc","ok")</f>
        <v>high disc</v>
      </c>
      <c r="L125">
        <f>SUMIFS(OrderLines[Food Cost],OrderLines[OrderID],Orders[[#This Row],[OrderID]])</f>
        <v>412.05</v>
      </c>
      <c r="M125" s="8">
        <f>Orders[[#This Row],[Revenue]]-Orders[[#This Row],[total cost]]</f>
        <v>445.96959999999996</v>
      </c>
      <c r="N125" t="str" cm="1">
        <f t="array" ref="N125">_xlfn.TEXTJOIN("+",,_xlfn._xlws.SORT(_xlfn.UNIQUE(_xlfn._xlws.FILTER(OrderLines[Category],OrderLines[OrderID]=Orders[[#This Row],[OrderID]]))))</f>
        <v>Beverage+Dessert+Hot Meal</v>
      </c>
    </row>
    <row r="126" spans="1:14" x14ac:dyDescent="0.3">
      <c r="A126" t="s">
        <v>162</v>
      </c>
      <c r="B126" s="1">
        <v>45868.597268518519</v>
      </c>
      <c r="C126" t="s">
        <v>27</v>
      </c>
      <c r="D126" t="s">
        <v>10</v>
      </c>
      <c r="E126" t="s">
        <v>11</v>
      </c>
      <c r="F126" t="s">
        <v>22</v>
      </c>
      <c r="G126">
        <v>0.09</v>
      </c>
      <c r="H126" s="8">
        <f>SUMIFS(OrderLines[LineNetAmount],OrderLines[OrderID],Orders[[#This Row],[OrderID]])</f>
        <v>155.61000000000001</v>
      </c>
      <c r="I126" t="str">
        <f>IF(COUNTIFS(OrderLines[OrderID],Orders[[#This Row],[OrderID]],OrderLines[Category],"Beverage"),"yes","no")</f>
        <v>no</v>
      </c>
      <c r="J126" t="str">
        <f>IF(AND(COUNTIFS(OrderLines[OrderID],Orders[[#This Row],[OrderID]],OrderLines[Category],"Hot Meal"),Orders[[#This Row],[has beverage]]="yes"),"combo","single")</f>
        <v>single</v>
      </c>
      <c r="K126" s="8" t="str" cm="1">
        <f t="array" ref="K126">IF((SUMPRODUCT(OrderLines[UnitPrice],OrderLines[Qty],--(OrderLines[OrderID]=Orders[[#This Row],[OrderID]]))-Orders[[#This Row],[Revenue]])&gt;40,"high disc","ok")</f>
        <v>ok</v>
      </c>
      <c r="L126">
        <f>SUMIFS(OrderLines[Food Cost],OrderLines[OrderID],Orders[[#This Row],[OrderID]])</f>
        <v>70.92</v>
      </c>
      <c r="M126" s="8">
        <f>Orders[[#This Row],[Revenue]]-Orders[[#This Row],[total cost]]</f>
        <v>84.690000000000012</v>
      </c>
      <c r="N126" t="str" cm="1">
        <f t="array" ref="N126">_xlfn.TEXTJOIN("+",,_xlfn._xlws.SORT(_xlfn.UNIQUE(_xlfn._xlws.FILTER(OrderLines[Category],OrderLines[OrderID]=Orders[[#This Row],[OrderID]]))))</f>
        <v>Dessert</v>
      </c>
    </row>
    <row r="127" spans="1:14" x14ac:dyDescent="0.3">
      <c r="A127" t="s">
        <v>163</v>
      </c>
      <c r="B127" s="1">
        <v>45865.882986111108</v>
      </c>
      <c r="C127" t="s">
        <v>27</v>
      </c>
      <c r="D127" t="s">
        <v>28</v>
      </c>
      <c r="E127" t="s">
        <v>11</v>
      </c>
      <c r="F127" t="s">
        <v>18</v>
      </c>
      <c r="G127">
        <v>0.14000000000000001</v>
      </c>
      <c r="H127" s="8">
        <f>SUMIFS(OrderLines[LineNetAmount],OrderLines[OrderID],Orders[[#This Row],[OrderID]])</f>
        <v>318.2516</v>
      </c>
      <c r="I127" t="str">
        <f>IF(COUNTIFS(OrderLines[OrderID],Orders[[#This Row],[OrderID]],OrderLines[Category],"Beverage"),"yes","no")</f>
        <v>no</v>
      </c>
      <c r="J127" t="str">
        <f>IF(AND(COUNTIFS(OrderLines[OrderID],Orders[[#This Row],[OrderID]],OrderLines[Category],"Hot Meal"),Orders[[#This Row],[has beverage]]="yes"),"combo","single")</f>
        <v>single</v>
      </c>
      <c r="K127" s="8" t="str" cm="1">
        <f t="array" ref="K127">IF((SUMPRODUCT(OrderLines[UnitPrice],OrderLines[Qty],--(OrderLines[OrderID]=Orders[[#This Row],[OrderID]]))-Orders[[#This Row],[Revenue]])&gt;40,"high disc","ok")</f>
        <v>high disc</v>
      </c>
      <c r="L127">
        <f>SUMIFS(OrderLines[Food Cost],OrderLines[OrderID],Orders[[#This Row],[OrderID]])</f>
        <v>194.14</v>
      </c>
      <c r="M127" s="8">
        <f>Orders[[#This Row],[Revenue]]-Orders[[#This Row],[total cost]]</f>
        <v>124.11160000000001</v>
      </c>
      <c r="N127" t="str" cm="1">
        <f t="array" ref="N127">_xlfn.TEXTJOIN("+",,_xlfn._xlws.SORT(_xlfn.UNIQUE(_xlfn._xlws.FILTER(OrderLines[Category],OrderLines[OrderID]=Orders[[#This Row],[OrderID]]))))</f>
        <v>Dessert+Hot Meal+Snack</v>
      </c>
    </row>
    <row r="128" spans="1:14" x14ac:dyDescent="0.3">
      <c r="A128" t="s">
        <v>164</v>
      </c>
      <c r="B128" s="1">
        <v>45851.510520833333</v>
      </c>
      <c r="C128" t="s">
        <v>9</v>
      </c>
      <c r="D128" t="s">
        <v>16</v>
      </c>
      <c r="E128" t="s">
        <v>17</v>
      </c>
      <c r="F128" t="s">
        <v>22</v>
      </c>
      <c r="G128">
        <v>0.05</v>
      </c>
      <c r="H128" s="8">
        <f>SUMIFS(OrderLines[LineNetAmount],OrderLines[OrderID],Orders[[#This Row],[OrderID]])</f>
        <v>191.672</v>
      </c>
      <c r="I128" t="str">
        <f>IF(COUNTIFS(OrderLines[OrderID],Orders[[#This Row],[OrderID]],OrderLines[Category],"Beverage"),"yes","no")</f>
        <v>yes</v>
      </c>
      <c r="J128" t="str">
        <f>IF(AND(COUNTIFS(OrderLines[OrderID],Orders[[#This Row],[OrderID]],OrderLines[Category],"Hot Meal"),Orders[[#This Row],[has beverage]]="yes"),"combo","single")</f>
        <v>single</v>
      </c>
      <c r="K128" s="8" t="str" cm="1">
        <f t="array" ref="K128">IF((SUMPRODUCT(OrderLines[UnitPrice],OrderLines[Qty],--(OrderLines[OrderID]=Orders[[#This Row],[OrderID]]))-Orders[[#This Row],[Revenue]])&gt;40,"high disc","ok")</f>
        <v>ok</v>
      </c>
      <c r="L128">
        <f>SUMIFS(OrderLines[Food Cost],OrderLines[OrderID],Orders[[#This Row],[OrderID]])</f>
        <v>99.98</v>
      </c>
      <c r="M128" s="8">
        <f>Orders[[#This Row],[Revenue]]-Orders[[#This Row],[total cost]]</f>
        <v>91.691999999999993</v>
      </c>
      <c r="N128" t="str" cm="1">
        <f t="array" ref="N128">_xlfn.TEXTJOIN("+",,_xlfn._xlws.SORT(_xlfn.UNIQUE(_xlfn._xlws.FILTER(OrderLines[Category],OrderLines[OrderID]=Orders[[#This Row],[OrderID]]))))</f>
        <v>Beverage+Snack</v>
      </c>
    </row>
    <row r="129" spans="1:14" x14ac:dyDescent="0.3">
      <c r="A129" t="s">
        <v>165</v>
      </c>
      <c r="B129" s="1">
        <v>45894.98609953704</v>
      </c>
      <c r="C129" t="s">
        <v>15</v>
      </c>
      <c r="D129" t="s">
        <v>16</v>
      </c>
      <c r="E129" t="s">
        <v>21</v>
      </c>
      <c r="F129" t="s">
        <v>18</v>
      </c>
      <c r="G129">
        <v>0.03</v>
      </c>
      <c r="H129" s="8">
        <f>SUMIFS(OrderLines[LineNetAmount],OrderLines[OrderID],Orders[[#This Row],[OrderID]])</f>
        <v>699.23419999999999</v>
      </c>
      <c r="I129" t="str">
        <f>IF(COUNTIFS(OrderLines[OrderID],Orders[[#This Row],[OrderID]],OrderLines[Category],"Beverage"),"yes","no")</f>
        <v>yes</v>
      </c>
      <c r="J129" t="str">
        <f>IF(AND(COUNTIFS(OrderLines[OrderID],Orders[[#This Row],[OrderID]],OrderLines[Category],"Hot Meal"),Orders[[#This Row],[has beverage]]="yes"),"combo","single")</f>
        <v>combo</v>
      </c>
      <c r="K129" s="8" t="str" cm="1">
        <f t="array" ref="K129">IF((SUMPRODUCT(OrderLines[UnitPrice],OrderLines[Qty],--(OrderLines[OrderID]=Orders[[#This Row],[OrderID]]))-Orders[[#This Row],[Revenue]])&gt;40,"high disc","ok")</f>
        <v>ok</v>
      </c>
      <c r="L129">
        <f>SUMIFS(OrderLines[Food Cost],OrderLines[OrderID],Orders[[#This Row],[OrderID]])</f>
        <v>337.78000000000003</v>
      </c>
      <c r="M129" s="8">
        <f>Orders[[#This Row],[Revenue]]-Orders[[#This Row],[total cost]]</f>
        <v>361.45419999999996</v>
      </c>
      <c r="N129" t="str" cm="1">
        <f t="array" ref="N129">_xlfn.TEXTJOIN("+",,_xlfn._xlws.SORT(_xlfn.UNIQUE(_xlfn._xlws.FILTER(OrderLines[Category],OrderLines[OrderID]=Orders[[#This Row],[OrderID]]))))</f>
        <v>Beverage+Hot Meal+Snack</v>
      </c>
    </row>
    <row r="130" spans="1:14" x14ac:dyDescent="0.3">
      <c r="A130" t="s">
        <v>166</v>
      </c>
      <c r="B130" s="1">
        <v>45872.329259259262</v>
      </c>
      <c r="C130" t="s">
        <v>27</v>
      </c>
      <c r="D130" t="s">
        <v>28</v>
      </c>
      <c r="E130" t="s">
        <v>21</v>
      </c>
      <c r="F130" t="s">
        <v>12</v>
      </c>
      <c r="G130">
        <v>0.02</v>
      </c>
      <c r="H130" s="8">
        <f>SUMIFS(OrderLines[LineNetAmount],OrderLines[OrderID],Orders[[#This Row],[OrderID]])</f>
        <v>735.34300000000007</v>
      </c>
      <c r="I130" t="str">
        <f>IF(COUNTIFS(OrderLines[OrderID],Orders[[#This Row],[OrderID]],OrderLines[Category],"Beverage"),"yes","no")</f>
        <v>no</v>
      </c>
      <c r="J130" t="str">
        <f>IF(AND(COUNTIFS(OrderLines[OrderID],Orders[[#This Row],[OrderID]],OrderLines[Category],"Hot Meal"),Orders[[#This Row],[has beverage]]="yes"),"combo","single")</f>
        <v>single</v>
      </c>
      <c r="K130" s="8" t="str" cm="1">
        <f t="array" ref="K130">IF((SUMPRODUCT(OrderLines[UnitPrice],OrderLines[Qty],--(OrderLines[OrderID]=Orders[[#This Row],[OrderID]]))-Orders[[#This Row],[Revenue]])&gt;40,"high disc","ok")</f>
        <v>ok</v>
      </c>
      <c r="L130">
        <f>SUMIFS(OrderLines[Food Cost],OrderLines[OrderID],Orders[[#This Row],[OrderID]])</f>
        <v>326.07</v>
      </c>
      <c r="M130" s="8">
        <f>Orders[[#This Row],[Revenue]]-Orders[[#This Row],[total cost]]</f>
        <v>409.27300000000008</v>
      </c>
      <c r="N130" t="str" cm="1">
        <f t="array" ref="N130">_xlfn.TEXTJOIN("+",,_xlfn._xlws.SORT(_xlfn.UNIQUE(_xlfn._xlws.FILTER(OrderLines[Category],OrderLines[OrderID]=Orders[[#This Row],[OrderID]]))))</f>
        <v>Dessert+Hot Meal</v>
      </c>
    </row>
    <row r="131" spans="1:14" x14ac:dyDescent="0.3">
      <c r="A131" t="s">
        <v>167</v>
      </c>
      <c r="B131" s="1">
        <v>45850.32675925926</v>
      </c>
      <c r="C131" t="s">
        <v>27</v>
      </c>
      <c r="D131" t="s">
        <v>16</v>
      </c>
      <c r="E131" t="s">
        <v>21</v>
      </c>
      <c r="F131" t="s">
        <v>12</v>
      </c>
      <c r="G131">
        <v>0.03</v>
      </c>
      <c r="H131" s="8">
        <f>SUMIFS(OrderLines[LineNetAmount],OrderLines[OrderID],Orders[[#This Row],[OrderID]])</f>
        <v>404.48029999999994</v>
      </c>
      <c r="I131" t="str">
        <f>IF(COUNTIFS(OrderLines[OrderID],Orders[[#This Row],[OrderID]],OrderLines[Category],"Beverage"),"yes","no")</f>
        <v>no</v>
      </c>
      <c r="J131" t="str">
        <f>IF(AND(COUNTIFS(OrderLines[OrderID],Orders[[#This Row],[OrderID]],OrderLines[Category],"Hot Meal"),Orders[[#This Row],[has beverage]]="yes"),"combo","single")</f>
        <v>single</v>
      </c>
      <c r="K131" s="8" t="str" cm="1">
        <f t="array" ref="K131">IF((SUMPRODUCT(OrderLines[UnitPrice],OrderLines[Qty],--(OrderLines[OrderID]=Orders[[#This Row],[OrderID]]))-Orders[[#This Row],[Revenue]])&gt;40,"high disc","ok")</f>
        <v>ok</v>
      </c>
      <c r="L131">
        <f>SUMIFS(OrderLines[Food Cost],OrderLines[OrderID],Orders[[#This Row],[OrderID]])</f>
        <v>199.47</v>
      </c>
      <c r="M131" s="8">
        <f>Orders[[#This Row],[Revenue]]-Orders[[#This Row],[total cost]]</f>
        <v>205.01029999999994</v>
      </c>
      <c r="N131" t="str" cm="1">
        <f t="array" ref="N131">_xlfn.TEXTJOIN("+",,_xlfn._xlws.SORT(_xlfn.UNIQUE(_xlfn._xlws.FILTER(OrderLines[Category],OrderLines[OrderID]=Orders[[#This Row],[OrderID]]))))</f>
        <v>Dessert+Snack</v>
      </c>
    </row>
    <row r="132" spans="1:14" x14ac:dyDescent="0.3">
      <c r="A132" t="s">
        <v>168</v>
      </c>
      <c r="B132" s="1">
        <v>45895.273194444453</v>
      </c>
      <c r="C132" t="s">
        <v>9</v>
      </c>
      <c r="D132" t="s">
        <v>10</v>
      </c>
      <c r="E132" t="s">
        <v>17</v>
      </c>
      <c r="F132" t="s">
        <v>12</v>
      </c>
      <c r="G132">
        <v>0.06</v>
      </c>
      <c r="H132" s="8">
        <f>SUMIFS(OrderLines[LineNetAmount],OrderLines[OrderID],Orders[[#This Row],[OrderID]])</f>
        <v>593.14</v>
      </c>
      <c r="I132" t="str">
        <f>IF(COUNTIFS(OrderLines[OrderID],Orders[[#This Row],[OrderID]],OrderLines[Category],"Beverage"),"yes","no")</f>
        <v>yes</v>
      </c>
      <c r="J132" t="str">
        <f>IF(AND(COUNTIFS(OrderLines[OrderID],Orders[[#This Row],[OrderID]],OrderLines[Category],"Hot Meal"),Orders[[#This Row],[has beverage]]="yes"),"combo","single")</f>
        <v>combo</v>
      </c>
      <c r="K132" s="8" t="str" cm="1">
        <f t="array" ref="K132">IF((SUMPRODUCT(OrderLines[UnitPrice],OrderLines[Qty],--(OrderLines[OrderID]=Orders[[#This Row],[OrderID]]))-Orders[[#This Row],[Revenue]])&gt;40,"high disc","ok")</f>
        <v>ok</v>
      </c>
      <c r="L132">
        <f>SUMIFS(OrderLines[Food Cost],OrderLines[OrderID],Orders[[#This Row],[OrderID]])</f>
        <v>304.01</v>
      </c>
      <c r="M132" s="8">
        <f>Orders[[#This Row],[Revenue]]-Orders[[#This Row],[total cost]]</f>
        <v>289.13</v>
      </c>
      <c r="N132" t="str" cm="1">
        <f t="array" ref="N132">_xlfn.TEXTJOIN("+",,_xlfn._xlws.SORT(_xlfn.UNIQUE(_xlfn._xlws.FILTER(OrderLines[Category],OrderLines[OrderID]=Orders[[#This Row],[OrderID]]))))</f>
        <v>Beverage+Hot Meal</v>
      </c>
    </row>
    <row r="133" spans="1:14" x14ac:dyDescent="0.3">
      <c r="A133" t="s">
        <v>169</v>
      </c>
      <c r="B133" s="1">
        <v>45853.735648148147</v>
      </c>
      <c r="C133" t="s">
        <v>9</v>
      </c>
      <c r="D133" t="s">
        <v>16</v>
      </c>
      <c r="E133" t="s">
        <v>17</v>
      </c>
      <c r="F133" t="s">
        <v>18</v>
      </c>
      <c r="G133">
        <v>7.0000000000000007E-2</v>
      </c>
      <c r="H133" s="8">
        <f>SUMIFS(OrderLines[LineNetAmount],OrderLines[OrderID],Orders[[#This Row],[OrderID]])</f>
        <v>456.17430000000002</v>
      </c>
      <c r="I133" t="str">
        <f>IF(COUNTIFS(OrderLines[OrderID],Orders[[#This Row],[OrderID]],OrderLines[Category],"Beverage"),"yes","no")</f>
        <v>no</v>
      </c>
      <c r="J133" t="str">
        <f>IF(AND(COUNTIFS(OrderLines[OrderID],Orders[[#This Row],[OrderID]],OrderLines[Category],"Hot Meal"),Orders[[#This Row],[has beverage]]="yes"),"combo","single")</f>
        <v>single</v>
      </c>
      <c r="K133" s="8" t="str" cm="1">
        <f t="array" ref="K133">IF((SUMPRODUCT(OrderLines[UnitPrice],OrderLines[Qty],--(OrderLines[OrderID]=Orders[[#This Row],[OrderID]]))-Orders[[#This Row],[Revenue]])&gt;40,"high disc","ok")</f>
        <v>ok</v>
      </c>
      <c r="L133">
        <f>SUMIFS(OrderLines[Food Cost],OrderLines[OrderID],Orders[[#This Row],[OrderID]])</f>
        <v>219.18</v>
      </c>
      <c r="M133" s="8">
        <f>Orders[[#This Row],[Revenue]]-Orders[[#This Row],[total cost]]</f>
        <v>236.99430000000001</v>
      </c>
      <c r="N133" t="str" cm="1">
        <f t="array" ref="N133">_xlfn.TEXTJOIN("+",,_xlfn._xlws.SORT(_xlfn.UNIQUE(_xlfn._xlws.FILTER(OrderLines[Category],OrderLines[OrderID]=Orders[[#This Row],[OrderID]]))))</f>
        <v>Dessert+Hot Meal</v>
      </c>
    </row>
    <row r="134" spans="1:14" x14ac:dyDescent="0.3">
      <c r="A134" t="s">
        <v>170</v>
      </c>
      <c r="B134" s="1">
        <v>45850.750497685192</v>
      </c>
      <c r="C134" t="s">
        <v>9</v>
      </c>
      <c r="D134" t="s">
        <v>16</v>
      </c>
      <c r="E134" t="s">
        <v>11</v>
      </c>
      <c r="F134" t="s">
        <v>18</v>
      </c>
      <c r="G134">
        <v>7.0000000000000007E-2</v>
      </c>
      <c r="H134" s="8">
        <f>SUMIFS(OrderLines[LineNetAmount],OrderLines[OrderID],Orders[[#This Row],[OrderID]])</f>
        <v>349.8381</v>
      </c>
      <c r="I134" t="str">
        <f>IF(COUNTIFS(OrderLines[OrderID],Orders[[#This Row],[OrderID]],OrderLines[Category],"Beverage"),"yes","no")</f>
        <v>yes</v>
      </c>
      <c r="J134" t="str">
        <f>IF(AND(COUNTIFS(OrderLines[OrderID],Orders[[#This Row],[OrderID]],OrderLines[Category],"Hot Meal"),Orders[[#This Row],[has beverage]]="yes"),"combo","single")</f>
        <v>single</v>
      </c>
      <c r="K134" s="8" t="str" cm="1">
        <f t="array" ref="K134">IF((SUMPRODUCT(OrderLines[UnitPrice],OrderLines[Qty],--(OrderLines[OrderID]=Orders[[#This Row],[OrderID]]))-Orders[[#This Row],[Revenue]])&gt;40,"high disc","ok")</f>
        <v>ok</v>
      </c>
      <c r="L134">
        <f>SUMIFS(OrderLines[Food Cost],OrderLines[OrderID],Orders[[#This Row],[OrderID]])</f>
        <v>170.11</v>
      </c>
      <c r="M134" s="8">
        <f>Orders[[#This Row],[Revenue]]-Orders[[#This Row],[total cost]]</f>
        <v>179.72809999999998</v>
      </c>
      <c r="N134" t="str" cm="1">
        <f t="array" ref="N134">_xlfn.TEXTJOIN("+",,_xlfn._xlws.SORT(_xlfn.UNIQUE(_xlfn._xlws.FILTER(OrderLines[Category],OrderLines[OrderID]=Orders[[#This Row],[OrderID]]))))</f>
        <v>Beverage+Dessert</v>
      </c>
    </row>
    <row r="135" spans="1:14" x14ac:dyDescent="0.3">
      <c r="A135" t="s">
        <v>171</v>
      </c>
      <c r="B135" s="1">
        <v>45889.986759259264</v>
      </c>
      <c r="C135" t="s">
        <v>15</v>
      </c>
      <c r="D135" t="s">
        <v>16</v>
      </c>
      <c r="E135" t="s">
        <v>21</v>
      </c>
      <c r="F135" t="s">
        <v>18</v>
      </c>
      <c r="G135">
        <v>0.09</v>
      </c>
      <c r="H135" s="8">
        <f>SUMIFS(OrderLines[LineNetAmount],OrderLines[OrderID],Orders[[#This Row],[OrderID]])</f>
        <v>90.035399999999996</v>
      </c>
      <c r="I135" t="str">
        <f>IF(COUNTIFS(OrderLines[OrderID],Orders[[#This Row],[OrderID]],OrderLines[Category],"Beverage"),"yes","no")</f>
        <v>yes</v>
      </c>
      <c r="J135" t="str">
        <f>IF(AND(COUNTIFS(OrderLines[OrderID],Orders[[#This Row],[OrderID]],OrderLines[Category],"Hot Meal"),Orders[[#This Row],[has beverage]]="yes"),"combo","single")</f>
        <v>single</v>
      </c>
      <c r="K135" s="8" t="str" cm="1">
        <f t="array" ref="K135">IF((SUMPRODUCT(OrderLines[UnitPrice],OrderLines[Qty],--(OrderLines[OrderID]=Orders[[#This Row],[OrderID]]))-Orders[[#This Row],[Revenue]])&gt;40,"high disc","ok")</f>
        <v>ok</v>
      </c>
      <c r="L135">
        <f>SUMIFS(OrderLines[Food Cost],OrderLines[OrderID],Orders[[#This Row],[OrderID]])</f>
        <v>35.519999999999996</v>
      </c>
      <c r="M135" s="8">
        <f>Orders[[#This Row],[Revenue]]-Orders[[#This Row],[total cost]]</f>
        <v>54.5154</v>
      </c>
      <c r="N135" t="str" cm="1">
        <f t="array" ref="N135">_xlfn.TEXTJOIN("+",,_xlfn._xlws.SORT(_xlfn.UNIQUE(_xlfn._xlws.FILTER(OrderLines[Category],OrderLines[OrderID]=Orders[[#This Row],[OrderID]]))))</f>
        <v>Beverage</v>
      </c>
    </row>
    <row r="136" spans="1:14" x14ac:dyDescent="0.3">
      <c r="A136" t="s">
        <v>172</v>
      </c>
      <c r="B136" s="1">
        <v>45896.390115740738</v>
      </c>
      <c r="C136" t="s">
        <v>15</v>
      </c>
      <c r="D136" t="s">
        <v>16</v>
      </c>
      <c r="E136" t="s">
        <v>11</v>
      </c>
      <c r="F136" t="s">
        <v>12</v>
      </c>
      <c r="G136">
        <v>0.06</v>
      </c>
      <c r="H136" s="8">
        <f>SUMIFS(OrderLines[LineNetAmount],OrderLines[OrderID],Orders[[#This Row],[OrderID]])</f>
        <v>188.19739999999999</v>
      </c>
      <c r="I136" t="str">
        <f>IF(COUNTIFS(OrderLines[OrderID],Orders[[#This Row],[OrderID]],OrderLines[Category],"Beverage"),"yes","no")</f>
        <v>yes</v>
      </c>
      <c r="J136" t="str">
        <f>IF(AND(COUNTIFS(OrderLines[OrderID],Orders[[#This Row],[OrderID]],OrderLines[Category],"Hot Meal"),Orders[[#This Row],[has beverage]]="yes"),"combo","single")</f>
        <v>single</v>
      </c>
      <c r="K136" s="8" t="str" cm="1">
        <f t="array" ref="K136">IF((SUMPRODUCT(OrderLines[UnitPrice],OrderLines[Qty],--(OrderLines[OrderID]=Orders[[#This Row],[OrderID]]))-Orders[[#This Row],[Revenue]])&gt;40,"high disc","ok")</f>
        <v>ok</v>
      </c>
      <c r="L136">
        <f>SUMIFS(OrderLines[Food Cost],OrderLines[OrderID],Orders[[#This Row],[OrderID]])</f>
        <v>89.960000000000008</v>
      </c>
      <c r="M136" s="8">
        <f>Orders[[#This Row],[Revenue]]-Orders[[#This Row],[total cost]]</f>
        <v>98.23739999999998</v>
      </c>
      <c r="N136" t="str" cm="1">
        <f t="array" ref="N136">_xlfn.TEXTJOIN("+",,_xlfn._xlws.SORT(_xlfn.UNIQUE(_xlfn._xlws.FILTER(OrderLines[Category],OrderLines[OrderID]=Orders[[#This Row],[OrderID]]))))</f>
        <v>Beverage+Dessert</v>
      </c>
    </row>
    <row r="137" spans="1:14" x14ac:dyDescent="0.3">
      <c r="A137" t="s">
        <v>173</v>
      </c>
      <c r="B137" s="1">
        <v>45898.439282407409</v>
      </c>
      <c r="C137" t="s">
        <v>9</v>
      </c>
      <c r="D137" t="s">
        <v>28</v>
      </c>
      <c r="E137" t="s">
        <v>17</v>
      </c>
      <c r="F137" t="s">
        <v>12</v>
      </c>
      <c r="G137">
        <v>0.12</v>
      </c>
      <c r="H137" s="8">
        <f>SUMIFS(OrderLines[LineNetAmount],OrderLines[OrderID],Orders[[#This Row],[OrderID]])</f>
        <v>492.90560000000005</v>
      </c>
      <c r="I137" t="str">
        <f>IF(COUNTIFS(OrderLines[OrderID],Orders[[#This Row],[OrderID]],OrderLines[Category],"Beverage"),"yes","no")</f>
        <v>no</v>
      </c>
      <c r="J137" t="str">
        <f>IF(AND(COUNTIFS(OrderLines[OrderID],Orders[[#This Row],[OrderID]],OrderLines[Category],"Hot Meal"),Orders[[#This Row],[has beverage]]="yes"),"combo","single")</f>
        <v>single</v>
      </c>
      <c r="K137" s="8" t="str" cm="1">
        <f t="array" ref="K137">IF((SUMPRODUCT(OrderLines[UnitPrice],OrderLines[Qty],--(OrderLines[OrderID]=Orders[[#This Row],[OrderID]]))-Orders[[#This Row],[Revenue]])&gt;40,"high disc","ok")</f>
        <v>high disc</v>
      </c>
      <c r="L137">
        <f>SUMIFS(OrderLines[Food Cost],OrderLines[OrderID],Orders[[#This Row],[OrderID]])</f>
        <v>244.04</v>
      </c>
      <c r="M137" s="8">
        <f>Orders[[#This Row],[Revenue]]-Orders[[#This Row],[total cost]]</f>
        <v>248.86560000000006</v>
      </c>
      <c r="N137" t="str" cm="1">
        <f t="array" ref="N137">_xlfn.TEXTJOIN("+",,_xlfn._xlws.SORT(_xlfn.UNIQUE(_xlfn._xlws.FILTER(OrderLines[Category],OrderLines[OrderID]=Orders[[#This Row],[OrderID]]))))</f>
        <v>Hot Meal+Snack</v>
      </c>
    </row>
    <row r="138" spans="1:14" x14ac:dyDescent="0.3">
      <c r="A138" t="s">
        <v>174</v>
      </c>
      <c r="B138" s="1">
        <v>45864.94458333333</v>
      </c>
      <c r="C138" t="s">
        <v>9</v>
      </c>
      <c r="D138" t="s">
        <v>28</v>
      </c>
      <c r="E138" t="s">
        <v>17</v>
      </c>
      <c r="F138" t="s">
        <v>18</v>
      </c>
      <c r="G138">
        <v>0.05</v>
      </c>
      <c r="H138" s="8">
        <f>SUMIFS(OrderLines[LineNetAmount],OrderLines[OrderID],Orders[[#This Row],[OrderID]])</f>
        <v>299.93399999999997</v>
      </c>
      <c r="I138" t="str">
        <f>IF(COUNTIFS(OrderLines[OrderID],Orders[[#This Row],[OrderID]],OrderLines[Category],"Beverage"),"yes","no")</f>
        <v>yes</v>
      </c>
      <c r="J138" t="str">
        <f>IF(AND(COUNTIFS(OrderLines[OrderID],Orders[[#This Row],[OrderID]],OrderLines[Category],"Hot Meal"),Orders[[#This Row],[has beverage]]="yes"),"combo","single")</f>
        <v>combo</v>
      </c>
      <c r="K138" s="8" t="str" cm="1">
        <f t="array" ref="K138">IF((SUMPRODUCT(OrderLines[UnitPrice],OrderLines[Qty],--(OrderLines[OrderID]=Orders[[#This Row],[OrderID]]))-Orders[[#This Row],[Revenue]])&gt;40,"high disc","ok")</f>
        <v>ok</v>
      </c>
      <c r="L138">
        <f>SUMIFS(OrderLines[Food Cost],OrderLines[OrderID],Orders[[#This Row],[OrderID]])</f>
        <v>160.42000000000002</v>
      </c>
      <c r="M138" s="8">
        <f>Orders[[#This Row],[Revenue]]-Orders[[#This Row],[total cost]]</f>
        <v>139.51399999999995</v>
      </c>
      <c r="N138" t="str" cm="1">
        <f t="array" ref="N138">_xlfn.TEXTJOIN("+",,_xlfn._xlws.SORT(_xlfn.UNIQUE(_xlfn._xlws.FILTER(OrderLines[Category],OrderLines[OrderID]=Orders[[#This Row],[OrderID]]))))</f>
        <v>Beverage+Dessert+Hot Meal</v>
      </c>
    </row>
    <row r="139" spans="1:14" x14ac:dyDescent="0.3">
      <c r="A139" t="s">
        <v>175</v>
      </c>
      <c r="B139" s="1">
        <v>45856.125613425917</v>
      </c>
      <c r="C139" t="s">
        <v>9</v>
      </c>
      <c r="D139" t="s">
        <v>28</v>
      </c>
      <c r="E139" t="s">
        <v>17</v>
      </c>
      <c r="F139" t="s">
        <v>12</v>
      </c>
      <c r="G139">
        <v>0.17</v>
      </c>
      <c r="H139" s="8">
        <f>SUMIFS(OrderLines[LineNetAmount],OrderLines[OrderID],Orders[[#This Row],[OrderID]])</f>
        <v>83.315399999999997</v>
      </c>
      <c r="I139" t="str">
        <f>IF(COUNTIFS(OrderLines[OrderID],Orders[[#This Row],[OrderID]],OrderLines[Category],"Beverage"),"yes","no")</f>
        <v>no</v>
      </c>
      <c r="J139" t="str">
        <f>IF(AND(COUNTIFS(OrderLines[OrderID],Orders[[#This Row],[OrderID]],OrderLines[Category],"Hot Meal"),Orders[[#This Row],[has beverage]]="yes"),"combo","single")</f>
        <v>single</v>
      </c>
      <c r="K139" s="8" t="str" cm="1">
        <f t="array" ref="K139">IF((SUMPRODUCT(OrderLines[UnitPrice],OrderLines[Qty],--(OrderLines[OrderID]=Orders[[#This Row],[OrderID]]))-Orders[[#This Row],[Revenue]])&gt;40,"high disc","ok")</f>
        <v>ok</v>
      </c>
      <c r="L139">
        <f>SUMIFS(OrderLines[Food Cost],OrderLines[OrderID],Orders[[#This Row],[OrderID]])</f>
        <v>45.22</v>
      </c>
      <c r="M139" s="8">
        <f>Orders[[#This Row],[Revenue]]-Orders[[#This Row],[total cost]]</f>
        <v>38.095399999999998</v>
      </c>
      <c r="N139" t="str" cm="1">
        <f t="array" ref="N139">_xlfn.TEXTJOIN("+",,_xlfn._xlws.SORT(_xlfn.UNIQUE(_xlfn._xlws.FILTER(OrderLines[Category],OrderLines[OrderID]=Orders[[#This Row],[OrderID]]))))</f>
        <v>Snack</v>
      </c>
    </row>
    <row r="140" spans="1:14" x14ac:dyDescent="0.3">
      <c r="A140" t="s">
        <v>176</v>
      </c>
      <c r="B140" s="1">
        <v>45878.913113425922</v>
      </c>
      <c r="C140" t="s">
        <v>15</v>
      </c>
      <c r="D140" t="s">
        <v>10</v>
      </c>
      <c r="E140" t="s">
        <v>11</v>
      </c>
      <c r="F140" t="s">
        <v>18</v>
      </c>
      <c r="G140">
        <v>0.09</v>
      </c>
      <c r="H140" s="8">
        <f>SUMIFS(OrderLines[LineNetAmount],OrderLines[OrderID],Orders[[#This Row],[OrderID]])</f>
        <v>661.30610000000001</v>
      </c>
      <c r="I140" t="str">
        <f>IF(COUNTIFS(OrderLines[OrderID],Orders[[#This Row],[OrderID]],OrderLines[Category],"Beverage"),"yes","no")</f>
        <v>no</v>
      </c>
      <c r="J140" t="str">
        <f>IF(AND(COUNTIFS(OrderLines[OrderID],Orders[[#This Row],[OrderID]],OrderLines[Category],"Hot Meal"),Orders[[#This Row],[has beverage]]="yes"),"combo","single")</f>
        <v>single</v>
      </c>
      <c r="K140" s="8" t="str" cm="1">
        <f t="array" ref="K140">IF((SUMPRODUCT(OrderLines[UnitPrice],OrderLines[Qty],--(OrderLines[OrderID]=Orders[[#This Row],[OrderID]]))-Orders[[#This Row],[Revenue]])&gt;40,"high disc","ok")</f>
        <v>high disc</v>
      </c>
      <c r="L140">
        <f>SUMIFS(OrderLines[Food Cost],OrderLines[OrderID],Orders[[#This Row],[OrderID]])</f>
        <v>328.12</v>
      </c>
      <c r="M140" s="8">
        <f>Orders[[#This Row],[Revenue]]-Orders[[#This Row],[total cost]]</f>
        <v>333.18610000000001</v>
      </c>
      <c r="N140" t="str" cm="1">
        <f t="array" ref="N140">_xlfn.TEXTJOIN("+",,_xlfn._xlws.SORT(_xlfn.UNIQUE(_xlfn._xlws.FILTER(OrderLines[Category],OrderLines[OrderID]=Orders[[#This Row],[OrderID]]))))</f>
        <v>Dessert+Hot Meal+Snack</v>
      </c>
    </row>
    <row r="141" spans="1:14" x14ac:dyDescent="0.3">
      <c r="A141" t="s">
        <v>177</v>
      </c>
      <c r="B141" s="1">
        <v>45867.52847222222</v>
      </c>
      <c r="C141" t="s">
        <v>27</v>
      </c>
      <c r="D141" t="s">
        <v>28</v>
      </c>
      <c r="E141" t="s">
        <v>21</v>
      </c>
      <c r="F141" t="s">
        <v>22</v>
      </c>
      <c r="G141">
        <v>0.03</v>
      </c>
      <c r="H141" s="8">
        <f>SUMIFS(OrderLines[LineNetAmount],OrderLines[OrderID],Orders[[#This Row],[OrderID]])</f>
        <v>310.73950000000002</v>
      </c>
      <c r="I141" t="str">
        <f>IF(COUNTIFS(OrderLines[OrderID],Orders[[#This Row],[OrderID]],OrderLines[Category],"Beverage"),"yes","no")</f>
        <v>yes</v>
      </c>
      <c r="J141" t="str">
        <f>IF(AND(COUNTIFS(OrderLines[OrderID],Orders[[#This Row],[OrderID]],OrderLines[Category],"Hot Meal"),Orders[[#This Row],[has beverage]]="yes"),"combo","single")</f>
        <v>single</v>
      </c>
      <c r="K141" s="8" t="str" cm="1">
        <f t="array" ref="K141">IF((SUMPRODUCT(OrderLines[UnitPrice],OrderLines[Qty],--(OrderLines[OrderID]=Orders[[#This Row],[OrderID]]))-Orders[[#This Row],[Revenue]])&gt;40,"high disc","ok")</f>
        <v>ok</v>
      </c>
      <c r="L141">
        <f>SUMIFS(OrderLines[Food Cost],OrderLines[OrderID],Orders[[#This Row],[OrderID]])</f>
        <v>147.13</v>
      </c>
      <c r="M141" s="8">
        <f>Orders[[#This Row],[Revenue]]-Orders[[#This Row],[total cost]]</f>
        <v>163.60950000000003</v>
      </c>
      <c r="N141" t="str" cm="1">
        <f t="array" ref="N141">_xlfn.TEXTJOIN("+",,_xlfn._xlws.SORT(_xlfn.UNIQUE(_xlfn._xlws.FILTER(OrderLines[Category],OrderLines[OrderID]=Orders[[#This Row],[OrderID]]))))</f>
        <v>Beverage+Snack</v>
      </c>
    </row>
    <row r="142" spans="1:14" x14ac:dyDescent="0.3">
      <c r="A142" t="s">
        <v>178</v>
      </c>
      <c r="B142" s="1">
        <v>45883.332060185188</v>
      </c>
      <c r="C142" t="s">
        <v>27</v>
      </c>
      <c r="D142" t="s">
        <v>10</v>
      </c>
      <c r="E142" t="s">
        <v>17</v>
      </c>
      <c r="F142" t="s">
        <v>12</v>
      </c>
      <c r="G142">
        <v>0.02</v>
      </c>
      <c r="H142" s="8">
        <f>SUMIFS(OrderLines[LineNetAmount],OrderLines[OrderID],Orders[[#This Row],[OrderID]])</f>
        <v>79.2624</v>
      </c>
      <c r="I142" t="str">
        <f>IF(COUNTIFS(OrderLines[OrderID],Orders[[#This Row],[OrderID]],OrderLines[Category],"Beverage"),"yes","no")</f>
        <v>yes</v>
      </c>
      <c r="J142" t="str">
        <f>IF(AND(COUNTIFS(OrderLines[OrderID],Orders[[#This Row],[OrderID]],OrderLines[Category],"Hot Meal"),Orders[[#This Row],[has beverage]]="yes"),"combo","single")</f>
        <v>single</v>
      </c>
      <c r="K142" s="8" t="str" cm="1">
        <f t="array" ref="K142">IF((SUMPRODUCT(OrderLines[UnitPrice],OrderLines[Qty],--(OrderLines[OrderID]=Orders[[#This Row],[OrderID]]))-Orders[[#This Row],[Revenue]])&gt;40,"high disc","ok")</f>
        <v>ok</v>
      </c>
      <c r="L142">
        <f>SUMIFS(OrderLines[Food Cost],OrderLines[OrderID],Orders[[#This Row],[OrderID]])</f>
        <v>39.69</v>
      </c>
      <c r="M142" s="8">
        <f>Orders[[#This Row],[Revenue]]-Orders[[#This Row],[total cost]]</f>
        <v>39.572400000000002</v>
      </c>
      <c r="N142" t="str" cm="1">
        <f t="array" ref="N142">_xlfn.TEXTJOIN("+",,_xlfn._xlws.SORT(_xlfn.UNIQUE(_xlfn._xlws.FILTER(OrderLines[Category],OrderLines[OrderID]=Orders[[#This Row],[OrderID]]))))</f>
        <v>Beverage+Snack</v>
      </c>
    </row>
    <row r="143" spans="1:14" x14ac:dyDescent="0.3">
      <c r="A143" t="s">
        <v>179</v>
      </c>
      <c r="B143" s="1">
        <v>45896.512881944444</v>
      </c>
      <c r="C143" t="s">
        <v>9</v>
      </c>
      <c r="D143" t="s">
        <v>28</v>
      </c>
      <c r="E143" t="s">
        <v>21</v>
      </c>
      <c r="F143" t="s">
        <v>22</v>
      </c>
      <c r="G143">
        <v>0.08</v>
      </c>
      <c r="H143" s="8">
        <f>SUMIFS(OrderLines[LineNetAmount],OrderLines[OrderID],Orders[[#This Row],[OrderID]])</f>
        <v>164.67999999999998</v>
      </c>
      <c r="I143" t="str">
        <f>IF(COUNTIFS(OrderLines[OrderID],Orders[[#This Row],[OrderID]],OrderLines[Category],"Beverage"),"yes","no")</f>
        <v>yes</v>
      </c>
      <c r="J143" t="str">
        <f>IF(AND(COUNTIFS(OrderLines[OrderID],Orders[[#This Row],[OrderID]],OrderLines[Category],"Hot Meal"),Orders[[#This Row],[has beverage]]="yes"),"combo","single")</f>
        <v>single</v>
      </c>
      <c r="K143" s="8" t="str" cm="1">
        <f t="array" ref="K143">IF((SUMPRODUCT(OrderLines[UnitPrice],OrderLines[Qty],--(OrderLines[OrderID]=Orders[[#This Row],[OrderID]]))-Orders[[#This Row],[Revenue]])&gt;40,"high disc","ok")</f>
        <v>ok</v>
      </c>
      <c r="L143">
        <f>SUMIFS(OrderLines[Food Cost],OrderLines[OrderID],Orders[[#This Row],[OrderID]])</f>
        <v>81.72</v>
      </c>
      <c r="M143" s="8">
        <f>Orders[[#This Row],[Revenue]]-Orders[[#This Row],[total cost]]</f>
        <v>82.95999999999998</v>
      </c>
      <c r="N143" t="str" cm="1">
        <f t="array" ref="N143">_xlfn.TEXTJOIN("+",,_xlfn._xlws.SORT(_xlfn.UNIQUE(_xlfn._xlws.FILTER(OrderLines[Category],OrderLines[OrderID]=Orders[[#This Row],[OrderID]]))))</f>
        <v>Beverage+Snack</v>
      </c>
    </row>
    <row r="144" spans="1:14" x14ac:dyDescent="0.3">
      <c r="A144" t="s">
        <v>180</v>
      </c>
      <c r="B144" s="1">
        <v>45892.121759259258</v>
      </c>
      <c r="C144" t="s">
        <v>27</v>
      </c>
      <c r="D144" t="s">
        <v>10</v>
      </c>
      <c r="E144" t="s">
        <v>17</v>
      </c>
      <c r="F144" t="s">
        <v>12</v>
      </c>
      <c r="G144">
        <v>0.05</v>
      </c>
      <c r="H144" s="8">
        <f>SUMIFS(OrderLines[LineNetAmount],OrderLines[OrderID],Orders[[#This Row],[OrderID]])</f>
        <v>38.208999999999996</v>
      </c>
      <c r="I144" t="str">
        <f>IF(COUNTIFS(OrderLines[OrderID],Orders[[#This Row],[OrderID]],OrderLines[Category],"Beverage"),"yes","no")</f>
        <v>yes</v>
      </c>
      <c r="J144" t="str">
        <f>IF(AND(COUNTIFS(OrderLines[OrderID],Orders[[#This Row],[OrderID]],OrderLines[Category],"Hot Meal"),Orders[[#This Row],[has beverage]]="yes"),"combo","single")</f>
        <v>single</v>
      </c>
      <c r="K144" s="8" t="str" cm="1">
        <f t="array" ref="K144">IF((SUMPRODUCT(OrderLines[UnitPrice],OrderLines[Qty],--(OrderLines[OrderID]=Orders[[#This Row],[OrderID]]))-Orders[[#This Row],[Revenue]])&gt;40,"high disc","ok")</f>
        <v>ok</v>
      </c>
      <c r="L144">
        <f>SUMIFS(OrderLines[Food Cost],OrderLines[OrderID],Orders[[#This Row],[OrderID]])</f>
        <v>16</v>
      </c>
      <c r="M144" s="8">
        <f>Orders[[#This Row],[Revenue]]-Orders[[#This Row],[total cost]]</f>
        <v>22.208999999999996</v>
      </c>
      <c r="N144" t="str" cm="1">
        <f t="array" ref="N144">_xlfn.TEXTJOIN("+",,_xlfn._xlws.SORT(_xlfn.UNIQUE(_xlfn._xlws.FILTER(OrderLines[Category],OrderLines[OrderID]=Orders[[#This Row],[OrderID]]))))</f>
        <v>Beverage</v>
      </c>
    </row>
    <row r="145" spans="1:14" x14ac:dyDescent="0.3">
      <c r="A145" t="s">
        <v>181</v>
      </c>
      <c r="B145" s="1">
        <v>45853.05976851852</v>
      </c>
      <c r="C145" t="s">
        <v>27</v>
      </c>
      <c r="D145" t="s">
        <v>28</v>
      </c>
      <c r="E145" t="s">
        <v>17</v>
      </c>
      <c r="F145" t="s">
        <v>12</v>
      </c>
      <c r="G145">
        <v>0.09</v>
      </c>
      <c r="H145" s="8">
        <f>SUMIFS(OrderLines[LineNetAmount],OrderLines[OrderID],Orders[[#This Row],[OrderID]])</f>
        <v>47.729500000000002</v>
      </c>
      <c r="I145" t="str">
        <f>IF(COUNTIFS(OrderLines[OrderID],Orders[[#This Row],[OrderID]],OrderLines[Category],"Beverage"),"yes","no")</f>
        <v>no</v>
      </c>
      <c r="J145" t="str">
        <f>IF(AND(COUNTIFS(OrderLines[OrderID],Orders[[#This Row],[OrderID]],OrderLines[Category],"Hot Meal"),Orders[[#This Row],[has beverage]]="yes"),"combo","single")</f>
        <v>single</v>
      </c>
      <c r="K145" s="8" t="str" cm="1">
        <f t="array" ref="K145">IF((SUMPRODUCT(OrderLines[UnitPrice],OrderLines[Qty],--(OrderLines[OrderID]=Orders[[#This Row],[OrderID]]))-Orders[[#This Row],[Revenue]])&gt;40,"high disc","ok")</f>
        <v>ok</v>
      </c>
      <c r="L145">
        <f>SUMIFS(OrderLines[Food Cost],OrderLines[OrderID],Orders[[#This Row],[OrderID]])</f>
        <v>25.8</v>
      </c>
      <c r="M145" s="8">
        <f>Orders[[#This Row],[Revenue]]-Orders[[#This Row],[total cost]]</f>
        <v>21.929500000000001</v>
      </c>
      <c r="N145" t="str" cm="1">
        <f t="array" ref="N145">_xlfn.TEXTJOIN("+",,_xlfn._xlws.SORT(_xlfn.UNIQUE(_xlfn._xlws.FILTER(OrderLines[Category],OrderLines[OrderID]=Orders[[#This Row],[OrderID]]))))</f>
        <v>Snack</v>
      </c>
    </row>
    <row r="146" spans="1:14" x14ac:dyDescent="0.3">
      <c r="A146" t="s">
        <v>182</v>
      </c>
      <c r="B146" s="1">
        <v>45897.023043981477</v>
      </c>
      <c r="C146" t="s">
        <v>9</v>
      </c>
      <c r="D146" t="s">
        <v>10</v>
      </c>
      <c r="E146" t="s">
        <v>21</v>
      </c>
      <c r="F146" t="s">
        <v>12</v>
      </c>
      <c r="G146">
        <v>0.08</v>
      </c>
      <c r="H146" s="8">
        <f>SUMIFS(OrderLines[LineNetAmount],OrderLines[OrderID],Orders[[#This Row],[OrderID]])</f>
        <v>328.09960000000001</v>
      </c>
      <c r="I146" t="str">
        <f>IF(COUNTIFS(OrderLines[OrderID],Orders[[#This Row],[OrderID]],OrderLines[Category],"Beverage"),"yes","no")</f>
        <v>yes</v>
      </c>
      <c r="J146" t="str">
        <f>IF(AND(COUNTIFS(OrderLines[OrderID],Orders[[#This Row],[OrderID]],OrderLines[Category],"Hot Meal"),Orders[[#This Row],[has beverage]]="yes"),"combo","single")</f>
        <v>single</v>
      </c>
      <c r="K146" s="8" t="str" cm="1">
        <f t="array" ref="K146">IF((SUMPRODUCT(OrderLines[UnitPrice],OrderLines[Qty],--(OrderLines[OrderID]=Orders[[#This Row],[OrderID]]))-Orders[[#This Row],[Revenue]])&gt;40,"high disc","ok")</f>
        <v>ok</v>
      </c>
      <c r="L146">
        <f>SUMIFS(OrderLines[Food Cost],OrderLines[OrderID],Orders[[#This Row],[OrderID]])</f>
        <v>150.76</v>
      </c>
      <c r="M146" s="8">
        <f>Orders[[#This Row],[Revenue]]-Orders[[#This Row],[total cost]]</f>
        <v>177.33960000000002</v>
      </c>
      <c r="N146" t="str" cm="1">
        <f t="array" ref="N146">_xlfn.TEXTJOIN("+",,_xlfn._xlws.SORT(_xlfn.UNIQUE(_xlfn._xlws.FILTER(OrderLines[Category],OrderLines[OrderID]=Orders[[#This Row],[OrderID]]))))</f>
        <v>Beverage+Dessert</v>
      </c>
    </row>
    <row r="147" spans="1:14" x14ac:dyDescent="0.3">
      <c r="A147" t="s">
        <v>183</v>
      </c>
      <c r="B147" s="1">
        <v>45851.323541666658</v>
      </c>
      <c r="C147" t="s">
        <v>15</v>
      </c>
      <c r="D147" t="s">
        <v>10</v>
      </c>
      <c r="E147" t="s">
        <v>21</v>
      </c>
      <c r="F147" t="s">
        <v>12</v>
      </c>
      <c r="G147">
        <v>0.06</v>
      </c>
      <c r="H147" s="8">
        <f>SUMIFS(OrderLines[LineNetAmount],OrderLines[OrderID],Orders[[#This Row],[OrderID]])</f>
        <v>1569.9879999999998</v>
      </c>
      <c r="I147" t="str">
        <f>IF(COUNTIFS(OrderLines[OrderID],Orders[[#This Row],[OrderID]],OrderLines[Category],"Beverage"),"yes","no")</f>
        <v>yes</v>
      </c>
      <c r="J147" t="str">
        <f>IF(AND(COUNTIFS(OrderLines[OrderID],Orders[[#This Row],[OrderID]],OrderLines[Category],"Hot Meal"),Orders[[#This Row],[has beverage]]="yes"),"combo","single")</f>
        <v>combo</v>
      </c>
      <c r="K147" s="8" t="str" cm="1">
        <f t="array" ref="K147">IF((SUMPRODUCT(OrderLines[UnitPrice],OrderLines[Qty],--(OrderLines[OrderID]=Orders[[#This Row],[OrderID]]))-Orders[[#This Row],[Revenue]])&gt;40,"high disc","ok")</f>
        <v>high disc</v>
      </c>
      <c r="L147">
        <f>SUMIFS(OrderLines[Food Cost],OrderLines[OrderID],Orders[[#This Row],[OrderID]])</f>
        <v>767.68999999999994</v>
      </c>
      <c r="M147" s="8">
        <f>Orders[[#This Row],[Revenue]]-Orders[[#This Row],[total cost]]</f>
        <v>802.29799999999989</v>
      </c>
      <c r="N147" t="str" cm="1">
        <f t="array" ref="N147">_xlfn.TEXTJOIN("+",,_xlfn._xlws.SORT(_xlfn.UNIQUE(_xlfn._xlws.FILTER(OrderLines[Category],OrderLines[OrderID]=Orders[[#This Row],[OrderID]]))))</f>
        <v>Beverage+Dessert+Hot Meal</v>
      </c>
    </row>
    <row r="148" spans="1:14" x14ac:dyDescent="0.3">
      <c r="A148" t="s">
        <v>184</v>
      </c>
      <c r="B148" s="1">
        <v>45865.682476851849</v>
      </c>
      <c r="C148" t="s">
        <v>9</v>
      </c>
      <c r="D148" t="s">
        <v>10</v>
      </c>
      <c r="E148" t="s">
        <v>21</v>
      </c>
      <c r="F148" t="s">
        <v>18</v>
      </c>
      <c r="G148">
        <v>0.03</v>
      </c>
      <c r="H148" s="8">
        <f>SUMIFS(OrderLines[LineNetAmount],OrderLines[OrderID],Orders[[#This Row],[OrderID]])</f>
        <v>357.67779999999999</v>
      </c>
      <c r="I148" t="str">
        <f>IF(COUNTIFS(OrderLines[OrderID],Orders[[#This Row],[OrderID]],OrderLines[Category],"Beverage"),"yes","no")</f>
        <v>yes</v>
      </c>
      <c r="J148" t="str">
        <f>IF(AND(COUNTIFS(OrderLines[OrderID],Orders[[#This Row],[OrderID]],OrderLines[Category],"Hot Meal"),Orders[[#This Row],[has beverage]]="yes"),"combo","single")</f>
        <v>combo</v>
      </c>
      <c r="K148" s="8" t="str" cm="1">
        <f t="array" ref="K148">IF((SUMPRODUCT(OrderLines[UnitPrice],OrderLines[Qty],--(OrderLines[OrderID]=Orders[[#This Row],[OrderID]]))-Orders[[#This Row],[Revenue]])&gt;40,"high disc","ok")</f>
        <v>ok</v>
      </c>
      <c r="L148">
        <f>SUMIFS(OrderLines[Food Cost],OrderLines[OrderID],Orders[[#This Row],[OrderID]])</f>
        <v>159.28999999999996</v>
      </c>
      <c r="M148" s="8">
        <f>Orders[[#This Row],[Revenue]]-Orders[[#This Row],[total cost]]</f>
        <v>198.38780000000003</v>
      </c>
      <c r="N148" t="str" cm="1">
        <f t="array" ref="N148">_xlfn.TEXTJOIN("+",,_xlfn._xlws.SORT(_xlfn.UNIQUE(_xlfn._xlws.FILTER(OrderLines[Category],OrderLines[OrderID]=Orders[[#This Row],[OrderID]]))))</f>
        <v>Beverage+Hot Meal+Snack</v>
      </c>
    </row>
    <row r="149" spans="1:14" x14ac:dyDescent="0.3">
      <c r="A149" t="s">
        <v>185</v>
      </c>
      <c r="B149" s="1">
        <v>45847.060127314813</v>
      </c>
      <c r="C149" t="s">
        <v>9</v>
      </c>
      <c r="D149" t="s">
        <v>28</v>
      </c>
      <c r="E149" t="s">
        <v>21</v>
      </c>
      <c r="F149" t="s">
        <v>12</v>
      </c>
      <c r="G149">
        <v>0</v>
      </c>
      <c r="H149" s="8">
        <f>SUMIFS(OrderLines[LineNetAmount],OrderLines[OrderID],Orders[[#This Row],[OrderID]])</f>
        <v>70.290000000000006</v>
      </c>
      <c r="I149" t="str">
        <f>IF(COUNTIFS(OrderLines[OrderID],Orders[[#This Row],[OrderID]],OrderLines[Category],"Beverage"),"yes","no")</f>
        <v>yes</v>
      </c>
      <c r="J149" t="str">
        <f>IF(AND(COUNTIFS(OrderLines[OrderID],Orders[[#This Row],[OrderID]],OrderLines[Category],"Hot Meal"),Orders[[#This Row],[has beverage]]="yes"),"combo","single")</f>
        <v>single</v>
      </c>
      <c r="K149" s="8" t="str" cm="1">
        <f t="array" ref="K149">IF((SUMPRODUCT(OrderLines[UnitPrice],OrderLines[Qty],--(OrderLines[OrderID]=Orders[[#This Row],[OrderID]]))-Orders[[#This Row],[Revenue]])&gt;40,"high disc","ok")</f>
        <v>ok</v>
      </c>
      <c r="L149">
        <f>SUMIFS(OrderLines[Food Cost],OrderLines[OrderID],Orders[[#This Row],[OrderID]])</f>
        <v>29.689999999999998</v>
      </c>
      <c r="M149" s="8">
        <f>Orders[[#This Row],[Revenue]]-Orders[[#This Row],[total cost]]</f>
        <v>40.600000000000009</v>
      </c>
      <c r="N149" t="str" cm="1">
        <f t="array" ref="N149">_xlfn.TEXTJOIN("+",,_xlfn._xlws.SORT(_xlfn.UNIQUE(_xlfn._xlws.FILTER(OrderLines[Category],OrderLines[OrderID]=Orders[[#This Row],[OrderID]]))))</f>
        <v>Beverage+Snack</v>
      </c>
    </row>
    <row r="150" spans="1:14" x14ac:dyDescent="0.3">
      <c r="A150" t="s">
        <v>186</v>
      </c>
      <c r="B150" s="1">
        <v>45897.86478009259</v>
      </c>
      <c r="C150" t="s">
        <v>15</v>
      </c>
      <c r="D150" t="s">
        <v>28</v>
      </c>
      <c r="E150" t="s">
        <v>17</v>
      </c>
      <c r="F150" t="s">
        <v>18</v>
      </c>
      <c r="G150">
        <v>0.04</v>
      </c>
      <c r="H150" s="8">
        <f>SUMIFS(OrderLines[LineNetAmount],OrderLines[OrderID],Orders[[#This Row],[OrderID]])</f>
        <v>286.22400000000005</v>
      </c>
      <c r="I150" t="str">
        <f>IF(COUNTIFS(OrderLines[OrderID],Orders[[#This Row],[OrderID]],OrderLines[Category],"Beverage"),"yes","no")</f>
        <v>no</v>
      </c>
      <c r="J150" t="str">
        <f>IF(AND(COUNTIFS(OrderLines[OrderID],Orders[[#This Row],[OrderID]],OrderLines[Category],"Hot Meal"),Orders[[#This Row],[has beverage]]="yes"),"combo","single")</f>
        <v>single</v>
      </c>
      <c r="K150" s="8" t="str" cm="1">
        <f t="array" ref="K150">IF((SUMPRODUCT(OrderLines[UnitPrice],OrderLines[Qty],--(OrderLines[OrderID]=Orders[[#This Row],[OrderID]]))-Orders[[#This Row],[Revenue]])&gt;40,"high disc","ok")</f>
        <v>ok</v>
      </c>
      <c r="L150">
        <f>SUMIFS(OrderLines[Food Cost],OrderLines[OrderID],Orders[[#This Row],[OrderID]])</f>
        <v>132.03</v>
      </c>
      <c r="M150" s="8">
        <f>Orders[[#This Row],[Revenue]]-Orders[[#This Row],[total cost]]</f>
        <v>154.19400000000005</v>
      </c>
      <c r="N150" t="str" cm="1">
        <f t="array" ref="N150">_xlfn.TEXTJOIN("+",,_xlfn._xlws.SORT(_xlfn.UNIQUE(_xlfn._xlws.FILTER(OrderLines[Category],OrderLines[OrderID]=Orders[[#This Row],[OrderID]]))))</f>
        <v>Hot Meal+Snack</v>
      </c>
    </row>
    <row r="151" spans="1:14" x14ac:dyDescent="0.3">
      <c r="A151" t="s">
        <v>187</v>
      </c>
      <c r="B151" s="1">
        <v>45895.096284722233</v>
      </c>
      <c r="C151" t="s">
        <v>9</v>
      </c>
      <c r="D151" t="s">
        <v>28</v>
      </c>
      <c r="E151" t="s">
        <v>11</v>
      </c>
      <c r="F151" t="s">
        <v>12</v>
      </c>
      <c r="G151">
        <v>0.09</v>
      </c>
      <c r="H151" s="8">
        <f>SUMIFS(OrderLines[LineNetAmount],OrderLines[OrderID],Orders[[#This Row],[OrderID]])</f>
        <v>741.97760000000017</v>
      </c>
      <c r="I151" t="str">
        <f>IF(COUNTIFS(OrderLines[OrderID],Orders[[#This Row],[OrderID]],OrderLines[Category],"Beverage"),"yes","no")</f>
        <v>no</v>
      </c>
      <c r="J151" t="str">
        <f>IF(AND(COUNTIFS(OrderLines[OrderID],Orders[[#This Row],[OrderID]],OrderLines[Category],"Hot Meal"),Orders[[#This Row],[has beverage]]="yes"),"combo","single")</f>
        <v>single</v>
      </c>
      <c r="K151" s="8" t="str" cm="1">
        <f t="array" ref="K151">IF((SUMPRODUCT(OrderLines[UnitPrice],OrderLines[Qty],--(OrderLines[OrderID]=Orders[[#This Row],[OrderID]]))-Orders[[#This Row],[Revenue]])&gt;40,"high disc","ok")</f>
        <v>high disc</v>
      </c>
      <c r="L151">
        <f>SUMIFS(OrderLines[Food Cost],OrderLines[OrderID],Orders[[#This Row],[OrderID]])</f>
        <v>356.43999999999994</v>
      </c>
      <c r="M151" s="8">
        <f>Orders[[#This Row],[Revenue]]-Orders[[#This Row],[total cost]]</f>
        <v>385.53760000000023</v>
      </c>
      <c r="N151" t="str" cm="1">
        <f t="array" ref="N151">_xlfn.TEXTJOIN("+",,_xlfn._xlws.SORT(_xlfn.UNIQUE(_xlfn._xlws.FILTER(OrderLines[Category],OrderLines[OrderID]=Orders[[#This Row],[OrderID]]))))</f>
        <v>Hot Meal</v>
      </c>
    </row>
    <row r="152" spans="1:14" x14ac:dyDescent="0.3">
      <c r="A152" t="s">
        <v>188</v>
      </c>
      <c r="B152" s="1">
        <v>45895.19803240741</v>
      </c>
      <c r="C152" t="s">
        <v>27</v>
      </c>
      <c r="D152" t="s">
        <v>28</v>
      </c>
      <c r="E152" t="s">
        <v>21</v>
      </c>
      <c r="F152" t="s">
        <v>12</v>
      </c>
      <c r="G152">
        <v>7.0000000000000007E-2</v>
      </c>
      <c r="H152" s="8">
        <f>SUMIFS(OrderLines[LineNetAmount],OrderLines[OrderID],Orders[[#This Row],[OrderID]])</f>
        <v>1518.4016999999999</v>
      </c>
      <c r="I152" t="str">
        <f>IF(COUNTIFS(OrderLines[OrderID],Orders[[#This Row],[OrderID]],OrderLines[Category],"Beverage"),"yes","no")</f>
        <v>no</v>
      </c>
      <c r="J152" t="str">
        <f>IF(AND(COUNTIFS(OrderLines[OrderID],Orders[[#This Row],[OrderID]],OrderLines[Category],"Hot Meal"),Orders[[#This Row],[has beverage]]="yes"),"combo","single")</f>
        <v>single</v>
      </c>
      <c r="K152" s="8" t="str" cm="1">
        <f t="array" ref="K152">IF((SUMPRODUCT(OrderLines[UnitPrice],OrderLines[Qty],--(OrderLines[OrderID]=Orders[[#This Row],[OrderID]]))-Orders[[#This Row],[Revenue]])&gt;40,"high disc","ok")</f>
        <v>high disc</v>
      </c>
      <c r="L152">
        <f>SUMIFS(OrderLines[Food Cost],OrderLines[OrderID],Orders[[#This Row],[OrderID]])</f>
        <v>771.44</v>
      </c>
      <c r="M152" s="8">
        <f>Orders[[#This Row],[Revenue]]-Orders[[#This Row],[total cost]]</f>
        <v>746.96169999999984</v>
      </c>
      <c r="N152" t="str" cm="1">
        <f t="array" ref="N152">_xlfn.TEXTJOIN("+",,_xlfn._xlws.SORT(_xlfn.UNIQUE(_xlfn._xlws.FILTER(OrderLines[Category],OrderLines[OrderID]=Orders[[#This Row],[OrderID]]))))</f>
        <v>Hot Meal</v>
      </c>
    </row>
    <row r="153" spans="1:14" x14ac:dyDescent="0.3">
      <c r="A153" t="s">
        <v>189</v>
      </c>
      <c r="B153" s="1">
        <v>45882.186215277783</v>
      </c>
      <c r="C153" t="s">
        <v>15</v>
      </c>
      <c r="D153" t="s">
        <v>28</v>
      </c>
      <c r="E153" t="s">
        <v>11</v>
      </c>
      <c r="F153" t="s">
        <v>12</v>
      </c>
      <c r="G153">
        <v>0.01</v>
      </c>
      <c r="H153" s="8">
        <f>SUMIFS(OrderLines[LineNetAmount],OrderLines[OrderID],Orders[[#This Row],[OrderID]])</f>
        <v>235.04579999999999</v>
      </c>
      <c r="I153" t="str">
        <f>IF(COUNTIFS(OrderLines[OrderID],Orders[[#This Row],[OrderID]],OrderLines[Category],"Beverage"),"yes","no")</f>
        <v>yes</v>
      </c>
      <c r="J153" t="str">
        <f>IF(AND(COUNTIFS(OrderLines[OrderID],Orders[[#This Row],[OrderID]],OrderLines[Category],"Hot Meal"),Orders[[#This Row],[has beverage]]="yes"),"combo","single")</f>
        <v>combo</v>
      </c>
      <c r="K153" s="8" t="str" cm="1">
        <f t="array" ref="K153">IF((SUMPRODUCT(OrderLines[UnitPrice],OrderLines[Qty],--(OrderLines[OrderID]=Orders[[#This Row],[OrderID]]))-Orders[[#This Row],[Revenue]])&gt;40,"high disc","ok")</f>
        <v>ok</v>
      </c>
      <c r="L153">
        <f>SUMIFS(OrderLines[Food Cost],OrderLines[OrderID],Orders[[#This Row],[OrderID]])</f>
        <v>123.46000000000001</v>
      </c>
      <c r="M153" s="8">
        <f>Orders[[#This Row],[Revenue]]-Orders[[#This Row],[total cost]]</f>
        <v>111.58579999999998</v>
      </c>
      <c r="N153" t="str" cm="1">
        <f t="array" ref="N153">_xlfn.TEXTJOIN("+",,_xlfn._xlws.SORT(_xlfn.UNIQUE(_xlfn._xlws.FILTER(OrderLines[Category],OrderLines[OrderID]=Orders[[#This Row],[OrderID]]))))</f>
        <v>Beverage+Hot Meal</v>
      </c>
    </row>
    <row r="154" spans="1:14" x14ac:dyDescent="0.3">
      <c r="A154" t="s">
        <v>190</v>
      </c>
      <c r="B154" s="1">
        <v>45886.991828703707</v>
      </c>
      <c r="C154" t="s">
        <v>27</v>
      </c>
      <c r="D154" t="s">
        <v>16</v>
      </c>
      <c r="E154" t="s">
        <v>21</v>
      </c>
      <c r="F154" t="s">
        <v>18</v>
      </c>
      <c r="G154">
        <v>7.0000000000000007E-2</v>
      </c>
      <c r="H154" s="8">
        <f>SUMIFS(OrderLines[LineNetAmount],OrderLines[OrderID],Orders[[#This Row],[OrderID]])</f>
        <v>71.582099999999997</v>
      </c>
      <c r="I154" t="str">
        <f>IF(COUNTIFS(OrderLines[OrderID],Orders[[#This Row],[OrderID]],OrderLines[Category],"Beverage"),"yes","no")</f>
        <v>yes</v>
      </c>
      <c r="J154" t="str">
        <f>IF(AND(COUNTIFS(OrderLines[OrderID],Orders[[#This Row],[OrderID]],OrderLines[Category],"Hot Meal"),Orders[[#This Row],[has beverage]]="yes"),"combo","single")</f>
        <v>single</v>
      </c>
      <c r="K154" s="8" t="str" cm="1">
        <f t="array" ref="K154">IF((SUMPRODUCT(OrderLines[UnitPrice],OrderLines[Qty],--(OrderLines[OrderID]=Orders[[#This Row],[OrderID]]))-Orders[[#This Row],[Revenue]])&gt;40,"high disc","ok")</f>
        <v>ok</v>
      </c>
      <c r="L154">
        <f>SUMIFS(OrderLines[Food Cost],OrderLines[OrderID],Orders[[#This Row],[OrderID]])</f>
        <v>35.78</v>
      </c>
      <c r="M154" s="8">
        <f>Orders[[#This Row],[Revenue]]-Orders[[#This Row],[total cost]]</f>
        <v>35.802099999999996</v>
      </c>
      <c r="N154" t="str" cm="1">
        <f t="array" ref="N154">_xlfn.TEXTJOIN("+",,_xlfn._xlws.SORT(_xlfn.UNIQUE(_xlfn._xlws.FILTER(OrderLines[Category],OrderLines[OrderID]=Orders[[#This Row],[OrderID]]))))</f>
        <v>Beverage</v>
      </c>
    </row>
    <row r="155" spans="1:14" x14ac:dyDescent="0.3">
      <c r="A155" t="s">
        <v>191</v>
      </c>
      <c r="B155" s="1">
        <v>45871.611030092587</v>
      </c>
      <c r="C155" t="s">
        <v>15</v>
      </c>
      <c r="D155" t="s">
        <v>10</v>
      </c>
      <c r="E155" t="s">
        <v>17</v>
      </c>
      <c r="F155" t="s">
        <v>22</v>
      </c>
      <c r="G155">
        <v>0.08</v>
      </c>
      <c r="H155" s="8">
        <f>SUMIFS(OrderLines[LineNetAmount],OrderLines[OrderID],Orders[[#This Row],[OrderID]])</f>
        <v>343.7396</v>
      </c>
      <c r="I155" t="str">
        <f>IF(COUNTIFS(OrderLines[OrderID],Orders[[#This Row],[OrderID]],OrderLines[Category],"Beverage"),"yes","no")</f>
        <v>yes</v>
      </c>
      <c r="J155" t="str">
        <f>IF(AND(COUNTIFS(OrderLines[OrderID],Orders[[#This Row],[OrderID]],OrderLines[Category],"Hot Meal"),Orders[[#This Row],[has beverage]]="yes"),"combo","single")</f>
        <v>single</v>
      </c>
      <c r="K155" s="8" t="str" cm="1">
        <f t="array" ref="K155">IF((SUMPRODUCT(OrderLines[UnitPrice],OrderLines[Qty],--(OrderLines[OrderID]=Orders[[#This Row],[OrderID]]))-Orders[[#This Row],[Revenue]])&gt;40,"high disc","ok")</f>
        <v>ok</v>
      </c>
      <c r="L155">
        <f>SUMIFS(OrderLines[Food Cost],OrderLines[OrderID],Orders[[#This Row],[OrderID]])</f>
        <v>160.16999999999999</v>
      </c>
      <c r="M155" s="8">
        <f>Orders[[#This Row],[Revenue]]-Orders[[#This Row],[total cost]]</f>
        <v>183.56960000000001</v>
      </c>
      <c r="N155" t="str" cm="1">
        <f t="array" ref="N155">_xlfn.TEXTJOIN("+",,_xlfn._xlws.SORT(_xlfn.UNIQUE(_xlfn._xlws.FILTER(OrderLines[Category],OrderLines[OrderID]=Orders[[#This Row],[OrderID]]))))</f>
        <v>Beverage+Dessert+Snack</v>
      </c>
    </row>
    <row r="156" spans="1:14" x14ac:dyDescent="0.3">
      <c r="A156" t="s">
        <v>192</v>
      </c>
      <c r="B156" s="1">
        <v>45871.270752314813</v>
      </c>
      <c r="C156" t="s">
        <v>15</v>
      </c>
      <c r="D156" t="s">
        <v>10</v>
      </c>
      <c r="E156" t="s">
        <v>21</v>
      </c>
      <c r="F156" t="s">
        <v>12</v>
      </c>
      <c r="G156">
        <v>0.02</v>
      </c>
      <c r="H156" s="8">
        <f>SUMIFS(OrderLines[LineNetAmount],OrderLines[OrderID],Orders[[#This Row],[OrderID]])</f>
        <v>791.97720000000004</v>
      </c>
      <c r="I156" t="str">
        <f>IF(COUNTIFS(OrderLines[OrderID],Orders[[#This Row],[OrderID]],OrderLines[Category],"Beverage"),"yes","no")</f>
        <v>no</v>
      </c>
      <c r="J156" t="str">
        <f>IF(AND(COUNTIFS(OrderLines[OrderID],Orders[[#This Row],[OrderID]],OrderLines[Category],"Hot Meal"),Orders[[#This Row],[has beverage]]="yes"),"combo","single")</f>
        <v>single</v>
      </c>
      <c r="K156" s="8" t="str" cm="1">
        <f t="array" ref="K156">IF((SUMPRODUCT(OrderLines[UnitPrice],OrderLines[Qty],--(OrderLines[OrderID]=Orders[[#This Row],[OrderID]]))-Orders[[#This Row],[Revenue]])&gt;40,"high disc","ok")</f>
        <v>ok</v>
      </c>
      <c r="L156">
        <f>SUMIFS(OrderLines[Food Cost],OrderLines[OrderID],Orders[[#This Row],[OrderID]])</f>
        <v>380.03999999999996</v>
      </c>
      <c r="M156" s="8">
        <f>Orders[[#This Row],[Revenue]]-Orders[[#This Row],[total cost]]</f>
        <v>411.93720000000008</v>
      </c>
      <c r="N156" t="str" cm="1">
        <f t="array" ref="N156">_xlfn.TEXTJOIN("+",,_xlfn._xlws.SORT(_xlfn.UNIQUE(_xlfn._xlws.FILTER(OrderLines[Category],OrderLines[OrderID]=Orders[[#This Row],[OrderID]]))))</f>
        <v>Dessert+Hot Meal+Snack</v>
      </c>
    </row>
    <row r="157" spans="1:14" x14ac:dyDescent="0.3">
      <c r="A157" t="s">
        <v>193</v>
      </c>
      <c r="B157" s="1">
        <v>45878.130046296297</v>
      </c>
      <c r="C157" t="s">
        <v>9</v>
      </c>
      <c r="D157" t="s">
        <v>28</v>
      </c>
      <c r="E157" t="s">
        <v>21</v>
      </c>
      <c r="F157" t="s">
        <v>12</v>
      </c>
      <c r="G157">
        <v>7.0000000000000007E-2</v>
      </c>
      <c r="H157" s="8">
        <f>SUMIFS(OrderLines[LineNetAmount],OrderLines[OrderID],Orders[[#This Row],[OrderID]])</f>
        <v>939.76499999999999</v>
      </c>
      <c r="I157" t="str">
        <f>IF(COUNTIFS(OrderLines[OrderID],Orders[[#This Row],[OrderID]],OrderLines[Category],"Beverage"),"yes","no")</f>
        <v>yes</v>
      </c>
      <c r="J157" t="str">
        <f>IF(AND(COUNTIFS(OrderLines[OrderID],Orders[[#This Row],[OrderID]],OrderLines[Category],"Hot Meal"),Orders[[#This Row],[has beverage]]="yes"),"combo","single")</f>
        <v>combo</v>
      </c>
      <c r="K157" s="8" t="str" cm="1">
        <f t="array" ref="K157">IF((SUMPRODUCT(OrderLines[UnitPrice],OrderLines[Qty],--(OrderLines[OrderID]=Orders[[#This Row],[OrderID]]))-Orders[[#This Row],[Revenue]])&gt;40,"high disc","ok")</f>
        <v>high disc</v>
      </c>
      <c r="L157">
        <f>SUMIFS(OrderLines[Food Cost],OrderLines[OrderID],Orders[[#This Row],[OrderID]])</f>
        <v>426.69999999999993</v>
      </c>
      <c r="M157" s="8">
        <f>Orders[[#This Row],[Revenue]]-Orders[[#This Row],[total cost]]</f>
        <v>513.06500000000005</v>
      </c>
      <c r="N157" t="str" cm="1">
        <f t="array" ref="N157">_xlfn.TEXTJOIN("+",,_xlfn._xlws.SORT(_xlfn.UNIQUE(_xlfn._xlws.FILTER(OrderLines[Category],OrderLines[OrderID]=Orders[[#This Row],[OrderID]]))))</f>
        <v>Beverage+Dessert+Hot Meal+Snack</v>
      </c>
    </row>
    <row r="158" spans="1:14" x14ac:dyDescent="0.3">
      <c r="A158" t="s">
        <v>194</v>
      </c>
      <c r="B158" s="1">
        <v>45869.786585648151</v>
      </c>
      <c r="C158" t="s">
        <v>15</v>
      </c>
      <c r="D158" t="s">
        <v>16</v>
      </c>
      <c r="E158" t="s">
        <v>17</v>
      </c>
      <c r="F158" t="s">
        <v>18</v>
      </c>
      <c r="G158">
        <v>0.06</v>
      </c>
      <c r="H158" s="8">
        <f>SUMIFS(OrderLines[LineNetAmount],OrderLines[OrderID],Orders[[#This Row],[OrderID]])</f>
        <v>860.27859999999998</v>
      </c>
      <c r="I158" t="str">
        <f>IF(COUNTIFS(OrderLines[OrderID],Orders[[#This Row],[OrderID]],OrderLines[Category],"Beverage"),"yes","no")</f>
        <v>no</v>
      </c>
      <c r="J158" t="str">
        <f>IF(AND(COUNTIFS(OrderLines[OrderID],Orders[[#This Row],[OrderID]],OrderLines[Category],"Hot Meal"),Orders[[#This Row],[has beverage]]="yes"),"combo","single")</f>
        <v>single</v>
      </c>
      <c r="K158" s="8" t="str" cm="1">
        <f t="array" ref="K158">IF((SUMPRODUCT(OrderLines[UnitPrice],OrderLines[Qty],--(OrderLines[OrderID]=Orders[[#This Row],[OrderID]]))-Orders[[#This Row],[Revenue]])&gt;40,"high disc","ok")</f>
        <v>high disc</v>
      </c>
      <c r="L158">
        <f>SUMIFS(OrderLines[Food Cost],OrderLines[OrderID],Orders[[#This Row],[OrderID]])</f>
        <v>411.90999999999997</v>
      </c>
      <c r="M158" s="8">
        <f>Orders[[#This Row],[Revenue]]-Orders[[#This Row],[total cost]]</f>
        <v>448.36860000000001</v>
      </c>
      <c r="N158" t="str" cm="1">
        <f t="array" ref="N158">_xlfn.TEXTJOIN("+",,_xlfn._xlws.SORT(_xlfn.UNIQUE(_xlfn._xlws.FILTER(OrderLines[Category],OrderLines[OrderID]=Orders[[#This Row],[OrderID]]))))</f>
        <v>Dessert+Hot Meal+Snack</v>
      </c>
    </row>
    <row r="159" spans="1:14" x14ac:dyDescent="0.3">
      <c r="A159" t="s">
        <v>195</v>
      </c>
      <c r="B159" s="1">
        <v>45889.212337962963</v>
      </c>
      <c r="C159" t="s">
        <v>27</v>
      </c>
      <c r="D159" t="s">
        <v>10</v>
      </c>
      <c r="E159" t="s">
        <v>11</v>
      </c>
      <c r="F159" t="s">
        <v>12</v>
      </c>
      <c r="G159">
        <v>0.01</v>
      </c>
      <c r="H159" s="8">
        <f>SUMIFS(OrderLines[LineNetAmount],OrderLines[OrderID],Orders[[#This Row],[OrderID]])</f>
        <v>334.40219999999999</v>
      </c>
      <c r="I159" t="str">
        <f>IF(COUNTIFS(OrderLines[OrderID],Orders[[#This Row],[OrderID]],OrderLines[Category],"Beverage"),"yes","no")</f>
        <v>yes</v>
      </c>
      <c r="J159" t="str">
        <f>IF(AND(COUNTIFS(OrderLines[OrderID],Orders[[#This Row],[OrderID]],OrderLines[Category],"Hot Meal"),Orders[[#This Row],[has beverage]]="yes"),"combo","single")</f>
        <v>single</v>
      </c>
      <c r="K159" s="8" t="str" cm="1">
        <f t="array" ref="K159">IF((SUMPRODUCT(OrderLines[UnitPrice],OrderLines[Qty],--(OrderLines[OrderID]=Orders[[#This Row],[OrderID]]))-Orders[[#This Row],[Revenue]])&gt;40,"high disc","ok")</f>
        <v>ok</v>
      </c>
      <c r="L159">
        <f>SUMIFS(OrderLines[Food Cost],OrderLines[OrderID],Orders[[#This Row],[OrderID]])</f>
        <v>158.87</v>
      </c>
      <c r="M159" s="8">
        <f>Orders[[#This Row],[Revenue]]-Orders[[#This Row],[total cost]]</f>
        <v>175.53219999999999</v>
      </c>
      <c r="N159" t="str" cm="1">
        <f t="array" ref="N159">_xlfn.TEXTJOIN("+",,_xlfn._xlws.SORT(_xlfn.UNIQUE(_xlfn._xlws.FILTER(OrderLines[Category],OrderLines[OrderID]=Orders[[#This Row],[OrderID]]))))</f>
        <v>Beverage+Dessert+Snack</v>
      </c>
    </row>
    <row r="160" spans="1:14" x14ac:dyDescent="0.3">
      <c r="A160" t="s">
        <v>196</v>
      </c>
      <c r="B160" s="1">
        <v>45879.372349537043</v>
      </c>
      <c r="C160" t="s">
        <v>27</v>
      </c>
      <c r="D160" t="s">
        <v>28</v>
      </c>
      <c r="E160" t="s">
        <v>11</v>
      </c>
      <c r="F160" t="s">
        <v>12</v>
      </c>
      <c r="G160">
        <v>7.0000000000000007E-2</v>
      </c>
      <c r="H160" s="8">
        <f>SUMIFS(OrderLines[LineNetAmount],OrderLines[OrderID],Orders[[#This Row],[OrderID]])</f>
        <v>228.86369999999999</v>
      </c>
      <c r="I160" t="str">
        <f>IF(COUNTIFS(OrderLines[OrderID],Orders[[#This Row],[OrderID]],OrderLines[Category],"Beverage"),"yes","no")</f>
        <v>no</v>
      </c>
      <c r="J160" t="str">
        <f>IF(AND(COUNTIFS(OrderLines[OrderID],Orders[[#This Row],[OrderID]],OrderLines[Category],"Hot Meal"),Orders[[#This Row],[has beverage]]="yes"),"combo","single")</f>
        <v>single</v>
      </c>
      <c r="K160" s="8" t="str" cm="1">
        <f t="array" ref="K160">IF((SUMPRODUCT(OrderLines[UnitPrice],OrderLines[Qty],--(OrderLines[OrderID]=Orders[[#This Row],[OrderID]]))-Orders[[#This Row],[Revenue]])&gt;40,"high disc","ok")</f>
        <v>ok</v>
      </c>
      <c r="L160">
        <f>SUMIFS(OrderLines[Food Cost],OrderLines[OrderID],Orders[[#This Row],[OrderID]])</f>
        <v>112.08</v>
      </c>
      <c r="M160" s="8">
        <f>Orders[[#This Row],[Revenue]]-Orders[[#This Row],[total cost]]</f>
        <v>116.7837</v>
      </c>
      <c r="N160" t="str" cm="1">
        <f t="array" ref="N160">_xlfn.TEXTJOIN("+",,_xlfn._xlws.SORT(_xlfn.UNIQUE(_xlfn._xlws.FILTER(OrderLines[Category],OrderLines[OrderID]=Orders[[#This Row],[OrderID]]))))</f>
        <v>Hot Meal</v>
      </c>
    </row>
    <row r="161" spans="1:14" x14ac:dyDescent="0.3">
      <c r="A161" t="s">
        <v>197</v>
      </c>
      <c r="B161" s="1">
        <v>45887.648877314823</v>
      </c>
      <c r="C161" t="s">
        <v>9</v>
      </c>
      <c r="D161" t="s">
        <v>16</v>
      </c>
      <c r="E161" t="s">
        <v>17</v>
      </c>
      <c r="F161" t="s">
        <v>22</v>
      </c>
      <c r="G161">
        <v>0.08</v>
      </c>
      <c r="H161" s="8">
        <f>SUMIFS(OrderLines[LineNetAmount],OrderLines[OrderID],Orders[[#This Row],[OrderID]])</f>
        <v>314.32720000000006</v>
      </c>
      <c r="I161" t="str">
        <f>IF(COUNTIFS(OrderLines[OrderID],Orders[[#This Row],[OrderID]],OrderLines[Category],"Beverage"),"yes","no")</f>
        <v>no</v>
      </c>
      <c r="J161" t="str">
        <f>IF(AND(COUNTIFS(OrderLines[OrderID],Orders[[#This Row],[OrderID]],OrderLines[Category],"Hot Meal"),Orders[[#This Row],[has beverage]]="yes"),"combo","single")</f>
        <v>single</v>
      </c>
      <c r="K161" s="8" t="str" cm="1">
        <f t="array" ref="K161">IF((SUMPRODUCT(OrderLines[UnitPrice],OrderLines[Qty],--(OrderLines[OrderID]=Orders[[#This Row],[OrderID]]))-Orders[[#This Row],[Revenue]])&gt;40,"high disc","ok")</f>
        <v>ok</v>
      </c>
      <c r="L161">
        <f>SUMIFS(OrderLines[Food Cost],OrderLines[OrderID],Orders[[#This Row],[OrderID]])</f>
        <v>148.13999999999999</v>
      </c>
      <c r="M161" s="8">
        <f>Orders[[#This Row],[Revenue]]-Orders[[#This Row],[total cost]]</f>
        <v>166.18720000000008</v>
      </c>
      <c r="N161" t="str" cm="1">
        <f t="array" ref="N161">_xlfn.TEXTJOIN("+",,_xlfn._xlws.SORT(_xlfn.UNIQUE(_xlfn._xlws.FILTER(OrderLines[Category],OrderLines[OrderID]=Orders[[#This Row],[OrderID]]))))</f>
        <v>Hot Meal</v>
      </c>
    </row>
    <row r="162" spans="1:14" x14ac:dyDescent="0.3">
      <c r="A162" t="s">
        <v>198</v>
      </c>
      <c r="B162" s="1">
        <v>45865.178587962961</v>
      </c>
      <c r="C162" t="s">
        <v>9</v>
      </c>
      <c r="D162" t="s">
        <v>28</v>
      </c>
      <c r="E162" t="s">
        <v>21</v>
      </c>
      <c r="F162" t="s">
        <v>12</v>
      </c>
      <c r="G162">
        <v>0.1</v>
      </c>
      <c r="H162" s="8">
        <f>SUMIFS(OrderLines[LineNetAmount],OrderLines[OrderID],Orders[[#This Row],[OrderID]])</f>
        <v>636.94800000000009</v>
      </c>
      <c r="I162" t="str">
        <f>IF(COUNTIFS(OrderLines[OrderID],Orders[[#This Row],[OrderID]],OrderLines[Category],"Beverage"),"yes","no")</f>
        <v>yes</v>
      </c>
      <c r="J162" t="str">
        <f>IF(AND(COUNTIFS(OrderLines[OrderID],Orders[[#This Row],[OrderID]],OrderLines[Category],"Hot Meal"),Orders[[#This Row],[has beverage]]="yes"),"combo","single")</f>
        <v>combo</v>
      </c>
      <c r="K162" s="8" t="str" cm="1">
        <f t="array" ref="K162">IF((SUMPRODUCT(OrderLines[UnitPrice],OrderLines[Qty],--(OrderLines[OrderID]=Orders[[#This Row],[OrderID]]))-Orders[[#This Row],[Revenue]])&gt;40,"high disc","ok")</f>
        <v>high disc</v>
      </c>
      <c r="L162">
        <f>SUMIFS(OrderLines[Food Cost],OrderLines[OrderID],Orders[[#This Row],[OrderID]])</f>
        <v>329.40999999999997</v>
      </c>
      <c r="M162" s="8">
        <f>Orders[[#This Row],[Revenue]]-Orders[[#This Row],[total cost]]</f>
        <v>307.53800000000012</v>
      </c>
      <c r="N162" t="str" cm="1">
        <f t="array" ref="N162">_xlfn.TEXTJOIN("+",,_xlfn._xlws.SORT(_xlfn.UNIQUE(_xlfn._xlws.FILTER(OrderLines[Category],OrderLines[OrderID]=Orders[[#This Row],[OrderID]]))))</f>
        <v>Beverage+Dessert+Hot Meal</v>
      </c>
    </row>
    <row r="163" spans="1:14" x14ac:dyDescent="0.3">
      <c r="A163" t="s">
        <v>199</v>
      </c>
      <c r="B163" s="1">
        <v>45886.310844907413</v>
      </c>
      <c r="C163" t="s">
        <v>27</v>
      </c>
      <c r="D163" t="s">
        <v>28</v>
      </c>
      <c r="E163" t="s">
        <v>11</v>
      </c>
      <c r="F163" t="s">
        <v>12</v>
      </c>
      <c r="G163">
        <v>0.1</v>
      </c>
      <c r="H163" s="8">
        <f>SUMIFS(OrderLines[LineNetAmount],OrderLines[OrderID],Orders[[#This Row],[OrderID]])</f>
        <v>406.53899999999999</v>
      </c>
      <c r="I163" t="str">
        <f>IF(COUNTIFS(OrderLines[OrderID],Orders[[#This Row],[OrderID]],OrderLines[Category],"Beverage"),"yes","no")</f>
        <v>no</v>
      </c>
      <c r="J163" t="str">
        <f>IF(AND(COUNTIFS(OrderLines[OrderID],Orders[[#This Row],[OrderID]],OrderLines[Category],"Hot Meal"),Orders[[#This Row],[has beverage]]="yes"),"combo","single")</f>
        <v>single</v>
      </c>
      <c r="K163" s="8" t="str" cm="1">
        <f t="array" ref="K163">IF((SUMPRODUCT(OrderLines[UnitPrice],OrderLines[Qty],--(OrderLines[OrderID]=Orders[[#This Row],[OrderID]]))-Orders[[#This Row],[Revenue]])&gt;40,"high disc","ok")</f>
        <v>high disc</v>
      </c>
      <c r="L163">
        <f>SUMIFS(OrderLines[Food Cost],OrderLines[OrderID],Orders[[#This Row],[OrderID]])</f>
        <v>221.31</v>
      </c>
      <c r="M163" s="8">
        <f>Orders[[#This Row],[Revenue]]-Orders[[#This Row],[total cost]]</f>
        <v>185.22899999999998</v>
      </c>
      <c r="N163" t="str" cm="1">
        <f t="array" ref="N163">_xlfn.TEXTJOIN("+",,_xlfn._xlws.SORT(_xlfn.UNIQUE(_xlfn._xlws.FILTER(OrderLines[Category],OrderLines[OrderID]=Orders[[#This Row],[OrderID]]))))</f>
        <v>Dessert+Hot Meal+Snack</v>
      </c>
    </row>
    <row r="164" spans="1:14" x14ac:dyDescent="0.3">
      <c r="A164" t="s">
        <v>200</v>
      </c>
      <c r="B164" s="1">
        <v>45854.62699074074</v>
      </c>
      <c r="C164" t="s">
        <v>15</v>
      </c>
      <c r="D164" t="s">
        <v>10</v>
      </c>
      <c r="E164" t="s">
        <v>17</v>
      </c>
      <c r="F164" t="s">
        <v>22</v>
      </c>
      <c r="G164">
        <v>0</v>
      </c>
      <c r="H164" s="8">
        <f>SUMIFS(OrderLines[LineNetAmount],OrderLines[OrderID],Orders[[#This Row],[OrderID]])</f>
        <v>633.67000000000007</v>
      </c>
      <c r="I164" t="str">
        <f>IF(COUNTIFS(OrderLines[OrderID],Orders[[#This Row],[OrderID]],OrderLines[Category],"Beverage"),"yes","no")</f>
        <v>no</v>
      </c>
      <c r="J164" t="str">
        <f>IF(AND(COUNTIFS(OrderLines[OrderID],Orders[[#This Row],[OrderID]],OrderLines[Category],"Hot Meal"),Orders[[#This Row],[has beverage]]="yes"),"combo","single")</f>
        <v>single</v>
      </c>
      <c r="K164" s="8" t="str" cm="1">
        <f t="array" ref="K164">IF((SUMPRODUCT(OrderLines[UnitPrice],OrderLines[Qty],--(OrderLines[OrderID]=Orders[[#This Row],[OrderID]]))-Orders[[#This Row],[Revenue]])&gt;40,"high disc","ok")</f>
        <v>ok</v>
      </c>
      <c r="L164">
        <f>SUMIFS(OrderLines[Food Cost],OrderLines[OrderID],Orders[[#This Row],[OrderID]])</f>
        <v>289.01</v>
      </c>
      <c r="M164" s="8">
        <f>Orders[[#This Row],[Revenue]]-Orders[[#This Row],[total cost]]</f>
        <v>344.66000000000008</v>
      </c>
      <c r="N164" t="str" cm="1">
        <f t="array" ref="N164">_xlfn.TEXTJOIN("+",,_xlfn._xlws.SORT(_xlfn.UNIQUE(_xlfn._xlws.FILTER(OrderLines[Category],OrderLines[OrderID]=Orders[[#This Row],[OrderID]]))))</f>
        <v>Hot Meal+Snack</v>
      </c>
    </row>
    <row r="165" spans="1:14" x14ac:dyDescent="0.3">
      <c r="A165" t="s">
        <v>201</v>
      </c>
      <c r="B165" s="1">
        <v>45878.861956018518</v>
      </c>
      <c r="C165" t="s">
        <v>27</v>
      </c>
      <c r="D165" t="s">
        <v>28</v>
      </c>
      <c r="E165" t="s">
        <v>17</v>
      </c>
      <c r="F165" t="s">
        <v>18</v>
      </c>
      <c r="G165">
        <v>0.02</v>
      </c>
      <c r="H165" s="8">
        <f>SUMIFS(OrderLines[LineNetAmount],OrderLines[OrderID],Orders[[#This Row],[OrderID]])</f>
        <v>194.18700000000001</v>
      </c>
      <c r="I165" t="str">
        <f>IF(COUNTIFS(OrderLines[OrderID],Orders[[#This Row],[OrderID]],OrderLines[Category],"Beverage"),"yes","no")</f>
        <v>no</v>
      </c>
      <c r="J165" t="str">
        <f>IF(AND(COUNTIFS(OrderLines[OrderID],Orders[[#This Row],[OrderID]],OrderLines[Category],"Hot Meal"),Orders[[#This Row],[has beverage]]="yes"),"combo","single")</f>
        <v>single</v>
      </c>
      <c r="K165" s="8" t="str" cm="1">
        <f t="array" ref="K165">IF((SUMPRODUCT(OrderLines[UnitPrice],OrderLines[Qty],--(OrderLines[OrderID]=Orders[[#This Row],[OrderID]]))-Orders[[#This Row],[Revenue]])&gt;40,"high disc","ok")</f>
        <v>ok</v>
      </c>
      <c r="L165">
        <f>SUMIFS(OrderLines[Food Cost],OrderLines[OrderID],Orders[[#This Row],[OrderID]])</f>
        <v>100.76</v>
      </c>
      <c r="M165" s="8">
        <f>Orders[[#This Row],[Revenue]]-Orders[[#This Row],[total cost]]</f>
        <v>93.427000000000007</v>
      </c>
      <c r="N165" t="str" cm="1">
        <f t="array" ref="N165">_xlfn.TEXTJOIN("+",,_xlfn._xlws.SORT(_xlfn.UNIQUE(_xlfn._xlws.FILTER(OrderLines[Category],OrderLines[OrderID]=Orders[[#This Row],[OrderID]]))))</f>
        <v>Dessert+Snack</v>
      </c>
    </row>
    <row r="166" spans="1:14" x14ac:dyDescent="0.3">
      <c r="A166" t="s">
        <v>202</v>
      </c>
      <c r="B166" s="1">
        <v>45850.654826388891</v>
      </c>
      <c r="C166" t="s">
        <v>9</v>
      </c>
      <c r="D166" t="s">
        <v>28</v>
      </c>
      <c r="E166" t="s">
        <v>21</v>
      </c>
      <c r="F166" t="s">
        <v>22</v>
      </c>
      <c r="G166">
        <v>0.08</v>
      </c>
      <c r="H166" s="8">
        <f>SUMIFS(OrderLines[LineNetAmount],OrderLines[OrderID],Orders[[#This Row],[OrderID]])</f>
        <v>146.00400000000002</v>
      </c>
      <c r="I166" t="str">
        <f>IF(COUNTIFS(OrderLines[OrderID],Orders[[#This Row],[OrderID]],OrderLines[Category],"Beverage"),"yes","no")</f>
        <v>yes</v>
      </c>
      <c r="J166" t="str">
        <f>IF(AND(COUNTIFS(OrderLines[OrderID],Orders[[#This Row],[OrderID]],OrderLines[Category],"Hot Meal"),Orders[[#This Row],[has beverage]]="yes"),"combo","single")</f>
        <v>single</v>
      </c>
      <c r="K166" s="8" t="str" cm="1">
        <f t="array" ref="K166">IF((SUMPRODUCT(OrderLines[UnitPrice],OrderLines[Qty],--(OrderLines[OrderID]=Orders[[#This Row],[OrderID]]))-Orders[[#This Row],[Revenue]])&gt;40,"high disc","ok")</f>
        <v>ok</v>
      </c>
      <c r="L166">
        <f>SUMIFS(OrderLines[Food Cost],OrderLines[OrderID],Orders[[#This Row],[OrderID]])</f>
        <v>68.87</v>
      </c>
      <c r="M166" s="8">
        <f>Orders[[#This Row],[Revenue]]-Orders[[#This Row],[total cost]]</f>
        <v>77.134000000000015</v>
      </c>
      <c r="N166" t="str" cm="1">
        <f t="array" ref="N166">_xlfn.TEXTJOIN("+",,_xlfn._xlws.SORT(_xlfn.UNIQUE(_xlfn._xlws.FILTER(OrderLines[Category],OrderLines[OrderID]=Orders[[#This Row],[OrderID]]))))</f>
        <v>Beverage+Snack</v>
      </c>
    </row>
    <row r="167" spans="1:14" x14ac:dyDescent="0.3">
      <c r="A167" t="s">
        <v>203</v>
      </c>
      <c r="B167" s="1">
        <v>45888.6565625</v>
      </c>
      <c r="C167" t="s">
        <v>9</v>
      </c>
      <c r="D167" t="s">
        <v>16</v>
      </c>
      <c r="E167" t="s">
        <v>21</v>
      </c>
      <c r="F167" t="s">
        <v>22</v>
      </c>
      <c r="G167">
        <v>0.08</v>
      </c>
      <c r="H167" s="8">
        <f>SUMIFS(OrderLines[LineNetAmount],OrderLines[OrderID],Orders[[#This Row],[OrderID]])</f>
        <v>91.024799999999999</v>
      </c>
      <c r="I167" t="str">
        <f>IF(COUNTIFS(OrderLines[OrderID],Orders[[#This Row],[OrderID]],OrderLines[Category],"Beverage"),"yes","no")</f>
        <v>yes</v>
      </c>
      <c r="J167" t="str">
        <f>IF(AND(COUNTIFS(OrderLines[OrderID],Orders[[#This Row],[OrderID]],OrderLines[Category],"Hot Meal"),Orders[[#This Row],[has beverage]]="yes"),"combo","single")</f>
        <v>single</v>
      </c>
      <c r="K167" s="8" t="str" cm="1">
        <f t="array" ref="K167">IF((SUMPRODUCT(OrderLines[UnitPrice],OrderLines[Qty],--(OrderLines[OrderID]=Orders[[#This Row],[OrderID]]))-Orders[[#This Row],[Revenue]])&gt;40,"high disc","ok")</f>
        <v>ok</v>
      </c>
      <c r="L167">
        <f>SUMIFS(OrderLines[Food Cost],OrderLines[OrderID],Orders[[#This Row],[OrderID]])</f>
        <v>35.519999999999996</v>
      </c>
      <c r="M167" s="8">
        <f>Orders[[#This Row],[Revenue]]-Orders[[#This Row],[total cost]]</f>
        <v>55.504800000000003</v>
      </c>
      <c r="N167" t="str" cm="1">
        <f t="array" ref="N167">_xlfn.TEXTJOIN("+",,_xlfn._xlws.SORT(_xlfn.UNIQUE(_xlfn._xlws.FILTER(OrderLines[Category],OrderLines[OrderID]=Orders[[#This Row],[OrderID]]))))</f>
        <v>Beverage</v>
      </c>
    </row>
    <row r="168" spans="1:14" x14ac:dyDescent="0.3">
      <c r="A168" t="s">
        <v>204</v>
      </c>
      <c r="B168" s="1">
        <v>45885.097986111112</v>
      </c>
      <c r="C168" t="s">
        <v>27</v>
      </c>
      <c r="D168" t="s">
        <v>16</v>
      </c>
      <c r="E168" t="s">
        <v>11</v>
      </c>
      <c r="F168" t="s">
        <v>12</v>
      </c>
      <c r="G168">
        <v>0.08</v>
      </c>
      <c r="H168" s="8">
        <f>SUMIFS(OrderLines[LineNetAmount],OrderLines[OrderID],Orders[[#This Row],[OrderID]])</f>
        <v>37.002400000000002</v>
      </c>
      <c r="I168" t="str">
        <f>IF(COUNTIFS(OrderLines[OrderID],Orders[[#This Row],[OrderID]],OrderLines[Category],"Beverage"),"yes","no")</f>
        <v>yes</v>
      </c>
      <c r="J168" t="str">
        <f>IF(AND(COUNTIFS(OrderLines[OrderID],Orders[[#This Row],[OrderID]],OrderLines[Category],"Hot Meal"),Orders[[#This Row],[has beverage]]="yes"),"combo","single")</f>
        <v>single</v>
      </c>
      <c r="K168" s="8" t="str" cm="1">
        <f t="array" ref="K168">IF((SUMPRODUCT(OrderLines[UnitPrice],OrderLines[Qty],--(OrderLines[OrderID]=Orders[[#This Row],[OrderID]]))-Orders[[#This Row],[Revenue]])&gt;40,"high disc","ok")</f>
        <v>ok</v>
      </c>
      <c r="L168">
        <f>SUMIFS(OrderLines[Food Cost],OrderLines[OrderID],Orders[[#This Row],[OrderID]])</f>
        <v>16</v>
      </c>
      <c r="M168" s="8">
        <f>Orders[[#This Row],[Revenue]]-Orders[[#This Row],[total cost]]</f>
        <v>21.002400000000002</v>
      </c>
      <c r="N168" t="str" cm="1">
        <f t="array" ref="N168">_xlfn.TEXTJOIN("+",,_xlfn._xlws.SORT(_xlfn.UNIQUE(_xlfn._xlws.FILTER(OrderLines[Category],OrderLines[OrderID]=Orders[[#This Row],[OrderID]]))))</f>
        <v>Beverage</v>
      </c>
    </row>
    <row r="169" spans="1:14" x14ac:dyDescent="0.3">
      <c r="A169" t="s">
        <v>205</v>
      </c>
      <c r="B169" s="1">
        <v>45876.4925</v>
      </c>
      <c r="C169" t="s">
        <v>27</v>
      </c>
      <c r="D169" t="s">
        <v>10</v>
      </c>
      <c r="E169" t="s">
        <v>11</v>
      </c>
      <c r="F169" t="s">
        <v>22</v>
      </c>
      <c r="G169">
        <v>0.21</v>
      </c>
      <c r="H169" s="8">
        <f>SUMIFS(OrderLines[LineNetAmount],OrderLines[OrderID],Orders[[#This Row],[OrderID]])</f>
        <v>331.4366</v>
      </c>
      <c r="I169" t="str">
        <f>IF(COUNTIFS(OrderLines[OrderID],Orders[[#This Row],[OrderID]],OrderLines[Category],"Beverage"),"yes","no")</f>
        <v>no</v>
      </c>
      <c r="J169" t="str">
        <f>IF(AND(COUNTIFS(OrderLines[OrderID],Orders[[#This Row],[OrderID]],OrderLines[Category],"Hot Meal"),Orders[[#This Row],[has beverage]]="yes"),"combo","single")</f>
        <v>single</v>
      </c>
      <c r="K169" s="8" t="str" cm="1">
        <f t="array" ref="K169">IF((SUMPRODUCT(OrderLines[UnitPrice],OrderLines[Qty],--(OrderLines[OrderID]=Orders[[#This Row],[OrderID]]))-Orders[[#This Row],[Revenue]])&gt;40,"high disc","ok")</f>
        <v>high disc</v>
      </c>
      <c r="L169">
        <f>SUMIFS(OrderLines[Food Cost],OrderLines[OrderID],Orders[[#This Row],[OrderID]])</f>
        <v>222.67999999999998</v>
      </c>
      <c r="M169" s="8">
        <f>Orders[[#This Row],[Revenue]]-Orders[[#This Row],[total cost]]</f>
        <v>108.75660000000002</v>
      </c>
      <c r="N169" t="str" cm="1">
        <f t="array" ref="N169">_xlfn.TEXTJOIN("+",,_xlfn._xlws.SORT(_xlfn.UNIQUE(_xlfn._xlws.FILTER(OrderLines[Category],OrderLines[OrderID]=Orders[[#This Row],[OrderID]]))))</f>
        <v>Dessert+Hot Meal+Snack</v>
      </c>
    </row>
    <row r="170" spans="1:14" x14ac:dyDescent="0.3">
      <c r="A170" t="s">
        <v>206</v>
      </c>
      <c r="B170" s="1">
        <v>45846.027881944443</v>
      </c>
      <c r="C170" t="s">
        <v>15</v>
      </c>
      <c r="D170" t="s">
        <v>16</v>
      </c>
      <c r="E170" t="s">
        <v>21</v>
      </c>
      <c r="F170" t="s">
        <v>12</v>
      </c>
      <c r="G170">
        <v>0.08</v>
      </c>
      <c r="H170" s="8">
        <f>SUMIFS(OrderLines[LineNetAmount],OrderLines[OrderID],Orders[[#This Row],[OrderID]])</f>
        <v>318.40280000000001</v>
      </c>
      <c r="I170" t="str">
        <f>IF(COUNTIFS(OrderLines[OrderID],Orders[[#This Row],[OrderID]],OrderLines[Category],"Beverage"),"yes","no")</f>
        <v>yes</v>
      </c>
      <c r="J170" t="str">
        <f>IF(AND(COUNTIFS(OrderLines[OrderID],Orders[[#This Row],[OrderID]],OrderLines[Category],"Hot Meal"),Orders[[#This Row],[has beverage]]="yes"),"combo","single")</f>
        <v>combo</v>
      </c>
      <c r="K170" s="8" t="str" cm="1">
        <f t="array" ref="K170">IF((SUMPRODUCT(OrderLines[UnitPrice],OrderLines[Qty],--(OrderLines[OrderID]=Orders[[#This Row],[OrderID]]))-Orders[[#This Row],[Revenue]])&gt;40,"high disc","ok")</f>
        <v>ok</v>
      </c>
      <c r="L170">
        <f>SUMIFS(OrderLines[Food Cost],OrderLines[OrderID],Orders[[#This Row],[OrderID]])</f>
        <v>151.08999999999997</v>
      </c>
      <c r="M170" s="8">
        <f>Orders[[#This Row],[Revenue]]-Orders[[#This Row],[total cost]]</f>
        <v>167.31280000000004</v>
      </c>
      <c r="N170" t="str" cm="1">
        <f t="array" ref="N170">_xlfn.TEXTJOIN("+",,_xlfn._xlws.SORT(_xlfn.UNIQUE(_xlfn._xlws.FILTER(OrderLines[Category],OrderLines[OrderID]=Orders[[#This Row],[OrderID]]))))</f>
        <v>Beverage+Dessert+Hot Meal</v>
      </c>
    </row>
    <row r="171" spans="1:14" x14ac:dyDescent="0.3">
      <c r="A171" t="s">
        <v>207</v>
      </c>
      <c r="B171" s="1">
        <v>45865.189884259264</v>
      </c>
      <c r="C171" t="s">
        <v>27</v>
      </c>
      <c r="D171" t="s">
        <v>16</v>
      </c>
      <c r="E171" t="s">
        <v>11</v>
      </c>
      <c r="F171" t="s">
        <v>12</v>
      </c>
      <c r="G171">
        <v>0.11</v>
      </c>
      <c r="H171" s="8">
        <f>SUMIFS(OrderLines[LineNetAmount],OrderLines[OrderID],Orders[[#This Row],[OrderID]])</f>
        <v>153.614</v>
      </c>
      <c r="I171" t="str">
        <f>IF(COUNTIFS(OrderLines[OrderID],Orders[[#This Row],[OrderID]],OrderLines[Category],"Beverage"),"yes","no")</f>
        <v>yes</v>
      </c>
      <c r="J171" t="str">
        <f>IF(AND(COUNTIFS(OrderLines[OrderID],Orders[[#This Row],[OrderID]],OrderLines[Category],"Hot Meal"),Orders[[#This Row],[has beverage]]="yes"),"combo","single")</f>
        <v>single</v>
      </c>
      <c r="K171" s="8" t="str" cm="1">
        <f t="array" ref="K171">IF((SUMPRODUCT(OrderLines[UnitPrice],OrderLines[Qty],--(OrderLines[OrderID]=Orders[[#This Row],[OrderID]]))-Orders[[#This Row],[Revenue]])&gt;40,"high disc","ok")</f>
        <v>ok</v>
      </c>
      <c r="L171">
        <f>SUMIFS(OrderLines[Food Cost],OrderLines[OrderID],Orders[[#This Row],[OrderID]])</f>
        <v>76.430000000000007</v>
      </c>
      <c r="M171" s="8">
        <f>Orders[[#This Row],[Revenue]]-Orders[[#This Row],[total cost]]</f>
        <v>77.183999999999997</v>
      </c>
      <c r="N171" t="str" cm="1">
        <f t="array" ref="N171">_xlfn.TEXTJOIN("+",,_xlfn._xlws.SORT(_xlfn.UNIQUE(_xlfn._xlws.FILTER(OrderLines[Category],OrderLines[OrderID]=Orders[[#This Row],[OrderID]]))))</f>
        <v>Beverage+Snack</v>
      </c>
    </row>
    <row r="172" spans="1:14" x14ac:dyDescent="0.3">
      <c r="A172" t="s">
        <v>208</v>
      </c>
      <c r="B172" s="1">
        <v>45896.235995370371</v>
      </c>
      <c r="C172" t="s">
        <v>9</v>
      </c>
      <c r="D172" t="s">
        <v>10</v>
      </c>
      <c r="E172" t="s">
        <v>21</v>
      </c>
      <c r="F172" t="s">
        <v>12</v>
      </c>
      <c r="G172">
        <v>0.1</v>
      </c>
      <c r="H172" s="8">
        <f>SUMIFS(OrderLines[LineNetAmount],OrderLines[OrderID],Orders[[#This Row],[OrderID]])</f>
        <v>502.74000000000007</v>
      </c>
      <c r="I172" t="str">
        <f>IF(COUNTIFS(OrderLines[OrderID],Orders[[#This Row],[OrderID]],OrderLines[Category],"Beverage"),"yes","no")</f>
        <v>no</v>
      </c>
      <c r="J172" t="str">
        <f>IF(AND(COUNTIFS(OrderLines[OrderID],Orders[[#This Row],[OrderID]],OrderLines[Category],"Hot Meal"),Orders[[#This Row],[has beverage]]="yes"),"combo","single")</f>
        <v>single</v>
      </c>
      <c r="K172" s="8" t="str" cm="1">
        <f t="array" ref="K172">IF((SUMPRODUCT(OrderLines[UnitPrice],OrderLines[Qty],--(OrderLines[OrderID]=Orders[[#This Row],[OrderID]]))-Orders[[#This Row],[Revenue]])&gt;40,"high disc","ok")</f>
        <v>high disc</v>
      </c>
      <c r="L172">
        <f>SUMIFS(OrderLines[Food Cost],OrderLines[OrderID],Orders[[#This Row],[OrderID]])</f>
        <v>264.87</v>
      </c>
      <c r="M172" s="8">
        <f>Orders[[#This Row],[Revenue]]-Orders[[#This Row],[total cost]]</f>
        <v>237.87000000000006</v>
      </c>
      <c r="N172" t="str" cm="1">
        <f t="array" ref="N172">_xlfn.TEXTJOIN("+",,_xlfn._xlws.SORT(_xlfn.UNIQUE(_xlfn._xlws.FILTER(OrderLines[Category],OrderLines[OrderID]=Orders[[#This Row],[OrderID]]))))</f>
        <v>Hot Meal+Snack</v>
      </c>
    </row>
    <row r="173" spans="1:14" x14ac:dyDescent="0.3">
      <c r="A173" t="s">
        <v>209</v>
      </c>
      <c r="B173" s="1">
        <v>45882.605451388888</v>
      </c>
      <c r="C173" t="s">
        <v>9</v>
      </c>
      <c r="D173" t="s">
        <v>16</v>
      </c>
      <c r="E173" t="s">
        <v>21</v>
      </c>
      <c r="F173" t="s">
        <v>22</v>
      </c>
      <c r="G173">
        <v>0.09</v>
      </c>
      <c r="H173" s="8">
        <f>SUMIFS(OrderLines[LineNetAmount],OrderLines[OrderID],Orders[[#This Row],[OrderID]])</f>
        <v>414.25020000000006</v>
      </c>
      <c r="I173" t="str">
        <f>IF(COUNTIFS(OrderLines[OrderID],Orders[[#This Row],[OrderID]],OrderLines[Category],"Beverage"),"yes","no")</f>
        <v>no</v>
      </c>
      <c r="J173" t="str">
        <f>IF(AND(COUNTIFS(OrderLines[OrderID],Orders[[#This Row],[OrderID]],OrderLines[Category],"Hot Meal"),Orders[[#This Row],[has beverage]]="yes"),"combo","single")</f>
        <v>single</v>
      </c>
      <c r="K173" s="8" t="str" cm="1">
        <f t="array" ref="K173">IF((SUMPRODUCT(OrderLines[UnitPrice],OrderLines[Qty],--(OrderLines[OrderID]=Orders[[#This Row],[OrderID]]))-Orders[[#This Row],[Revenue]])&gt;40,"high disc","ok")</f>
        <v>high disc</v>
      </c>
      <c r="L173">
        <f>SUMIFS(OrderLines[Food Cost],OrderLines[OrderID],Orders[[#This Row],[OrderID]])</f>
        <v>192.44</v>
      </c>
      <c r="M173" s="8">
        <f>Orders[[#This Row],[Revenue]]-Orders[[#This Row],[total cost]]</f>
        <v>221.81020000000007</v>
      </c>
      <c r="N173" t="str" cm="1">
        <f t="array" ref="N173">_xlfn.TEXTJOIN("+",,_xlfn._xlws.SORT(_xlfn.UNIQUE(_xlfn._xlws.FILTER(OrderLines[Category],OrderLines[OrderID]=Orders[[#This Row],[OrderID]]))))</f>
        <v>Hot Meal</v>
      </c>
    </row>
    <row r="174" spans="1:14" x14ac:dyDescent="0.3">
      <c r="A174" t="s">
        <v>210</v>
      </c>
      <c r="B174" s="1">
        <v>45892.835856481477</v>
      </c>
      <c r="C174" t="s">
        <v>9</v>
      </c>
      <c r="D174" t="s">
        <v>16</v>
      </c>
      <c r="E174" t="s">
        <v>21</v>
      </c>
      <c r="F174" t="s">
        <v>18</v>
      </c>
      <c r="G174">
        <v>0.05</v>
      </c>
      <c r="H174" s="8">
        <f>SUMIFS(OrderLines[LineNetAmount],OrderLines[OrderID],Orders[[#This Row],[OrderID]])</f>
        <v>488.12900000000002</v>
      </c>
      <c r="I174" t="str">
        <f>IF(COUNTIFS(OrderLines[OrderID],Orders[[#This Row],[OrderID]],OrderLines[Category],"Beverage"),"yes","no")</f>
        <v>no</v>
      </c>
      <c r="J174" t="str">
        <f>IF(AND(COUNTIFS(OrderLines[OrderID],Orders[[#This Row],[OrderID]],OrderLines[Category],"Hot Meal"),Orders[[#This Row],[has beverage]]="yes"),"combo","single")</f>
        <v>single</v>
      </c>
      <c r="K174" s="8" t="str" cm="1">
        <f t="array" ref="K174">IF((SUMPRODUCT(OrderLines[UnitPrice],OrderLines[Qty],--(OrderLines[OrderID]=Orders[[#This Row],[OrderID]]))-Orders[[#This Row],[Revenue]])&gt;40,"high disc","ok")</f>
        <v>ok</v>
      </c>
      <c r="L174">
        <f>SUMIFS(OrderLines[Food Cost],OrderLines[OrderID],Orders[[#This Row],[OrderID]])</f>
        <v>242.48</v>
      </c>
      <c r="M174" s="8">
        <f>Orders[[#This Row],[Revenue]]-Orders[[#This Row],[total cost]]</f>
        <v>245.64900000000003</v>
      </c>
      <c r="N174" t="str" cm="1">
        <f t="array" ref="N174">_xlfn.TEXTJOIN("+",,_xlfn._xlws.SORT(_xlfn.UNIQUE(_xlfn._xlws.FILTER(OrderLines[Category],OrderLines[OrderID]=Orders[[#This Row],[OrderID]]))))</f>
        <v>Hot Meal</v>
      </c>
    </row>
    <row r="175" spans="1:14" x14ac:dyDescent="0.3">
      <c r="A175" t="s">
        <v>211</v>
      </c>
      <c r="B175" s="1">
        <v>45857.566319444442</v>
      </c>
      <c r="C175" t="s">
        <v>9</v>
      </c>
      <c r="D175" t="s">
        <v>28</v>
      </c>
      <c r="E175" t="s">
        <v>11</v>
      </c>
      <c r="F175" t="s">
        <v>22</v>
      </c>
      <c r="G175">
        <v>0.09</v>
      </c>
      <c r="H175" s="8">
        <f>SUMIFS(OrderLines[LineNetAmount],OrderLines[OrderID],Orders[[#This Row],[OrderID]])</f>
        <v>243.8982</v>
      </c>
      <c r="I175" t="str">
        <f>IF(COUNTIFS(OrderLines[OrderID],Orders[[#This Row],[OrderID]],OrderLines[Category],"Beverage"),"yes","no")</f>
        <v>yes</v>
      </c>
      <c r="J175" t="str">
        <f>IF(AND(COUNTIFS(OrderLines[OrderID],Orders[[#This Row],[OrderID]],OrderLines[Category],"Hot Meal"),Orders[[#This Row],[has beverage]]="yes"),"combo","single")</f>
        <v>single</v>
      </c>
      <c r="K175" s="8" t="str" cm="1">
        <f t="array" ref="K175">IF((SUMPRODUCT(OrderLines[UnitPrice],OrderLines[Qty],--(OrderLines[OrderID]=Orders[[#This Row],[OrderID]]))-Orders[[#This Row],[Revenue]])&gt;40,"high disc","ok")</f>
        <v>ok</v>
      </c>
      <c r="L175">
        <f>SUMIFS(OrderLines[Food Cost],OrderLines[OrderID],Orders[[#This Row],[OrderID]])</f>
        <v>119.58</v>
      </c>
      <c r="M175" s="8">
        <f>Orders[[#This Row],[Revenue]]-Orders[[#This Row],[total cost]]</f>
        <v>124.3182</v>
      </c>
      <c r="N175" t="str" cm="1">
        <f t="array" ref="N175">_xlfn.TEXTJOIN("+",,_xlfn._xlws.SORT(_xlfn.UNIQUE(_xlfn._xlws.FILTER(OrderLines[Category],OrderLines[OrderID]=Orders[[#This Row],[OrderID]]))))</f>
        <v>Beverage+Dessert</v>
      </c>
    </row>
    <row r="176" spans="1:14" x14ac:dyDescent="0.3">
      <c r="A176" t="s">
        <v>212</v>
      </c>
      <c r="B176" s="1">
        <v>45861.926655092589</v>
      </c>
      <c r="C176" t="s">
        <v>15</v>
      </c>
      <c r="D176" t="s">
        <v>28</v>
      </c>
      <c r="E176" t="s">
        <v>21</v>
      </c>
      <c r="F176" t="s">
        <v>18</v>
      </c>
      <c r="G176">
        <v>0.03</v>
      </c>
      <c r="H176" s="8">
        <f>SUMIFS(OrderLines[LineNetAmount],OrderLines[OrderID],Orders[[#This Row],[OrderID]])</f>
        <v>318.15030000000002</v>
      </c>
      <c r="I176" t="str">
        <f>IF(COUNTIFS(OrderLines[OrderID],Orders[[#This Row],[OrderID]],OrderLines[Category],"Beverage"),"yes","no")</f>
        <v>no</v>
      </c>
      <c r="J176" t="str">
        <f>IF(AND(COUNTIFS(OrderLines[OrderID],Orders[[#This Row],[OrderID]],OrderLines[Category],"Hot Meal"),Orders[[#This Row],[has beverage]]="yes"),"combo","single")</f>
        <v>single</v>
      </c>
      <c r="K176" s="8" t="str" cm="1">
        <f t="array" ref="K176">IF((SUMPRODUCT(OrderLines[UnitPrice],OrderLines[Qty],--(OrderLines[OrderID]=Orders[[#This Row],[OrderID]]))-Orders[[#This Row],[Revenue]])&gt;40,"high disc","ok")</f>
        <v>ok</v>
      </c>
      <c r="L176">
        <f>SUMIFS(OrderLines[Food Cost],OrderLines[OrderID],Orders[[#This Row],[OrderID]])</f>
        <v>141.44</v>
      </c>
      <c r="M176" s="8">
        <f>Orders[[#This Row],[Revenue]]-Orders[[#This Row],[total cost]]</f>
        <v>176.71030000000002</v>
      </c>
      <c r="N176" t="str" cm="1">
        <f t="array" ref="N176">_xlfn.TEXTJOIN("+",,_xlfn._xlws.SORT(_xlfn.UNIQUE(_xlfn._xlws.FILTER(OrderLines[Category],OrderLines[OrderID]=Orders[[#This Row],[OrderID]]))))</f>
        <v>Hot Meal+Snack</v>
      </c>
    </row>
    <row r="177" spans="1:14" x14ac:dyDescent="0.3">
      <c r="A177" t="s">
        <v>213</v>
      </c>
      <c r="B177" s="1">
        <v>45876.263865740737</v>
      </c>
      <c r="C177" t="s">
        <v>15</v>
      </c>
      <c r="D177" t="s">
        <v>10</v>
      </c>
      <c r="E177" t="s">
        <v>11</v>
      </c>
      <c r="F177" t="s">
        <v>12</v>
      </c>
      <c r="G177">
        <v>0.05</v>
      </c>
      <c r="H177" s="8">
        <f>SUMIFS(OrderLines[LineNetAmount],OrderLines[OrderID],Orders[[#This Row],[OrderID]])</f>
        <v>479.39850000000001</v>
      </c>
      <c r="I177" t="str">
        <f>IF(COUNTIFS(OrderLines[OrderID],Orders[[#This Row],[OrderID]],OrderLines[Category],"Beverage"),"yes","no")</f>
        <v>yes</v>
      </c>
      <c r="J177" t="str">
        <f>IF(AND(COUNTIFS(OrderLines[OrderID],Orders[[#This Row],[OrderID]],OrderLines[Category],"Hot Meal"),Orders[[#This Row],[has beverage]]="yes"),"combo","single")</f>
        <v>combo</v>
      </c>
      <c r="K177" s="8" t="str" cm="1">
        <f t="array" ref="K177">IF((SUMPRODUCT(OrderLines[UnitPrice],OrderLines[Qty],--(OrderLines[OrderID]=Orders[[#This Row],[OrderID]]))-Orders[[#This Row],[Revenue]])&gt;40,"high disc","ok")</f>
        <v>ok</v>
      </c>
      <c r="L177">
        <f>SUMIFS(OrderLines[Food Cost],OrderLines[OrderID],Orders[[#This Row],[OrderID]])</f>
        <v>225.46</v>
      </c>
      <c r="M177" s="8">
        <f>Orders[[#This Row],[Revenue]]-Orders[[#This Row],[total cost]]</f>
        <v>253.9385</v>
      </c>
      <c r="N177" t="str" cm="1">
        <f t="array" ref="N177">_xlfn.TEXTJOIN("+",,_xlfn._xlws.SORT(_xlfn.UNIQUE(_xlfn._xlws.FILTER(OrderLines[Category],OrderLines[OrderID]=Orders[[#This Row],[OrderID]]))))</f>
        <v>Beverage+Hot Meal</v>
      </c>
    </row>
    <row r="178" spans="1:14" x14ac:dyDescent="0.3">
      <c r="A178" t="s">
        <v>214</v>
      </c>
      <c r="B178" s="1">
        <v>45887.341631944437</v>
      </c>
      <c r="C178" t="s">
        <v>27</v>
      </c>
      <c r="D178" t="s">
        <v>28</v>
      </c>
      <c r="E178" t="s">
        <v>11</v>
      </c>
      <c r="F178" t="s">
        <v>12</v>
      </c>
      <c r="G178">
        <v>0.04</v>
      </c>
      <c r="H178" s="8">
        <f>SUMIFS(OrderLines[LineNetAmount],OrderLines[OrderID],Orders[[#This Row],[OrderID]])</f>
        <v>145.91039999999998</v>
      </c>
      <c r="I178" t="str">
        <f>IF(COUNTIFS(OrderLines[OrderID],Orders[[#This Row],[OrderID]],OrderLines[Category],"Beverage"),"yes","no")</f>
        <v>yes</v>
      </c>
      <c r="J178" t="str">
        <f>IF(AND(COUNTIFS(OrderLines[OrderID],Orders[[#This Row],[OrderID]],OrderLines[Category],"Hot Meal"),Orders[[#This Row],[has beverage]]="yes"),"combo","single")</f>
        <v>single</v>
      </c>
      <c r="K178" s="8" t="str" cm="1">
        <f t="array" ref="K178">IF((SUMPRODUCT(OrderLines[UnitPrice],OrderLines[Qty],--(OrderLines[OrderID]=Orders[[#This Row],[OrderID]]))-Orders[[#This Row],[Revenue]])&gt;40,"high disc","ok")</f>
        <v>ok</v>
      </c>
      <c r="L178">
        <f>SUMIFS(OrderLines[Food Cost],OrderLines[OrderID],Orders[[#This Row],[OrderID]])</f>
        <v>76.47</v>
      </c>
      <c r="M178" s="8">
        <f>Orders[[#This Row],[Revenue]]-Orders[[#This Row],[total cost]]</f>
        <v>69.440399999999983</v>
      </c>
      <c r="N178" t="str" cm="1">
        <f t="array" ref="N178">_xlfn.TEXTJOIN("+",,_xlfn._xlws.SORT(_xlfn.UNIQUE(_xlfn._xlws.FILTER(OrderLines[Category],OrderLines[OrderID]=Orders[[#This Row],[OrderID]]))))</f>
        <v>Beverage+Dessert+Snack</v>
      </c>
    </row>
    <row r="179" spans="1:14" x14ac:dyDescent="0.3">
      <c r="A179" t="s">
        <v>215</v>
      </c>
      <c r="B179" s="1">
        <v>45848.994432870371</v>
      </c>
      <c r="C179" t="s">
        <v>15</v>
      </c>
      <c r="D179" t="s">
        <v>28</v>
      </c>
      <c r="E179" t="s">
        <v>11</v>
      </c>
      <c r="F179" t="s">
        <v>18</v>
      </c>
      <c r="G179">
        <v>0.06</v>
      </c>
      <c r="H179" s="8">
        <f>SUMIFS(OrderLines[LineNetAmount],OrderLines[OrderID],Orders[[#This Row],[OrderID]])</f>
        <v>976.71639999999991</v>
      </c>
      <c r="I179" t="str">
        <f>IF(COUNTIFS(OrderLines[OrderID],Orders[[#This Row],[OrderID]],OrderLines[Category],"Beverage"),"yes","no")</f>
        <v>no</v>
      </c>
      <c r="J179" t="str">
        <f>IF(AND(COUNTIFS(OrderLines[OrderID],Orders[[#This Row],[OrderID]],OrderLines[Category],"Hot Meal"),Orders[[#This Row],[has beverage]]="yes"),"combo","single")</f>
        <v>single</v>
      </c>
      <c r="K179" s="8" t="str" cm="1">
        <f t="array" ref="K179">IF((SUMPRODUCT(OrderLines[UnitPrice],OrderLines[Qty],--(OrderLines[OrderID]=Orders[[#This Row],[OrderID]]))-Orders[[#This Row],[Revenue]])&gt;40,"high disc","ok")</f>
        <v>high disc</v>
      </c>
      <c r="L179">
        <f>SUMIFS(OrderLines[Food Cost],OrderLines[OrderID],Orders[[#This Row],[OrderID]])</f>
        <v>478.83999999999992</v>
      </c>
      <c r="M179" s="8">
        <f>Orders[[#This Row],[Revenue]]-Orders[[#This Row],[total cost]]</f>
        <v>497.87639999999999</v>
      </c>
      <c r="N179" t="str" cm="1">
        <f t="array" ref="N179">_xlfn.TEXTJOIN("+",,_xlfn._xlws.SORT(_xlfn.UNIQUE(_xlfn._xlws.FILTER(OrderLines[Category],OrderLines[OrderID]=Orders[[#This Row],[OrderID]]))))</f>
        <v>Dessert+Hot Meal</v>
      </c>
    </row>
    <row r="180" spans="1:14" x14ac:dyDescent="0.3">
      <c r="A180" t="s">
        <v>216</v>
      </c>
      <c r="B180" s="1">
        <v>45840.74009259259</v>
      </c>
      <c r="C180" t="s">
        <v>9</v>
      </c>
      <c r="D180" t="s">
        <v>28</v>
      </c>
      <c r="E180" t="s">
        <v>21</v>
      </c>
      <c r="F180" t="s">
        <v>18</v>
      </c>
      <c r="G180">
        <v>0.15</v>
      </c>
      <c r="H180" s="8">
        <f>SUMIFS(OrderLines[LineNetAmount],OrderLines[OrderID],Orders[[#This Row],[OrderID]])</f>
        <v>339.08199999999999</v>
      </c>
      <c r="I180" t="str">
        <f>IF(COUNTIFS(OrderLines[OrderID],Orders[[#This Row],[OrderID]],OrderLines[Category],"Beverage"),"yes","no")</f>
        <v>no</v>
      </c>
      <c r="J180" t="str">
        <f>IF(AND(COUNTIFS(OrderLines[OrderID],Orders[[#This Row],[OrderID]],OrderLines[Category],"Hot Meal"),Orders[[#This Row],[has beverage]]="yes"),"combo","single")</f>
        <v>single</v>
      </c>
      <c r="K180" s="8" t="str" cm="1">
        <f t="array" ref="K180">IF((SUMPRODUCT(OrderLines[UnitPrice],OrderLines[Qty],--(OrderLines[OrderID]=Orders[[#This Row],[OrderID]]))-Orders[[#This Row],[Revenue]])&gt;40,"high disc","ok")</f>
        <v>high disc</v>
      </c>
      <c r="L180">
        <f>SUMIFS(OrderLines[Food Cost],OrderLines[OrderID],Orders[[#This Row],[OrderID]])</f>
        <v>183.10000000000002</v>
      </c>
      <c r="M180" s="8">
        <f>Orders[[#This Row],[Revenue]]-Orders[[#This Row],[total cost]]</f>
        <v>155.98199999999997</v>
      </c>
      <c r="N180" t="str" cm="1">
        <f t="array" ref="N180">_xlfn.TEXTJOIN("+",,_xlfn._xlws.SORT(_xlfn.UNIQUE(_xlfn._xlws.FILTER(OrderLines[Category],OrderLines[OrderID]=Orders[[#This Row],[OrderID]]))))</f>
        <v>Hot Meal+Snack</v>
      </c>
    </row>
    <row r="181" spans="1:14" x14ac:dyDescent="0.3">
      <c r="A181" t="s">
        <v>217</v>
      </c>
      <c r="B181" s="1">
        <v>45846.515092592592</v>
      </c>
      <c r="C181" t="s">
        <v>15</v>
      </c>
      <c r="D181" t="s">
        <v>16</v>
      </c>
      <c r="E181" t="s">
        <v>21</v>
      </c>
      <c r="F181" t="s">
        <v>22</v>
      </c>
      <c r="G181">
        <v>0</v>
      </c>
      <c r="H181" s="8">
        <f>SUMIFS(OrderLines[LineNetAmount],OrderLines[OrderID],Orders[[#This Row],[OrderID]])</f>
        <v>28.43</v>
      </c>
      <c r="I181" t="str">
        <f>IF(COUNTIFS(OrderLines[OrderID],Orders[[#This Row],[OrderID]],OrderLines[Category],"Beverage"),"yes","no")</f>
        <v>yes</v>
      </c>
      <c r="J181" t="str">
        <f>IF(AND(COUNTIFS(OrderLines[OrderID],Orders[[#This Row],[OrderID]],OrderLines[Category],"Hot Meal"),Orders[[#This Row],[has beverage]]="yes"),"combo","single")</f>
        <v>single</v>
      </c>
      <c r="K181" s="8" t="str" cm="1">
        <f t="array" ref="K181">IF((SUMPRODUCT(OrderLines[UnitPrice],OrderLines[Qty],--(OrderLines[OrderID]=Orders[[#This Row],[OrderID]]))-Orders[[#This Row],[Revenue]])&gt;40,"high disc","ok")</f>
        <v>ok</v>
      </c>
      <c r="L181">
        <f>SUMIFS(OrderLines[Food Cost],OrderLines[OrderID],Orders[[#This Row],[OrderID]])</f>
        <v>13.89</v>
      </c>
      <c r="M181" s="8">
        <f>Orders[[#This Row],[Revenue]]-Orders[[#This Row],[total cost]]</f>
        <v>14.54</v>
      </c>
      <c r="N181" t="str" cm="1">
        <f t="array" ref="N181">_xlfn.TEXTJOIN("+",,_xlfn._xlws.SORT(_xlfn.UNIQUE(_xlfn._xlws.FILTER(OrderLines[Category],OrderLines[OrderID]=Orders[[#This Row],[OrderID]]))))</f>
        <v>Beverage</v>
      </c>
    </row>
    <row r="182" spans="1:14" x14ac:dyDescent="0.3">
      <c r="A182" t="s">
        <v>218</v>
      </c>
      <c r="B182" s="1">
        <v>45847.047835648147</v>
      </c>
      <c r="C182" t="s">
        <v>15</v>
      </c>
      <c r="D182" t="s">
        <v>10</v>
      </c>
      <c r="E182" t="s">
        <v>11</v>
      </c>
      <c r="F182" t="s">
        <v>12</v>
      </c>
      <c r="G182">
        <v>0.09</v>
      </c>
      <c r="H182" s="8">
        <f>SUMIFS(OrderLines[LineNetAmount],OrderLines[OrderID],Orders[[#This Row],[OrderID]])</f>
        <v>1182.9727000000003</v>
      </c>
      <c r="I182" t="str">
        <f>IF(COUNTIFS(OrderLines[OrderID],Orders[[#This Row],[OrderID]],OrderLines[Category],"Beverage"),"yes","no")</f>
        <v>no</v>
      </c>
      <c r="J182" t="str">
        <f>IF(AND(COUNTIFS(OrderLines[OrderID],Orders[[#This Row],[OrderID]],OrderLines[Category],"Hot Meal"),Orders[[#This Row],[has beverage]]="yes"),"combo","single")</f>
        <v>single</v>
      </c>
      <c r="K182" s="8" t="str" cm="1">
        <f t="array" ref="K182">IF((SUMPRODUCT(OrderLines[UnitPrice],OrderLines[Qty],--(OrderLines[OrderID]=Orders[[#This Row],[OrderID]]))-Orders[[#This Row],[Revenue]])&gt;40,"high disc","ok")</f>
        <v>high disc</v>
      </c>
      <c r="L182">
        <f>SUMIFS(OrderLines[Food Cost],OrderLines[OrderID],Orders[[#This Row],[OrderID]])</f>
        <v>580.25999999999988</v>
      </c>
      <c r="M182" s="8">
        <f>Orders[[#This Row],[Revenue]]-Orders[[#This Row],[total cost]]</f>
        <v>602.71270000000038</v>
      </c>
      <c r="N182" t="str" cm="1">
        <f t="array" ref="N182">_xlfn.TEXTJOIN("+",,_xlfn._xlws.SORT(_xlfn.UNIQUE(_xlfn._xlws.FILTER(OrderLines[Category],OrderLines[OrderID]=Orders[[#This Row],[OrderID]]))))</f>
        <v>Dessert+Hot Meal</v>
      </c>
    </row>
    <row r="183" spans="1:14" x14ac:dyDescent="0.3">
      <c r="A183" t="s">
        <v>219</v>
      </c>
      <c r="B183" s="1">
        <v>45869.994745370372</v>
      </c>
      <c r="C183" t="s">
        <v>9</v>
      </c>
      <c r="D183" t="s">
        <v>10</v>
      </c>
      <c r="E183" t="s">
        <v>21</v>
      </c>
      <c r="F183" t="s">
        <v>18</v>
      </c>
      <c r="G183">
        <v>0</v>
      </c>
      <c r="H183" s="8">
        <f>SUMIFS(OrderLines[LineNetAmount],OrderLines[OrderID],Orders[[#This Row],[OrderID]])</f>
        <v>52.45</v>
      </c>
      <c r="I183" t="str">
        <f>IF(COUNTIFS(OrderLines[OrderID],Orders[[#This Row],[OrderID]],OrderLines[Category],"Beverage"),"yes","no")</f>
        <v>no</v>
      </c>
      <c r="J183" t="str">
        <f>IF(AND(COUNTIFS(OrderLines[OrderID],Orders[[#This Row],[OrderID]],OrderLines[Category],"Hot Meal"),Orders[[#This Row],[has beverage]]="yes"),"combo","single")</f>
        <v>single</v>
      </c>
      <c r="K183" s="8" t="str" cm="1">
        <f t="array" ref="K183">IF((SUMPRODUCT(OrderLines[UnitPrice],OrderLines[Qty],--(OrderLines[OrderID]=Orders[[#This Row],[OrderID]]))-Orders[[#This Row],[Revenue]])&gt;40,"high disc","ok")</f>
        <v>ok</v>
      </c>
      <c r="L183">
        <f>SUMIFS(OrderLines[Food Cost],OrderLines[OrderID],Orders[[#This Row],[OrderID]])</f>
        <v>25.8</v>
      </c>
      <c r="M183" s="8">
        <f>Orders[[#This Row],[Revenue]]-Orders[[#This Row],[total cost]]</f>
        <v>26.650000000000002</v>
      </c>
      <c r="N183" t="str" cm="1">
        <f t="array" ref="N183">_xlfn.TEXTJOIN("+",,_xlfn._xlws.SORT(_xlfn.UNIQUE(_xlfn._xlws.FILTER(OrderLines[Category],OrderLines[OrderID]=Orders[[#This Row],[OrderID]]))))</f>
        <v>Snack</v>
      </c>
    </row>
    <row r="184" spans="1:14" x14ac:dyDescent="0.3">
      <c r="A184" t="s">
        <v>220</v>
      </c>
      <c r="B184" s="1">
        <v>45842.735451388893</v>
      </c>
      <c r="C184" t="s">
        <v>9</v>
      </c>
      <c r="D184" t="s">
        <v>28</v>
      </c>
      <c r="E184" t="s">
        <v>17</v>
      </c>
      <c r="F184" t="s">
        <v>18</v>
      </c>
      <c r="G184">
        <v>0.04</v>
      </c>
      <c r="H184" s="8">
        <f>SUMIFS(OrderLines[LineNetAmount],OrderLines[OrderID],Orders[[#This Row],[OrderID]])</f>
        <v>150.70079999999999</v>
      </c>
      <c r="I184" t="str">
        <f>IF(COUNTIFS(OrderLines[OrderID],Orders[[#This Row],[OrderID]],OrderLines[Category],"Beverage"),"yes","no")</f>
        <v>yes</v>
      </c>
      <c r="J184" t="str">
        <f>IF(AND(COUNTIFS(OrderLines[OrderID],Orders[[#This Row],[OrderID]],OrderLines[Category],"Hot Meal"),Orders[[#This Row],[has beverage]]="yes"),"combo","single")</f>
        <v>single</v>
      </c>
      <c r="K184" s="8" t="str" cm="1">
        <f t="array" ref="K184">IF((SUMPRODUCT(OrderLines[UnitPrice],OrderLines[Qty],--(OrderLines[OrderID]=Orders[[#This Row],[OrderID]]))-Orders[[#This Row],[Revenue]])&gt;40,"high disc","ok")</f>
        <v>ok</v>
      </c>
      <c r="L184">
        <f>SUMIFS(OrderLines[Food Cost],OrderLines[OrderID],Orders[[#This Row],[OrderID]])</f>
        <v>66.22</v>
      </c>
      <c r="M184" s="8">
        <f>Orders[[#This Row],[Revenue]]-Orders[[#This Row],[total cost]]</f>
        <v>84.480799999999988</v>
      </c>
      <c r="N184" t="str" cm="1">
        <f t="array" ref="N184">_xlfn.TEXTJOIN("+",,_xlfn._xlws.SORT(_xlfn.UNIQUE(_xlfn._xlws.FILTER(OrderLines[Category],OrderLines[OrderID]=Orders[[#This Row],[OrderID]]))))</f>
        <v>Beverage</v>
      </c>
    </row>
    <row r="185" spans="1:14" x14ac:dyDescent="0.3">
      <c r="A185" t="s">
        <v>221</v>
      </c>
      <c r="B185" s="1">
        <v>45861.336724537039</v>
      </c>
      <c r="C185" t="s">
        <v>9</v>
      </c>
      <c r="D185" t="s">
        <v>28</v>
      </c>
      <c r="E185" t="s">
        <v>21</v>
      </c>
      <c r="F185" t="s">
        <v>12</v>
      </c>
      <c r="G185">
        <v>0.1</v>
      </c>
      <c r="H185" s="8">
        <f>SUMIFS(OrderLines[LineNetAmount],OrderLines[OrderID],Orders[[#This Row],[OrderID]])</f>
        <v>130.78800000000001</v>
      </c>
      <c r="I185" t="str">
        <f>IF(COUNTIFS(OrderLines[OrderID],Orders[[#This Row],[OrderID]],OrderLines[Category],"Beverage"),"yes","no")</f>
        <v>no</v>
      </c>
      <c r="J185" t="str">
        <f>IF(AND(COUNTIFS(OrderLines[OrderID],Orders[[#This Row],[OrderID]],OrderLines[Category],"Hot Meal"),Orders[[#This Row],[has beverage]]="yes"),"combo","single")</f>
        <v>single</v>
      </c>
      <c r="K185" s="8" t="str" cm="1">
        <f t="array" ref="K185">IF((SUMPRODUCT(OrderLines[UnitPrice],OrderLines[Qty],--(OrderLines[OrderID]=Orders[[#This Row],[OrderID]]))-Orders[[#This Row],[Revenue]])&gt;40,"high disc","ok")</f>
        <v>ok</v>
      </c>
      <c r="L185">
        <f>SUMIFS(OrderLines[Food Cost],OrderLines[OrderID],Orders[[#This Row],[OrderID]])</f>
        <v>71.3</v>
      </c>
      <c r="M185" s="8">
        <f>Orders[[#This Row],[Revenue]]-Orders[[#This Row],[total cost]]</f>
        <v>59.488000000000014</v>
      </c>
      <c r="N185" t="str" cm="1">
        <f t="array" ref="N185">_xlfn.TEXTJOIN("+",,_xlfn._xlws.SORT(_xlfn.UNIQUE(_xlfn._xlws.FILTER(OrderLines[Category],OrderLines[OrderID]=Orders[[#This Row],[OrderID]]))))</f>
        <v>Dessert+Snack</v>
      </c>
    </row>
    <row r="186" spans="1:14" x14ac:dyDescent="0.3">
      <c r="A186" t="s">
        <v>222</v>
      </c>
      <c r="B186" s="1">
        <v>45849.008275462962</v>
      </c>
      <c r="C186" t="s">
        <v>15</v>
      </c>
      <c r="D186" t="s">
        <v>28</v>
      </c>
      <c r="E186" t="s">
        <v>11</v>
      </c>
      <c r="F186" t="s">
        <v>12</v>
      </c>
      <c r="G186">
        <v>0.06</v>
      </c>
      <c r="H186" s="8">
        <f>SUMIFS(OrderLines[LineNetAmount],OrderLines[OrderID],Orders[[#This Row],[OrderID]])</f>
        <v>138.85679999999999</v>
      </c>
      <c r="I186" t="str">
        <f>IF(COUNTIFS(OrderLines[OrderID],Orders[[#This Row],[OrderID]],OrderLines[Category],"Beverage"),"yes","no")</f>
        <v>yes</v>
      </c>
      <c r="J186" t="str">
        <f>IF(AND(COUNTIFS(OrderLines[OrderID],Orders[[#This Row],[OrderID]],OrderLines[Category],"Hot Meal"),Orders[[#This Row],[has beverage]]="yes"),"combo","single")</f>
        <v>single</v>
      </c>
      <c r="K186" s="8" t="str" cm="1">
        <f t="array" ref="K186">IF((SUMPRODUCT(OrderLines[UnitPrice],OrderLines[Qty],--(OrderLines[OrderID]=Orders[[#This Row],[OrderID]]))-Orders[[#This Row],[Revenue]])&gt;40,"high disc","ok")</f>
        <v>ok</v>
      </c>
      <c r="L186">
        <f>SUMIFS(OrderLines[Food Cost],OrderLines[OrderID],Orders[[#This Row],[OrderID]])</f>
        <v>72.95</v>
      </c>
      <c r="M186" s="8">
        <f>Orders[[#This Row],[Revenue]]-Orders[[#This Row],[total cost]]</f>
        <v>65.90679999999999</v>
      </c>
      <c r="N186" t="str" cm="1">
        <f t="array" ref="N186">_xlfn.TEXTJOIN("+",,_xlfn._xlws.SORT(_xlfn.UNIQUE(_xlfn._xlws.FILTER(OrderLines[Category],OrderLines[OrderID]=Orders[[#This Row],[OrderID]]))))</f>
        <v>Beverage+Dessert+Snack</v>
      </c>
    </row>
    <row r="187" spans="1:14" x14ac:dyDescent="0.3">
      <c r="A187" t="s">
        <v>223</v>
      </c>
      <c r="B187" s="1">
        <v>45842.060497685183</v>
      </c>
      <c r="C187" t="s">
        <v>27</v>
      </c>
      <c r="D187" t="s">
        <v>16</v>
      </c>
      <c r="E187" t="s">
        <v>17</v>
      </c>
      <c r="F187" t="s">
        <v>12</v>
      </c>
      <c r="G187">
        <v>0.02</v>
      </c>
      <c r="H187" s="8">
        <f>SUMIFS(OrderLines[LineNetAmount],OrderLines[OrderID],Orders[[#This Row],[OrderID]])</f>
        <v>59.4664</v>
      </c>
      <c r="I187" t="str">
        <f>IF(COUNTIFS(OrderLines[OrderID],Orders[[#This Row],[OrderID]],OrderLines[Category],"Beverage"),"yes","no")</f>
        <v>yes</v>
      </c>
      <c r="J187" t="str">
        <f>IF(AND(COUNTIFS(OrderLines[OrderID],Orders[[#This Row],[OrderID]],OrderLines[Category],"Hot Meal"),Orders[[#This Row],[has beverage]]="yes"),"combo","single")</f>
        <v>single</v>
      </c>
      <c r="K187" s="8" t="str" cm="1">
        <f t="array" ref="K187">IF((SUMPRODUCT(OrderLines[UnitPrice],OrderLines[Qty],--(OrderLines[OrderID]=Orders[[#This Row],[OrderID]]))-Orders[[#This Row],[Revenue]])&gt;40,"high disc","ok")</f>
        <v>ok</v>
      </c>
      <c r="L187">
        <f>SUMIFS(OrderLines[Food Cost],OrderLines[OrderID],Orders[[#This Row],[OrderID]])</f>
        <v>28.36</v>
      </c>
      <c r="M187" s="8">
        <f>Orders[[#This Row],[Revenue]]-Orders[[#This Row],[total cost]]</f>
        <v>31.106400000000001</v>
      </c>
      <c r="N187" t="str" cm="1">
        <f t="array" ref="N187">_xlfn.TEXTJOIN("+",,_xlfn._xlws.SORT(_xlfn.UNIQUE(_xlfn._xlws.FILTER(OrderLines[Category],OrderLines[OrderID]=Orders[[#This Row],[OrderID]]))))</f>
        <v>Beverage</v>
      </c>
    </row>
    <row r="188" spans="1:14" x14ac:dyDescent="0.3">
      <c r="A188" t="s">
        <v>224</v>
      </c>
      <c r="B188" s="1">
        <v>45874.053333333337</v>
      </c>
      <c r="C188" t="s">
        <v>15</v>
      </c>
      <c r="D188" t="s">
        <v>16</v>
      </c>
      <c r="E188" t="s">
        <v>17</v>
      </c>
      <c r="F188" t="s">
        <v>12</v>
      </c>
      <c r="G188">
        <v>0.03</v>
      </c>
      <c r="H188" s="8">
        <f>SUMIFS(OrderLines[LineNetAmount],OrderLines[OrderID],Orders[[#This Row],[OrderID]])</f>
        <v>403.25810000000001</v>
      </c>
      <c r="I188" t="str">
        <f>IF(COUNTIFS(OrderLines[OrderID],Orders[[#This Row],[OrderID]],OrderLines[Category],"Beverage"),"yes","no")</f>
        <v>yes</v>
      </c>
      <c r="J188" t="str">
        <f>IF(AND(COUNTIFS(OrderLines[OrderID],Orders[[#This Row],[OrderID]],OrderLines[Category],"Hot Meal"),Orders[[#This Row],[has beverage]]="yes"),"combo","single")</f>
        <v>combo</v>
      </c>
      <c r="K188" s="8" t="str" cm="1">
        <f t="array" ref="K188">IF((SUMPRODUCT(OrderLines[UnitPrice],OrderLines[Qty],--(OrderLines[OrderID]=Orders[[#This Row],[OrderID]]))-Orders[[#This Row],[Revenue]])&gt;40,"high disc","ok")</f>
        <v>ok</v>
      </c>
      <c r="L188">
        <f>SUMIFS(OrderLines[Food Cost],OrderLines[OrderID],Orders[[#This Row],[OrderID]])</f>
        <v>177.45999999999998</v>
      </c>
      <c r="M188" s="8">
        <f>Orders[[#This Row],[Revenue]]-Orders[[#This Row],[total cost]]</f>
        <v>225.79810000000003</v>
      </c>
      <c r="N188" t="str" cm="1">
        <f t="array" ref="N188">_xlfn.TEXTJOIN("+",,_xlfn._xlws.SORT(_xlfn.UNIQUE(_xlfn._xlws.FILTER(OrderLines[Category],OrderLines[OrderID]=Orders[[#This Row],[OrderID]]))))</f>
        <v>Beverage+Dessert+Hot Meal+Snack</v>
      </c>
    </row>
    <row r="189" spans="1:14" x14ac:dyDescent="0.3">
      <c r="A189" t="s">
        <v>225</v>
      </c>
      <c r="B189" s="1">
        <v>45890.821134259262</v>
      </c>
      <c r="C189" t="s">
        <v>15</v>
      </c>
      <c r="D189" t="s">
        <v>10</v>
      </c>
      <c r="E189" t="s">
        <v>11</v>
      </c>
      <c r="F189" t="s">
        <v>18</v>
      </c>
      <c r="G189">
        <v>0.09</v>
      </c>
      <c r="H189" s="8">
        <f>SUMIFS(OrderLines[LineNetAmount],OrderLines[OrderID],Orders[[#This Row],[OrderID]])</f>
        <v>186.86850000000001</v>
      </c>
      <c r="I189" t="str">
        <f>IF(COUNTIFS(OrderLines[OrderID],Orders[[#This Row],[OrderID]],OrderLines[Category],"Beverage"),"yes","no")</f>
        <v>yes</v>
      </c>
      <c r="J189" t="str">
        <f>IF(AND(COUNTIFS(OrderLines[OrderID],Orders[[#This Row],[OrderID]],OrderLines[Category],"Hot Meal"),Orders[[#This Row],[has beverage]]="yes"),"combo","single")</f>
        <v>single</v>
      </c>
      <c r="K189" s="8" t="str" cm="1">
        <f t="array" ref="K189">IF((SUMPRODUCT(OrderLines[UnitPrice],OrderLines[Qty],--(OrderLines[OrderID]=Orders[[#This Row],[OrderID]]))-Orders[[#This Row],[Revenue]])&gt;40,"high disc","ok")</f>
        <v>ok</v>
      </c>
      <c r="L189">
        <f>SUMIFS(OrderLines[Food Cost],OrderLines[OrderID],Orders[[#This Row],[OrderID]])</f>
        <v>93.18</v>
      </c>
      <c r="M189" s="8">
        <f>Orders[[#This Row],[Revenue]]-Orders[[#This Row],[total cost]]</f>
        <v>93.688500000000005</v>
      </c>
      <c r="N189" t="str" cm="1">
        <f t="array" ref="N189">_xlfn.TEXTJOIN("+",,_xlfn._xlws.SORT(_xlfn.UNIQUE(_xlfn._xlws.FILTER(OrderLines[Category],OrderLines[OrderID]=Orders[[#This Row],[OrderID]]))))</f>
        <v>Beverage+Snack</v>
      </c>
    </row>
    <row r="190" spans="1:14" x14ac:dyDescent="0.3">
      <c r="A190" t="s">
        <v>226</v>
      </c>
      <c r="B190" s="1">
        <v>45855.75377314815</v>
      </c>
      <c r="C190" t="s">
        <v>27</v>
      </c>
      <c r="D190" t="s">
        <v>28</v>
      </c>
      <c r="E190" t="s">
        <v>11</v>
      </c>
      <c r="F190" t="s">
        <v>18</v>
      </c>
      <c r="G190">
        <v>0.03</v>
      </c>
      <c r="H190" s="8">
        <f>SUMIFS(OrderLines[LineNetAmount],OrderLines[OrderID],Orders[[#This Row],[OrderID]])</f>
        <v>584.85180000000003</v>
      </c>
      <c r="I190" t="str">
        <f>IF(COUNTIFS(OrderLines[OrderID],Orders[[#This Row],[OrderID]],OrderLines[Category],"Beverage"),"yes","no")</f>
        <v>yes</v>
      </c>
      <c r="J190" t="str">
        <f>IF(AND(COUNTIFS(OrderLines[OrderID],Orders[[#This Row],[OrderID]],OrderLines[Category],"Hot Meal"),Orders[[#This Row],[has beverage]]="yes"),"combo","single")</f>
        <v>combo</v>
      </c>
      <c r="K190" s="8" t="str" cm="1">
        <f t="array" ref="K190">IF((SUMPRODUCT(OrderLines[UnitPrice],OrderLines[Qty],--(OrderLines[OrderID]=Orders[[#This Row],[OrderID]]))-Orders[[#This Row],[Revenue]])&gt;40,"high disc","ok")</f>
        <v>ok</v>
      </c>
      <c r="L190">
        <f>SUMIFS(OrderLines[Food Cost],OrderLines[OrderID],Orders[[#This Row],[OrderID]])</f>
        <v>275.97000000000003</v>
      </c>
      <c r="M190" s="8">
        <f>Orders[[#This Row],[Revenue]]-Orders[[#This Row],[total cost]]</f>
        <v>308.8818</v>
      </c>
      <c r="N190" t="str" cm="1">
        <f t="array" ref="N190">_xlfn.TEXTJOIN("+",,_xlfn._xlws.SORT(_xlfn.UNIQUE(_xlfn._xlws.FILTER(OrderLines[Category],OrderLines[OrderID]=Orders[[#This Row],[OrderID]]))))</f>
        <v>Beverage+Hot Meal+Snack</v>
      </c>
    </row>
    <row r="191" spans="1:14" x14ac:dyDescent="0.3">
      <c r="A191" t="s">
        <v>227</v>
      </c>
      <c r="B191" s="1">
        <v>45862.632245370369</v>
      </c>
      <c r="C191" t="s">
        <v>15</v>
      </c>
      <c r="D191" t="s">
        <v>10</v>
      </c>
      <c r="E191" t="s">
        <v>17</v>
      </c>
      <c r="F191" t="s">
        <v>22</v>
      </c>
      <c r="G191">
        <v>7.0000000000000007E-2</v>
      </c>
      <c r="H191" s="8">
        <f>SUMIFS(OrderLines[LineNetAmount],OrderLines[OrderID],Orders[[#This Row],[OrderID]])</f>
        <v>136.15199999999999</v>
      </c>
      <c r="I191" t="str">
        <f>IF(COUNTIFS(OrderLines[OrderID],Orders[[#This Row],[OrderID]],OrderLines[Category],"Beverage"),"yes","no")</f>
        <v>no</v>
      </c>
      <c r="J191" t="str">
        <f>IF(AND(COUNTIFS(OrderLines[OrderID],Orders[[#This Row],[OrderID]],OrderLines[Category],"Hot Meal"),Orders[[#This Row],[has beverage]]="yes"),"combo","single")</f>
        <v>single</v>
      </c>
      <c r="K191" s="8" t="str" cm="1">
        <f t="array" ref="K191">IF((SUMPRODUCT(OrderLines[UnitPrice],OrderLines[Qty],--(OrderLines[OrderID]=Orders[[#This Row],[OrderID]]))-Orders[[#This Row],[Revenue]])&gt;40,"high disc","ok")</f>
        <v>ok</v>
      </c>
      <c r="L191">
        <f>SUMIFS(OrderLines[Food Cost],OrderLines[OrderID],Orders[[#This Row],[OrderID]])</f>
        <v>80.92</v>
      </c>
      <c r="M191" s="8">
        <f>Orders[[#This Row],[Revenue]]-Orders[[#This Row],[total cost]]</f>
        <v>55.231999999999985</v>
      </c>
      <c r="N191" t="str" cm="1">
        <f t="array" ref="N191">_xlfn.TEXTJOIN("+",,_xlfn._xlws.SORT(_xlfn.UNIQUE(_xlfn._xlws.FILTER(OrderLines[Category],OrderLines[OrderID]=Orders[[#This Row],[OrderID]]))))</f>
        <v>Hot Meal</v>
      </c>
    </row>
    <row r="192" spans="1:14" x14ac:dyDescent="0.3">
      <c r="A192" t="s">
        <v>228</v>
      </c>
      <c r="B192" s="1">
        <v>45884.023206018523</v>
      </c>
      <c r="C192" t="s">
        <v>9</v>
      </c>
      <c r="D192" t="s">
        <v>16</v>
      </c>
      <c r="E192" t="s">
        <v>21</v>
      </c>
      <c r="F192" t="s">
        <v>12</v>
      </c>
      <c r="G192">
        <v>0.06</v>
      </c>
      <c r="H192" s="8">
        <f>SUMIFS(OrderLines[LineNetAmount],OrderLines[OrderID],Orders[[#This Row],[OrderID]])</f>
        <v>255.2946</v>
      </c>
      <c r="I192" t="str">
        <f>IF(COUNTIFS(OrderLines[OrderID],Orders[[#This Row],[OrderID]],OrderLines[Category],"Beverage"),"yes","no")</f>
        <v>no</v>
      </c>
      <c r="J192" t="str">
        <f>IF(AND(COUNTIFS(OrderLines[OrderID],Orders[[#This Row],[OrderID]],OrderLines[Category],"Hot Meal"),Orders[[#This Row],[has beverage]]="yes"),"combo","single")</f>
        <v>single</v>
      </c>
      <c r="K192" s="8" t="str" cm="1">
        <f t="array" ref="K192">IF((SUMPRODUCT(OrderLines[UnitPrice],OrderLines[Qty],--(OrderLines[OrderID]=Orders[[#This Row],[OrderID]]))-Orders[[#This Row],[Revenue]])&gt;40,"high disc","ok")</f>
        <v>ok</v>
      </c>
      <c r="L192">
        <f>SUMIFS(OrderLines[Food Cost],OrderLines[OrderID],Orders[[#This Row],[OrderID]])</f>
        <v>132.63999999999999</v>
      </c>
      <c r="M192" s="8">
        <f>Orders[[#This Row],[Revenue]]-Orders[[#This Row],[total cost]]</f>
        <v>122.65460000000002</v>
      </c>
      <c r="N192" t="str" cm="1">
        <f t="array" ref="N192">_xlfn.TEXTJOIN("+",,_xlfn._xlws.SORT(_xlfn.UNIQUE(_xlfn._xlws.FILTER(OrderLines[Category],OrderLines[OrderID]=Orders[[#This Row],[OrderID]]))))</f>
        <v>Dessert+Snack</v>
      </c>
    </row>
    <row r="193" spans="1:14" x14ac:dyDescent="0.3">
      <c r="A193" t="s">
        <v>229</v>
      </c>
      <c r="B193" s="1">
        <v>45840.162395833337</v>
      </c>
      <c r="C193" t="s">
        <v>15</v>
      </c>
      <c r="D193" t="s">
        <v>16</v>
      </c>
      <c r="E193" t="s">
        <v>11</v>
      </c>
      <c r="F193" t="s">
        <v>12</v>
      </c>
      <c r="G193">
        <v>0.03</v>
      </c>
      <c r="H193" s="8">
        <f>SUMIFS(OrderLines[LineNetAmount],OrderLines[OrderID],Orders[[#This Row],[OrderID]])</f>
        <v>498.40540000000004</v>
      </c>
      <c r="I193" t="str">
        <f>IF(COUNTIFS(OrderLines[OrderID],Orders[[#This Row],[OrderID]],OrderLines[Category],"Beverage"),"yes","no")</f>
        <v>no</v>
      </c>
      <c r="J193" t="str">
        <f>IF(AND(COUNTIFS(OrderLines[OrderID],Orders[[#This Row],[OrderID]],OrderLines[Category],"Hot Meal"),Orders[[#This Row],[has beverage]]="yes"),"combo","single")</f>
        <v>single</v>
      </c>
      <c r="K193" s="8" t="str" cm="1">
        <f t="array" ref="K193">IF((SUMPRODUCT(OrderLines[UnitPrice],OrderLines[Qty],--(OrderLines[OrderID]=Orders[[#This Row],[OrderID]]))-Orders[[#This Row],[Revenue]])&gt;40,"high disc","ok")</f>
        <v>ok</v>
      </c>
      <c r="L193">
        <f>SUMIFS(OrderLines[Food Cost],OrderLines[OrderID],Orders[[#This Row],[OrderID]])</f>
        <v>242.48</v>
      </c>
      <c r="M193" s="8">
        <f>Orders[[#This Row],[Revenue]]-Orders[[#This Row],[total cost]]</f>
        <v>255.92540000000005</v>
      </c>
      <c r="N193" t="str" cm="1">
        <f t="array" ref="N193">_xlfn.TEXTJOIN("+",,_xlfn._xlws.SORT(_xlfn.UNIQUE(_xlfn._xlws.FILTER(OrderLines[Category],OrderLines[OrderID]=Orders[[#This Row],[OrderID]]))))</f>
        <v>Hot Meal</v>
      </c>
    </row>
    <row r="194" spans="1:14" x14ac:dyDescent="0.3">
      <c r="A194" t="s">
        <v>230</v>
      </c>
      <c r="B194" s="1">
        <v>45854.587905092587</v>
      </c>
      <c r="C194" t="s">
        <v>27</v>
      </c>
      <c r="D194" t="s">
        <v>16</v>
      </c>
      <c r="E194" t="s">
        <v>21</v>
      </c>
      <c r="F194" t="s">
        <v>22</v>
      </c>
      <c r="G194">
        <v>0.15</v>
      </c>
      <c r="H194" s="8">
        <f>SUMIFS(OrderLines[LineNetAmount],OrderLines[OrderID],Orders[[#This Row],[OrderID]])</f>
        <v>209.661</v>
      </c>
      <c r="I194" t="str">
        <f>IF(COUNTIFS(OrderLines[OrderID],Orders[[#This Row],[OrderID]],OrderLines[Category],"Beverage"),"yes","no")</f>
        <v>yes</v>
      </c>
      <c r="J194" t="str">
        <f>IF(AND(COUNTIFS(OrderLines[OrderID],Orders[[#This Row],[OrderID]],OrderLines[Category],"Hot Meal"),Orders[[#This Row],[has beverage]]="yes"),"combo","single")</f>
        <v>single</v>
      </c>
      <c r="K194" s="8" t="str" cm="1">
        <f t="array" ref="K194">IF((SUMPRODUCT(OrderLines[UnitPrice],OrderLines[Qty],--(OrderLines[OrderID]=Orders[[#This Row],[OrderID]]))-Orders[[#This Row],[Revenue]])&gt;40,"high disc","ok")</f>
        <v>ok</v>
      </c>
      <c r="L194">
        <f>SUMIFS(OrderLines[Food Cost],OrderLines[OrderID],Orders[[#This Row],[OrderID]])</f>
        <v>108.47</v>
      </c>
      <c r="M194" s="8">
        <f>Orders[[#This Row],[Revenue]]-Orders[[#This Row],[total cost]]</f>
        <v>101.191</v>
      </c>
      <c r="N194" t="str" cm="1">
        <f t="array" ref="N194">_xlfn.TEXTJOIN("+",,_xlfn._xlws.SORT(_xlfn.UNIQUE(_xlfn._xlws.FILTER(OrderLines[Category],OrderLines[OrderID]=Orders[[#This Row],[OrderID]]))))</f>
        <v>Beverage+Dessert+Snack</v>
      </c>
    </row>
    <row r="195" spans="1:14" x14ac:dyDescent="0.3">
      <c r="A195" t="s">
        <v>231</v>
      </c>
      <c r="B195" s="1">
        <v>45880.44630787037</v>
      </c>
      <c r="C195" t="s">
        <v>9</v>
      </c>
      <c r="D195" t="s">
        <v>16</v>
      </c>
      <c r="E195" t="s">
        <v>21</v>
      </c>
      <c r="F195" t="s">
        <v>12</v>
      </c>
      <c r="G195">
        <v>0.09</v>
      </c>
      <c r="H195" s="8">
        <f>SUMIFS(OrderLines[LineNetAmount],OrderLines[OrderID],Orders[[#This Row],[OrderID]])</f>
        <v>227.2088</v>
      </c>
      <c r="I195" t="str">
        <f>IF(COUNTIFS(OrderLines[OrderID],Orders[[#This Row],[OrderID]],OrderLines[Category],"Beverage"),"yes","no")</f>
        <v>yes</v>
      </c>
      <c r="J195" t="str">
        <f>IF(AND(COUNTIFS(OrderLines[OrderID],Orders[[#This Row],[OrderID]],OrderLines[Category],"Hot Meal"),Orders[[#This Row],[has beverage]]="yes"),"combo","single")</f>
        <v>single</v>
      </c>
      <c r="K195" s="8" t="str" cm="1">
        <f t="array" ref="K195">IF((SUMPRODUCT(OrderLines[UnitPrice],OrderLines[Qty],--(OrderLines[OrderID]=Orders[[#This Row],[OrderID]]))-Orders[[#This Row],[Revenue]])&gt;40,"high disc","ok")</f>
        <v>ok</v>
      </c>
      <c r="L195">
        <f>SUMIFS(OrderLines[Food Cost],OrderLines[OrderID],Orders[[#This Row],[OrderID]])</f>
        <v>115.58000000000001</v>
      </c>
      <c r="M195" s="8">
        <f>Orders[[#This Row],[Revenue]]-Orders[[#This Row],[total cost]]</f>
        <v>111.62879999999998</v>
      </c>
      <c r="N195" t="str" cm="1">
        <f t="array" ref="N195">_xlfn.TEXTJOIN("+",,_xlfn._xlws.SORT(_xlfn.UNIQUE(_xlfn._xlws.FILTER(OrderLines[Category],OrderLines[OrderID]=Orders[[#This Row],[OrderID]]))))</f>
        <v>Beverage+Snack</v>
      </c>
    </row>
    <row r="196" spans="1:14" x14ac:dyDescent="0.3">
      <c r="A196" t="s">
        <v>232</v>
      </c>
      <c r="B196" s="1">
        <v>45858.592048611114</v>
      </c>
      <c r="C196" t="s">
        <v>15</v>
      </c>
      <c r="D196" t="s">
        <v>16</v>
      </c>
      <c r="E196" t="s">
        <v>17</v>
      </c>
      <c r="F196" t="s">
        <v>22</v>
      </c>
      <c r="G196">
        <v>0</v>
      </c>
      <c r="H196" s="8">
        <f>SUMIFS(OrderLines[LineNetAmount],OrderLines[OrderID],Orders[[#This Row],[OrderID]])</f>
        <v>731</v>
      </c>
      <c r="I196" t="str">
        <f>IF(COUNTIFS(OrderLines[OrderID],Orders[[#This Row],[OrderID]],OrderLines[Category],"Beverage"),"yes","no")</f>
        <v>no</v>
      </c>
      <c r="J196" t="str">
        <f>IF(AND(COUNTIFS(OrderLines[OrderID],Orders[[#This Row],[OrderID]],OrderLines[Category],"Hot Meal"),Orders[[#This Row],[has beverage]]="yes"),"combo","single")</f>
        <v>single</v>
      </c>
      <c r="K196" s="8" t="str" cm="1">
        <f t="array" ref="K196">IF((SUMPRODUCT(OrderLines[UnitPrice],OrderLines[Qty],--(OrderLines[OrderID]=Orders[[#This Row],[OrderID]]))-Orders[[#This Row],[Revenue]])&gt;40,"high disc","ok")</f>
        <v>ok</v>
      </c>
      <c r="L196">
        <f>SUMIFS(OrderLines[Food Cost],OrderLines[OrderID],Orders[[#This Row],[OrderID]])</f>
        <v>336.66999999999996</v>
      </c>
      <c r="M196" s="8">
        <f>Orders[[#This Row],[Revenue]]-Orders[[#This Row],[total cost]]</f>
        <v>394.33000000000004</v>
      </c>
      <c r="N196" t="str" cm="1">
        <f t="array" ref="N196">_xlfn.TEXTJOIN("+",,_xlfn._xlws.SORT(_xlfn.UNIQUE(_xlfn._xlws.FILTER(OrderLines[Category],OrderLines[OrderID]=Orders[[#This Row],[OrderID]]))))</f>
        <v>Dessert+Hot Meal+Snack</v>
      </c>
    </row>
    <row r="197" spans="1:14" x14ac:dyDescent="0.3">
      <c r="A197" t="s">
        <v>233</v>
      </c>
      <c r="B197" s="1">
        <v>45876.27679398148</v>
      </c>
      <c r="C197" t="s">
        <v>9</v>
      </c>
      <c r="D197" t="s">
        <v>16</v>
      </c>
      <c r="E197" t="s">
        <v>11</v>
      </c>
      <c r="F197" t="s">
        <v>12</v>
      </c>
      <c r="G197">
        <v>7.0000000000000007E-2</v>
      </c>
      <c r="H197" s="8">
        <f>SUMIFS(OrderLines[LineNetAmount],OrderLines[OrderID],Orders[[#This Row],[OrderID]])</f>
        <v>318.80399999999997</v>
      </c>
      <c r="I197" t="str">
        <f>IF(COUNTIFS(OrderLines[OrderID],Orders[[#This Row],[OrderID]],OrderLines[Category],"Beverage"),"yes","no")</f>
        <v>no</v>
      </c>
      <c r="J197" t="str">
        <f>IF(AND(COUNTIFS(OrderLines[OrderID],Orders[[#This Row],[OrderID]],OrderLines[Category],"Hot Meal"),Orders[[#This Row],[has beverage]]="yes"),"combo","single")</f>
        <v>single</v>
      </c>
      <c r="K197" s="8" t="str" cm="1">
        <f t="array" ref="K197">IF((SUMPRODUCT(OrderLines[UnitPrice],OrderLines[Qty],--(OrderLines[OrderID]=Orders[[#This Row],[OrderID]]))-Orders[[#This Row],[Revenue]])&gt;40,"high disc","ok")</f>
        <v>ok</v>
      </c>
      <c r="L197">
        <f>SUMIFS(OrderLines[Food Cost],OrderLines[OrderID],Orders[[#This Row],[OrderID]])</f>
        <v>165.68</v>
      </c>
      <c r="M197" s="8">
        <f>Orders[[#This Row],[Revenue]]-Orders[[#This Row],[total cost]]</f>
        <v>153.12399999999997</v>
      </c>
      <c r="N197" t="str" cm="1">
        <f t="array" ref="N197">_xlfn.TEXTJOIN("+",,_xlfn._xlws.SORT(_xlfn.UNIQUE(_xlfn._xlws.FILTER(OrderLines[Category],OrderLines[OrderID]=Orders[[#This Row],[OrderID]]))))</f>
        <v>Dessert+Hot Meal+Snack</v>
      </c>
    </row>
    <row r="198" spans="1:14" x14ac:dyDescent="0.3">
      <c r="A198" t="s">
        <v>234</v>
      </c>
      <c r="B198" s="1">
        <v>45867.9140625</v>
      </c>
      <c r="C198" t="s">
        <v>27</v>
      </c>
      <c r="D198" t="s">
        <v>10</v>
      </c>
      <c r="E198" t="s">
        <v>21</v>
      </c>
      <c r="F198" t="s">
        <v>18</v>
      </c>
      <c r="G198">
        <v>0.03</v>
      </c>
      <c r="H198" s="8">
        <f>SUMIFS(OrderLines[LineNetAmount],OrderLines[OrderID],Orders[[#This Row],[OrderID]])</f>
        <v>308.06230000000005</v>
      </c>
      <c r="I198" t="str">
        <f>IF(COUNTIFS(OrderLines[OrderID],Orders[[#This Row],[OrderID]],OrderLines[Category],"Beverage"),"yes","no")</f>
        <v>yes</v>
      </c>
      <c r="J198" t="str">
        <f>IF(AND(COUNTIFS(OrderLines[OrderID],Orders[[#This Row],[OrderID]],OrderLines[Category],"Hot Meal"),Orders[[#This Row],[has beverage]]="yes"),"combo","single")</f>
        <v>combo</v>
      </c>
      <c r="K198" s="8" t="str" cm="1">
        <f t="array" ref="K198">IF((SUMPRODUCT(OrderLines[UnitPrice],OrderLines[Qty],--(OrderLines[OrderID]=Orders[[#This Row],[OrderID]]))-Orders[[#This Row],[Revenue]])&gt;40,"high disc","ok")</f>
        <v>ok</v>
      </c>
      <c r="L198">
        <f>SUMIFS(OrderLines[Food Cost],OrderLines[OrderID],Orders[[#This Row],[OrderID]])</f>
        <v>149.6</v>
      </c>
      <c r="M198" s="8">
        <f>Orders[[#This Row],[Revenue]]-Orders[[#This Row],[total cost]]</f>
        <v>158.46230000000006</v>
      </c>
      <c r="N198" t="str" cm="1">
        <f t="array" ref="N198">_xlfn.TEXTJOIN("+",,_xlfn._xlws.SORT(_xlfn.UNIQUE(_xlfn._xlws.FILTER(OrderLines[Category],OrderLines[OrderID]=Orders[[#This Row],[OrderID]]))))</f>
        <v>Beverage+Hot Meal</v>
      </c>
    </row>
    <row r="199" spans="1:14" x14ac:dyDescent="0.3">
      <c r="A199" t="s">
        <v>235</v>
      </c>
      <c r="B199" s="1">
        <v>45840.036226851851</v>
      </c>
      <c r="C199" t="s">
        <v>9</v>
      </c>
      <c r="D199" t="s">
        <v>10</v>
      </c>
      <c r="E199" t="s">
        <v>11</v>
      </c>
      <c r="F199" t="s">
        <v>12</v>
      </c>
      <c r="G199">
        <v>0.09</v>
      </c>
      <c r="H199" s="8">
        <f>SUMIFS(OrderLines[LineNetAmount],OrderLines[OrderID],Orders[[#This Row],[OrderID]])</f>
        <v>107.1525</v>
      </c>
      <c r="I199" t="str">
        <f>IF(COUNTIFS(OrderLines[OrderID],Orders[[#This Row],[OrderID]],OrderLines[Category],"Beverage"),"yes","no")</f>
        <v>yes</v>
      </c>
      <c r="J199" t="str">
        <f>IF(AND(COUNTIFS(OrderLines[OrderID],Orders[[#This Row],[OrderID]],OrderLines[Category],"Hot Meal"),Orders[[#This Row],[has beverage]]="yes"),"combo","single")</f>
        <v>single</v>
      </c>
      <c r="K199" s="8" t="str" cm="1">
        <f t="array" ref="K199">IF((SUMPRODUCT(OrderLines[UnitPrice],OrderLines[Qty],--(OrderLines[OrderID]=Orders[[#This Row],[OrderID]]))-Orders[[#This Row],[Revenue]])&gt;40,"high disc","ok")</f>
        <v>ok</v>
      </c>
      <c r="L199">
        <f>SUMIFS(OrderLines[Food Cost],OrderLines[OrderID],Orders[[#This Row],[OrderID]])</f>
        <v>57.5</v>
      </c>
      <c r="M199" s="8">
        <f>Orders[[#This Row],[Revenue]]-Orders[[#This Row],[total cost]]</f>
        <v>49.652500000000003</v>
      </c>
      <c r="N199" t="str" cm="1">
        <f t="array" ref="N199">_xlfn.TEXTJOIN("+",,_xlfn._xlws.SORT(_xlfn.UNIQUE(_xlfn._xlws.FILTER(OrderLines[Category],OrderLines[OrderID]=Orders[[#This Row],[OrderID]]))))</f>
        <v>Beverage+Dessert</v>
      </c>
    </row>
    <row r="200" spans="1:14" x14ac:dyDescent="0.3">
      <c r="A200" t="s">
        <v>236</v>
      </c>
      <c r="B200" s="1">
        <v>45898.126226851848</v>
      </c>
      <c r="C200" t="s">
        <v>9</v>
      </c>
      <c r="D200" t="s">
        <v>16</v>
      </c>
      <c r="E200" t="s">
        <v>21</v>
      </c>
      <c r="F200" t="s">
        <v>12</v>
      </c>
      <c r="G200">
        <v>0.03</v>
      </c>
      <c r="H200" s="8">
        <f>SUMIFS(OrderLines[LineNetAmount],OrderLines[OrderID],Orders[[#This Row],[OrderID]])</f>
        <v>851.31080000000009</v>
      </c>
      <c r="I200" t="str">
        <f>IF(COUNTIFS(OrderLines[OrderID],Orders[[#This Row],[OrderID]],OrderLines[Category],"Beverage"),"yes","no")</f>
        <v>yes</v>
      </c>
      <c r="J200" t="str">
        <f>IF(AND(COUNTIFS(OrderLines[OrderID],Orders[[#This Row],[OrderID]],OrderLines[Category],"Hot Meal"),Orders[[#This Row],[has beverage]]="yes"),"combo","single")</f>
        <v>combo</v>
      </c>
      <c r="K200" s="8" t="str" cm="1">
        <f t="array" ref="K200">IF((SUMPRODUCT(OrderLines[UnitPrice],OrderLines[Qty],--(OrderLines[OrderID]=Orders[[#This Row],[OrderID]]))-Orders[[#This Row],[Revenue]])&gt;40,"high disc","ok")</f>
        <v>ok</v>
      </c>
      <c r="L200">
        <f>SUMIFS(OrderLines[Food Cost],OrderLines[OrderID],Orders[[#This Row],[OrderID]])</f>
        <v>393.29999999999995</v>
      </c>
      <c r="M200" s="8">
        <f>Orders[[#This Row],[Revenue]]-Orders[[#This Row],[total cost]]</f>
        <v>458.01080000000013</v>
      </c>
      <c r="N200" t="str" cm="1">
        <f t="array" ref="N200">_xlfn.TEXTJOIN("+",,_xlfn._xlws.SORT(_xlfn.UNIQUE(_xlfn._xlws.FILTER(OrderLines[Category],OrderLines[OrderID]=Orders[[#This Row],[OrderID]]))))</f>
        <v>Beverage+Hot Meal</v>
      </c>
    </row>
    <row r="201" spans="1:14" x14ac:dyDescent="0.3">
      <c r="A201" t="s">
        <v>237</v>
      </c>
      <c r="B201" s="1">
        <v>45898.190162037034</v>
      </c>
      <c r="C201" t="s">
        <v>15</v>
      </c>
      <c r="D201" t="s">
        <v>28</v>
      </c>
      <c r="E201" t="s">
        <v>11</v>
      </c>
      <c r="F201" t="s">
        <v>12</v>
      </c>
      <c r="G201">
        <v>0.06</v>
      </c>
      <c r="H201" s="8">
        <f>SUMIFS(OrderLines[LineNetAmount],OrderLines[OrderID],Orders[[#This Row],[OrderID]])</f>
        <v>37.552999999999997</v>
      </c>
      <c r="I201" t="str">
        <f>IF(COUNTIFS(OrderLines[OrderID],Orders[[#This Row],[OrderID]],OrderLines[Category],"Beverage"),"yes","no")</f>
        <v>no</v>
      </c>
      <c r="J201" t="str">
        <f>IF(AND(COUNTIFS(OrderLines[OrderID],Orders[[#This Row],[OrderID]],OrderLines[Category],"Hot Meal"),Orders[[#This Row],[has beverage]]="yes"),"combo","single")</f>
        <v>single</v>
      </c>
      <c r="K201" s="8" t="str" cm="1">
        <f t="array" ref="K201">IF((SUMPRODUCT(OrderLines[UnitPrice],OrderLines[Qty],--(OrderLines[OrderID]=Orders[[#This Row],[OrderID]]))-Orders[[#This Row],[Revenue]])&gt;40,"high disc","ok")</f>
        <v>ok</v>
      </c>
      <c r="L201">
        <f>SUMIFS(OrderLines[Food Cost],OrderLines[OrderID],Orders[[#This Row],[OrderID]])</f>
        <v>15.51</v>
      </c>
      <c r="M201" s="8">
        <f>Orders[[#This Row],[Revenue]]-Orders[[#This Row],[total cost]]</f>
        <v>22.042999999999999</v>
      </c>
      <c r="N201" t="str" cm="1">
        <f t="array" ref="N201">_xlfn.TEXTJOIN("+",,_xlfn._xlws.SORT(_xlfn.UNIQUE(_xlfn._xlws.FILTER(OrderLines[Category],OrderLines[OrderID]=Orders[[#This Row],[OrderID]]))))</f>
        <v>Snack</v>
      </c>
    </row>
    <row r="202" spans="1:14" x14ac:dyDescent="0.3">
      <c r="A202" t="s">
        <v>238</v>
      </c>
      <c r="B202" s="1">
        <v>45863.583437499998</v>
      </c>
      <c r="C202" t="s">
        <v>9</v>
      </c>
      <c r="D202" t="s">
        <v>10</v>
      </c>
      <c r="E202" t="s">
        <v>11</v>
      </c>
      <c r="F202" t="s">
        <v>22</v>
      </c>
      <c r="G202">
        <v>0.08</v>
      </c>
      <c r="H202" s="8">
        <f>SUMIFS(OrderLines[LineNetAmount],OrderLines[OrderID],Orders[[#This Row],[OrderID]])</f>
        <v>35.0152</v>
      </c>
      <c r="I202" t="str">
        <f>IF(COUNTIFS(OrderLines[OrderID],Orders[[#This Row],[OrderID]],OrderLines[Category],"Beverage"),"yes","no")</f>
        <v>no</v>
      </c>
      <c r="J202" t="str">
        <f>IF(AND(COUNTIFS(OrderLines[OrderID],Orders[[#This Row],[OrderID]],OrderLines[Category],"Hot Meal"),Orders[[#This Row],[has beverage]]="yes"),"combo","single")</f>
        <v>single</v>
      </c>
      <c r="K202" s="8" t="str" cm="1">
        <f t="array" ref="K202">IF((SUMPRODUCT(OrderLines[UnitPrice],OrderLines[Qty],--(OrderLines[OrderID]=Orders[[#This Row],[OrderID]]))-Orders[[#This Row],[Revenue]])&gt;40,"high disc","ok")</f>
        <v>ok</v>
      </c>
      <c r="L202">
        <f>SUMIFS(OrderLines[Food Cost],OrderLines[OrderID],Orders[[#This Row],[OrderID]])</f>
        <v>19.55</v>
      </c>
      <c r="M202" s="8">
        <f>Orders[[#This Row],[Revenue]]-Orders[[#This Row],[total cost]]</f>
        <v>15.465199999999999</v>
      </c>
      <c r="N202" t="str" cm="1">
        <f t="array" ref="N202">_xlfn.TEXTJOIN("+",,_xlfn._xlws.SORT(_xlfn.UNIQUE(_xlfn._xlws.FILTER(OrderLines[Category],OrderLines[OrderID]=Orders[[#This Row],[OrderID]]))))</f>
        <v>Snack</v>
      </c>
    </row>
    <row r="203" spans="1:14" x14ac:dyDescent="0.3">
      <c r="A203" t="s">
        <v>239</v>
      </c>
      <c r="B203" s="1">
        <v>45848.683680555558</v>
      </c>
      <c r="C203" t="s">
        <v>9</v>
      </c>
      <c r="D203" t="s">
        <v>10</v>
      </c>
      <c r="E203" t="s">
        <v>17</v>
      </c>
      <c r="F203" t="s">
        <v>18</v>
      </c>
      <c r="G203">
        <v>0.09</v>
      </c>
      <c r="H203" s="8">
        <f>SUMIFS(OrderLines[LineNetAmount],OrderLines[OrderID],Orders[[#This Row],[OrderID]])</f>
        <v>155.45530000000002</v>
      </c>
      <c r="I203" t="str">
        <f>IF(COUNTIFS(OrderLines[OrderID],Orders[[#This Row],[OrderID]],OrderLines[Category],"Beverage"),"yes","no")</f>
        <v>no</v>
      </c>
      <c r="J203" t="str">
        <f>IF(AND(COUNTIFS(OrderLines[OrderID],Orders[[#This Row],[OrderID]],OrderLines[Category],"Hot Meal"),Orders[[#This Row],[has beverage]]="yes"),"combo","single")</f>
        <v>single</v>
      </c>
      <c r="K203" s="8" t="str" cm="1">
        <f t="array" ref="K203">IF((SUMPRODUCT(OrderLines[UnitPrice],OrderLines[Qty],--(OrderLines[OrderID]=Orders[[#This Row],[OrderID]]))-Orders[[#This Row],[Revenue]])&gt;40,"high disc","ok")</f>
        <v>ok</v>
      </c>
      <c r="L203">
        <f>SUMIFS(OrderLines[Food Cost],OrderLines[OrderID],Orders[[#This Row],[OrderID]])</f>
        <v>74.069999999999993</v>
      </c>
      <c r="M203" s="8">
        <f>Orders[[#This Row],[Revenue]]-Orders[[#This Row],[total cost]]</f>
        <v>81.385300000000029</v>
      </c>
      <c r="N203" t="str" cm="1">
        <f t="array" ref="N203">_xlfn.TEXTJOIN("+",,_xlfn._xlws.SORT(_xlfn.UNIQUE(_xlfn._xlws.FILTER(OrderLines[Category],OrderLines[OrderID]=Orders[[#This Row],[OrderID]]))))</f>
        <v>Hot Meal</v>
      </c>
    </row>
    <row r="204" spans="1:14" x14ac:dyDescent="0.3">
      <c r="A204" t="s">
        <v>240</v>
      </c>
      <c r="B204" s="1">
        <v>45882.049675925933</v>
      </c>
      <c r="C204" t="s">
        <v>27</v>
      </c>
      <c r="D204" t="s">
        <v>10</v>
      </c>
      <c r="E204" t="s">
        <v>21</v>
      </c>
      <c r="F204" t="s">
        <v>12</v>
      </c>
      <c r="G204">
        <v>0.01</v>
      </c>
      <c r="H204" s="8">
        <f>SUMIFS(OrderLines[LineNetAmount],OrderLines[OrderID],Orders[[#This Row],[OrderID]])</f>
        <v>252.25200000000001</v>
      </c>
      <c r="I204" t="str">
        <f>IF(COUNTIFS(OrderLines[OrderID],Orders[[#This Row],[OrderID]],OrderLines[Category],"Beverage"),"yes","no")</f>
        <v>no</v>
      </c>
      <c r="J204" t="str">
        <f>IF(AND(COUNTIFS(OrderLines[OrderID],Orders[[#This Row],[OrderID]],OrderLines[Category],"Hot Meal"),Orders[[#This Row],[has beverage]]="yes"),"combo","single")</f>
        <v>single</v>
      </c>
      <c r="K204" s="8" t="str" cm="1">
        <f t="array" ref="K204">IF((SUMPRODUCT(OrderLines[UnitPrice],OrderLines[Qty],--(OrderLines[OrderID]=Orders[[#This Row],[OrderID]]))-Orders[[#This Row],[Revenue]])&gt;40,"high disc","ok")</f>
        <v>ok</v>
      </c>
      <c r="L204">
        <f>SUMIFS(OrderLines[Food Cost],OrderLines[OrderID],Orders[[#This Row],[OrderID]])</f>
        <v>124.82</v>
      </c>
      <c r="M204" s="8">
        <f>Orders[[#This Row],[Revenue]]-Orders[[#This Row],[total cost]]</f>
        <v>127.43200000000002</v>
      </c>
      <c r="N204" t="str" cm="1">
        <f t="array" ref="N204">_xlfn.TEXTJOIN("+",,_xlfn._xlws.SORT(_xlfn.UNIQUE(_xlfn._xlws.FILTER(OrderLines[Category],OrderLines[OrderID]=Orders[[#This Row],[OrderID]]))))</f>
        <v>Dessert+Hot Meal</v>
      </c>
    </row>
    <row r="205" spans="1:14" x14ac:dyDescent="0.3">
      <c r="A205" t="s">
        <v>241</v>
      </c>
      <c r="B205" s="1">
        <v>45848.001076388893</v>
      </c>
      <c r="C205" t="s">
        <v>15</v>
      </c>
      <c r="D205" t="s">
        <v>16</v>
      </c>
      <c r="E205" t="s">
        <v>11</v>
      </c>
      <c r="F205" t="s">
        <v>12</v>
      </c>
      <c r="G205">
        <v>0.05</v>
      </c>
      <c r="H205" s="8">
        <f>SUMIFS(OrderLines[LineNetAmount],OrderLines[OrderID],Orders[[#This Row],[OrderID]])</f>
        <v>903.56399999999996</v>
      </c>
      <c r="I205" t="str">
        <f>IF(COUNTIFS(OrderLines[OrderID],Orders[[#This Row],[OrderID]],OrderLines[Category],"Beverage"),"yes","no")</f>
        <v>yes</v>
      </c>
      <c r="J205" t="str">
        <f>IF(AND(COUNTIFS(OrderLines[OrderID],Orders[[#This Row],[OrderID]],OrderLines[Category],"Hot Meal"),Orders[[#This Row],[has beverage]]="yes"),"combo","single")</f>
        <v>combo</v>
      </c>
      <c r="K205" s="8" t="str" cm="1">
        <f t="array" ref="K205">IF((SUMPRODUCT(OrderLines[UnitPrice],OrderLines[Qty],--(OrderLines[OrderID]=Orders[[#This Row],[OrderID]]))-Orders[[#This Row],[Revenue]])&gt;40,"high disc","ok")</f>
        <v>high disc</v>
      </c>
      <c r="L205">
        <f>SUMIFS(OrderLines[Food Cost],OrderLines[OrderID],Orders[[#This Row],[OrderID]])</f>
        <v>410.11999999999995</v>
      </c>
      <c r="M205" s="8">
        <f>Orders[[#This Row],[Revenue]]-Orders[[#This Row],[total cost]]</f>
        <v>493.44400000000002</v>
      </c>
      <c r="N205" t="str" cm="1">
        <f t="array" ref="N205">_xlfn.TEXTJOIN("+",,_xlfn._xlws.SORT(_xlfn.UNIQUE(_xlfn._xlws.FILTER(OrderLines[Category],OrderLines[OrderID]=Orders[[#This Row],[OrderID]]))))</f>
        <v>Beverage+Hot Meal</v>
      </c>
    </row>
    <row r="206" spans="1:14" x14ac:dyDescent="0.3">
      <c r="A206" t="s">
        <v>242</v>
      </c>
      <c r="B206" s="1">
        <v>45856.302951388891</v>
      </c>
      <c r="C206" t="s">
        <v>27</v>
      </c>
      <c r="D206" t="s">
        <v>28</v>
      </c>
      <c r="E206" t="s">
        <v>11</v>
      </c>
      <c r="F206" t="s">
        <v>12</v>
      </c>
      <c r="G206">
        <v>0.04</v>
      </c>
      <c r="H206" s="8">
        <f>SUMIFS(OrderLines[LineNetAmount],OrderLines[OrderID],Orders[[#This Row],[OrderID]])</f>
        <v>296.72640000000001</v>
      </c>
      <c r="I206" t="str">
        <f>IF(COUNTIFS(OrderLines[OrderID],Orders[[#This Row],[OrderID]],OrderLines[Category],"Beverage"),"yes","no")</f>
        <v>yes</v>
      </c>
      <c r="J206" t="str">
        <f>IF(AND(COUNTIFS(OrderLines[OrderID],Orders[[#This Row],[OrderID]],OrderLines[Category],"Hot Meal"),Orders[[#This Row],[has beverage]]="yes"),"combo","single")</f>
        <v>combo</v>
      </c>
      <c r="K206" s="8" t="str" cm="1">
        <f t="array" ref="K206">IF((SUMPRODUCT(OrderLines[UnitPrice],OrderLines[Qty],--(OrderLines[OrderID]=Orders[[#This Row],[OrderID]]))-Orders[[#This Row],[Revenue]])&gt;40,"high disc","ok")</f>
        <v>ok</v>
      </c>
      <c r="L206">
        <f>SUMIFS(OrderLines[Food Cost],OrderLines[OrderID],Orders[[#This Row],[OrderID]])</f>
        <v>151.92000000000002</v>
      </c>
      <c r="M206" s="8">
        <f>Orders[[#This Row],[Revenue]]-Orders[[#This Row],[total cost]]</f>
        <v>144.8064</v>
      </c>
      <c r="N206" t="str" cm="1">
        <f t="array" ref="N206">_xlfn.TEXTJOIN("+",,_xlfn._xlws.SORT(_xlfn.UNIQUE(_xlfn._xlws.FILTER(OrderLines[Category],OrderLines[OrderID]=Orders[[#This Row],[OrderID]]))))</f>
        <v>Beverage+Hot Meal+Snack</v>
      </c>
    </row>
    <row r="207" spans="1:14" x14ac:dyDescent="0.3">
      <c r="A207" t="s">
        <v>243</v>
      </c>
      <c r="B207" s="1">
        <v>45890.790648148148</v>
      </c>
      <c r="C207" t="s">
        <v>9</v>
      </c>
      <c r="D207" t="s">
        <v>16</v>
      </c>
      <c r="E207" t="s">
        <v>17</v>
      </c>
      <c r="F207" t="s">
        <v>18</v>
      </c>
      <c r="G207">
        <v>0.03</v>
      </c>
      <c r="H207" s="8">
        <f>SUMIFS(OrderLines[LineNetAmount],OrderLines[OrderID],Orders[[#This Row],[OrderID]])</f>
        <v>213.06049999999999</v>
      </c>
      <c r="I207" t="str">
        <f>IF(COUNTIFS(OrderLines[OrderID],Orders[[#This Row],[OrderID]],OrderLines[Category],"Beverage"),"yes","no")</f>
        <v>yes</v>
      </c>
      <c r="J207" t="str">
        <f>IF(AND(COUNTIFS(OrderLines[OrderID],Orders[[#This Row],[OrderID]],OrderLines[Category],"Hot Meal"),Orders[[#This Row],[has beverage]]="yes"),"combo","single")</f>
        <v>single</v>
      </c>
      <c r="K207" s="8" t="str" cm="1">
        <f t="array" ref="K207">IF((SUMPRODUCT(OrderLines[UnitPrice],OrderLines[Qty],--(OrderLines[OrderID]=Orders[[#This Row],[OrderID]]))-Orders[[#This Row],[Revenue]])&gt;40,"high disc","ok")</f>
        <v>ok</v>
      </c>
      <c r="L207">
        <f>SUMIFS(OrderLines[Food Cost],OrderLines[OrderID],Orders[[#This Row],[OrderID]])</f>
        <v>99.080000000000013</v>
      </c>
      <c r="M207" s="8">
        <f>Orders[[#This Row],[Revenue]]-Orders[[#This Row],[total cost]]</f>
        <v>113.98049999999998</v>
      </c>
      <c r="N207" t="str" cm="1">
        <f t="array" ref="N207">_xlfn.TEXTJOIN("+",,_xlfn._xlws.SORT(_xlfn.UNIQUE(_xlfn._xlws.FILTER(OrderLines[Category],OrderLines[OrderID]=Orders[[#This Row],[OrderID]]))))</f>
        <v>Beverage+Snack</v>
      </c>
    </row>
    <row r="208" spans="1:14" x14ac:dyDescent="0.3">
      <c r="A208" t="s">
        <v>244</v>
      </c>
      <c r="B208" s="1">
        <v>45886.032777777778</v>
      </c>
      <c r="C208" t="s">
        <v>15</v>
      </c>
      <c r="D208" t="s">
        <v>10</v>
      </c>
      <c r="E208" t="s">
        <v>21</v>
      </c>
      <c r="F208" t="s">
        <v>12</v>
      </c>
      <c r="G208">
        <v>0.13</v>
      </c>
      <c r="H208" s="8">
        <f>SUMIFS(OrderLines[LineNetAmount],OrderLines[OrderID],Orders[[#This Row],[OrderID]])</f>
        <v>363.05099999999999</v>
      </c>
      <c r="I208" t="str">
        <f>IF(COUNTIFS(OrderLines[OrderID],Orders[[#This Row],[OrderID]],OrderLines[Category],"Beverage"),"yes","no")</f>
        <v>no</v>
      </c>
      <c r="J208" t="str">
        <f>IF(AND(COUNTIFS(OrderLines[OrderID],Orders[[#This Row],[OrderID]],OrderLines[Category],"Hot Meal"),Orders[[#This Row],[has beverage]]="yes"),"combo","single")</f>
        <v>single</v>
      </c>
      <c r="K208" s="8" t="str" cm="1">
        <f t="array" ref="K208">IF((SUMPRODUCT(OrderLines[UnitPrice],OrderLines[Qty],--(OrderLines[OrderID]=Orders[[#This Row],[OrderID]]))-Orders[[#This Row],[Revenue]])&gt;40,"high disc","ok")</f>
        <v>high disc</v>
      </c>
      <c r="L208">
        <f>SUMIFS(OrderLines[Food Cost],OrderLines[OrderID],Orders[[#This Row],[OrderID]])</f>
        <v>199.5</v>
      </c>
      <c r="M208" s="8">
        <f>Orders[[#This Row],[Revenue]]-Orders[[#This Row],[total cost]]</f>
        <v>163.55099999999999</v>
      </c>
      <c r="N208" t="str" cm="1">
        <f t="array" ref="N208">_xlfn.TEXTJOIN("+",,_xlfn._xlws.SORT(_xlfn.UNIQUE(_xlfn._xlws.FILTER(OrderLines[Category],OrderLines[OrderID]=Orders[[#This Row],[OrderID]]))))</f>
        <v>Dessert+Hot Meal</v>
      </c>
    </row>
    <row r="209" spans="1:14" x14ac:dyDescent="0.3">
      <c r="A209" t="s">
        <v>245</v>
      </c>
      <c r="B209" s="1">
        <v>45884.720462962963</v>
      </c>
      <c r="C209" t="s">
        <v>27</v>
      </c>
      <c r="D209" t="s">
        <v>28</v>
      </c>
      <c r="E209" t="s">
        <v>17</v>
      </c>
      <c r="F209" t="s">
        <v>18</v>
      </c>
      <c r="G209">
        <v>0.08</v>
      </c>
      <c r="H209" s="8">
        <f>SUMIFS(OrderLines[LineNetAmount],OrderLines[OrderID],Orders[[#This Row],[OrderID]])</f>
        <v>131.30240000000001</v>
      </c>
      <c r="I209" t="str">
        <f>IF(COUNTIFS(OrderLines[OrderID],Orders[[#This Row],[OrderID]],OrderLines[Category],"Beverage"),"yes","no")</f>
        <v>yes</v>
      </c>
      <c r="J209" t="str">
        <f>IF(AND(COUNTIFS(OrderLines[OrderID],Orders[[#This Row],[OrderID]],OrderLines[Category],"Hot Meal"),Orders[[#This Row],[has beverage]]="yes"),"combo","single")</f>
        <v>single</v>
      </c>
      <c r="K209" s="8" t="str" cm="1">
        <f t="array" ref="K209">IF((SUMPRODUCT(OrderLines[UnitPrice],OrderLines[Qty],--(OrderLines[OrderID]=Orders[[#This Row],[OrderID]]))-Orders[[#This Row],[Revenue]])&gt;40,"high disc","ok")</f>
        <v>ok</v>
      </c>
      <c r="L209">
        <f>SUMIFS(OrderLines[Food Cost],OrderLines[OrderID],Orders[[#This Row],[OrderID]])</f>
        <v>67.240000000000009</v>
      </c>
      <c r="M209" s="8">
        <f>Orders[[#This Row],[Revenue]]-Orders[[#This Row],[total cost]]</f>
        <v>64.062399999999997</v>
      </c>
      <c r="N209" t="str" cm="1">
        <f t="array" ref="N209">_xlfn.TEXTJOIN("+",,_xlfn._xlws.SORT(_xlfn.UNIQUE(_xlfn._xlws.FILTER(OrderLines[Category],OrderLines[OrderID]=Orders[[#This Row],[OrderID]]))))</f>
        <v>Beverage+Snack</v>
      </c>
    </row>
    <row r="210" spans="1:14" x14ac:dyDescent="0.3">
      <c r="A210" t="s">
        <v>246</v>
      </c>
      <c r="B210" s="1">
        <v>45893.3596875</v>
      </c>
      <c r="C210" t="s">
        <v>15</v>
      </c>
      <c r="D210" t="s">
        <v>28</v>
      </c>
      <c r="E210" t="s">
        <v>21</v>
      </c>
      <c r="F210" t="s">
        <v>12</v>
      </c>
      <c r="G210">
        <v>0.01</v>
      </c>
      <c r="H210" s="8">
        <f>SUMIFS(OrderLines[LineNetAmount],OrderLines[OrderID],Orders[[#This Row],[OrderID]])</f>
        <v>225.26459999999997</v>
      </c>
      <c r="I210" t="str">
        <f>IF(COUNTIFS(OrderLines[OrderID],Orders[[#This Row],[OrderID]],OrderLines[Category],"Beverage"),"yes","no")</f>
        <v>yes</v>
      </c>
      <c r="J210" t="str">
        <f>IF(AND(COUNTIFS(OrderLines[OrderID],Orders[[#This Row],[OrderID]],OrderLines[Category],"Hot Meal"),Orders[[#This Row],[has beverage]]="yes"),"combo","single")</f>
        <v>single</v>
      </c>
      <c r="K210" s="8" t="str" cm="1">
        <f t="array" ref="K210">IF((SUMPRODUCT(OrderLines[UnitPrice],OrderLines[Qty],--(OrderLines[OrderID]=Orders[[#This Row],[OrderID]]))-Orders[[#This Row],[Revenue]])&gt;40,"high disc","ok")</f>
        <v>ok</v>
      </c>
      <c r="L210">
        <f>SUMIFS(OrderLines[Food Cost],OrderLines[OrderID],Orders[[#This Row],[OrderID]])</f>
        <v>103.61</v>
      </c>
      <c r="M210" s="8">
        <f>Orders[[#This Row],[Revenue]]-Orders[[#This Row],[total cost]]</f>
        <v>121.65459999999997</v>
      </c>
      <c r="N210" t="str" cm="1">
        <f t="array" ref="N210">_xlfn.TEXTJOIN("+",,_xlfn._xlws.SORT(_xlfn.UNIQUE(_xlfn._xlws.FILTER(OrderLines[Category],OrderLines[OrderID]=Orders[[#This Row],[OrderID]]))))</f>
        <v>Beverage+Snack</v>
      </c>
    </row>
    <row r="211" spans="1:14" x14ac:dyDescent="0.3">
      <c r="A211" t="s">
        <v>247</v>
      </c>
      <c r="B211" s="1">
        <v>45864.926377314812</v>
      </c>
      <c r="C211" t="s">
        <v>9</v>
      </c>
      <c r="D211" t="s">
        <v>28</v>
      </c>
      <c r="E211" t="s">
        <v>21</v>
      </c>
      <c r="F211" t="s">
        <v>18</v>
      </c>
      <c r="G211">
        <v>0.1</v>
      </c>
      <c r="H211" s="8">
        <f>SUMIFS(OrderLines[LineNetAmount],OrderLines[OrderID],Orders[[#This Row],[OrderID]])</f>
        <v>481.041</v>
      </c>
      <c r="I211" t="str">
        <f>IF(COUNTIFS(OrderLines[OrderID],Orders[[#This Row],[OrderID]],OrderLines[Category],"Beverage"),"yes","no")</f>
        <v>yes</v>
      </c>
      <c r="J211" t="str">
        <f>IF(AND(COUNTIFS(OrderLines[OrderID],Orders[[#This Row],[OrderID]],OrderLines[Category],"Hot Meal"),Orders[[#This Row],[has beverage]]="yes"),"combo","single")</f>
        <v>combo</v>
      </c>
      <c r="K211" s="8" t="str" cm="1">
        <f t="array" ref="K211">IF((SUMPRODUCT(OrderLines[UnitPrice],OrderLines[Qty],--(OrderLines[OrderID]=Orders[[#This Row],[OrderID]]))-Orders[[#This Row],[Revenue]])&gt;40,"high disc","ok")</f>
        <v>high disc</v>
      </c>
      <c r="L211">
        <f>SUMIFS(OrderLines[Food Cost],OrderLines[OrderID],Orders[[#This Row],[OrderID]])</f>
        <v>241.54</v>
      </c>
      <c r="M211" s="8">
        <f>Orders[[#This Row],[Revenue]]-Orders[[#This Row],[total cost]]</f>
        <v>239.501</v>
      </c>
      <c r="N211" t="str" cm="1">
        <f t="array" ref="N211">_xlfn.TEXTJOIN("+",,_xlfn._xlws.SORT(_xlfn.UNIQUE(_xlfn._xlws.FILTER(OrderLines[Category],OrderLines[OrderID]=Orders[[#This Row],[OrderID]]))))</f>
        <v>Beverage+Hot Meal</v>
      </c>
    </row>
    <row r="212" spans="1:14" x14ac:dyDescent="0.3">
      <c r="A212" t="s">
        <v>248</v>
      </c>
      <c r="B212" s="1">
        <v>45864.703344907408</v>
      </c>
      <c r="C212" t="s">
        <v>9</v>
      </c>
      <c r="D212" t="s">
        <v>16</v>
      </c>
      <c r="E212" t="s">
        <v>11</v>
      </c>
      <c r="F212" t="s">
        <v>18</v>
      </c>
      <c r="G212">
        <v>0.14000000000000001</v>
      </c>
      <c r="H212" s="8">
        <f>SUMIFS(OrderLines[LineNetAmount],OrderLines[OrderID],Orders[[#This Row],[OrderID]])</f>
        <v>844.82100000000003</v>
      </c>
      <c r="I212" t="str">
        <f>IF(COUNTIFS(OrderLines[OrderID],Orders[[#This Row],[OrderID]],OrderLines[Category],"Beverage"),"yes","no")</f>
        <v>no</v>
      </c>
      <c r="J212" t="str">
        <f>IF(AND(COUNTIFS(OrderLines[OrderID],Orders[[#This Row],[OrderID]],OrderLines[Category],"Hot Meal"),Orders[[#This Row],[has beverage]]="yes"),"combo","single")</f>
        <v>single</v>
      </c>
      <c r="K212" s="8" t="str" cm="1">
        <f t="array" ref="K212">IF((SUMPRODUCT(OrderLines[UnitPrice],OrderLines[Qty],--(OrderLines[OrderID]=Orders[[#This Row],[OrderID]]))-Orders[[#This Row],[Revenue]])&gt;40,"high disc","ok")</f>
        <v>high disc</v>
      </c>
      <c r="L212">
        <f>SUMIFS(OrderLines[Food Cost],OrderLines[OrderID],Orders[[#This Row],[OrderID]])</f>
        <v>471.15</v>
      </c>
      <c r="M212" s="8">
        <f>Orders[[#This Row],[Revenue]]-Orders[[#This Row],[total cost]]</f>
        <v>373.67100000000005</v>
      </c>
      <c r="N212" t="str" cm="1">
        <f t="array" ref="N212">_xlfn.TEXTJOIN("+",,_xlfn._xlws.SORT(_xlfn.UNIQUE(_xlfn._xlws.FILTER(OrderLines[Category],OrderLines[OrderID]=Orders[[#This Row],[OrderID]]))))</f>
        <v>Hot Meal+Snack</v>
      </c>
    </row>
    <row r="213" spans="1:14" x14ac:dyDescent="0.3">
      <c r="A213" t="s">
        <v>249</v>
      </c>
      <c r="B213" s="1">
        <v>45849.76935185185</v>
      </c>
      <c r="C213" t="s">
        <v>9</v>
      </c>
      <c r="D213" t="s">
        <v>28</v>
      </c>
      <c r="E213" t="s">
        <v>21</v>
      </c>
      <c r="F213" t="s">
        <v>18</v>
      </c>
      <c r="G213">
        <v>0.1</v>
      </c>
      <c r="H213" s="8">
        <f>SUMIFS(OrderLines[LineNetAmount],OrderLines[OrderID],Orders[[#This Row],[OrderID]])</f>
        <v>317.75400000000002</v>
      </c>
      <c r="I213" t="str">
        <f>IF(COUNTIFS(OrderLines[OrderID],Orders[[#This Row],[OrderID]],OrderLines[Category],"Beverage"),"yes","no")</f>
        <v>yes</v>
      </c>
      <c r="J213" t="str">
        <f>IF(AND(COUNTIFS(OrderLines[OrderID],Orders[[#This Row],[OrderID]],OrderLines[Category],"Hot Meal"),Orders[[#This Row],[has beverage]]="yes"),"combo","single")</f>
        <v>combo</v>
      </c>
      <c r="K213" s="8" t="str" cm="1">
        <f t="array" ref="K213">IF((SUMPRODUCT(OrderLines[UnitPrice],OrderLines[Qty],--(OrderLines[OrderID]=Orders[[#This Row],[OrderID]]))-Orders[[#This Row],[Revenue]])&gt;40,"high disc","ok")</f>
        <v>ok</v>
      </c>
      <c r="L213">
        <f>SUMIFS(OrderLines[Food Cost],OrderLines[OrderID],Orders[[#This Row],[OrderID]])</f>
        <v>154.76</v>
      </c>
      <c r="M213" s="8">
        <f>Orders[[#This Row],[Revenue]]-Orders[[#This Row],[total cost]]</f>
        <v>162.99400000000003</v>
      </c>
      <c r="N213" t="str" cm="1">
        <f t="array" ref="N213">_xlfn.TEXTJOIN("+",,_xlfn._xlws.SORT(_xlfn.UNIQUE(_xlfn._xlws.FILTER(OrderLines[Category],OrderLines[OrderID]=Orders[[#This Row],[OrderID]]))))</f>
        <v>Beverage+Dessert+Hot Meal+Snack</v>
      </c>
    </row>
    <row r="214" spans="1:14" x14ac:dyDescent="0.3">
      <c r="A214" t="s">
        <v>250</v>
      </c>
      <c r="B214" s="1">
        <v>45893.757245370369</v>
      </c>
      <c r="C214" t="s">
        <v>15</v>
      </c>
      <c r="D214" t="s">
        <v>10</v>
      </c>
      <c r="E214" t="s">
        <v>17</v>
      </c>
      <c r="F214" t="s">
        <v>18</v>
      </c>
      <c r="G214">
        <v>0</v>
      </c>
      <c r="H214" s="8">
        <f>SUMIFS(OrderLines[LineNetAmount],OrderLines[OrderID],Orders[[#This Row],[OrderID]])</f>
        <v>442.17</v>
      </c>
      <c r="I214" t="str">
        <f>IF(COUNTIFS(OrderLines[OrderID],Orders[[#This Row],[OrderID]],OrderLines[Category],"Beverage"),"yes","no")</f>
        <v>no</v>
      </c>
      <c r="J214" t="str">
        <f>IF(AND(COUNTIFS(OrderLines[OrderID],Orders[[#This Row],[OrderID]],OrderLines[Category],"Hot Meal"),Orders[[#This Row],[has beverage]]="yes"),"combo","single")</f>
        <v>single</v>
      </c>
      <c r="K214" s="8" t="str" cm="1">
        <f t="array" ref="K214">IF((SUMPRODUCT(OrderLines[UnitPrice],OrderLines[Qty],--(OrderLines[OrderID]=Orders[[#This Row],[OrderID]]))-Orders[[#This Row],[Revenue]])&gt;40,"high disc","ok")</f>
        <v>ok</v>
      </c>
      <c r="L214">
        <f>SUMIFS(OrderLines[Food Cost],OrderLines[OrderID],Orders[[#This Row],[OrderID]])</f>
        <v>200.09</v>
      </c>
      <c r="M214" s="8">
        <f>Orders[[#This Row],[Revenue]]-Orders[[#This Row],[total cost]]</f>
        <v>242.08</v>
      </c>
      <c r="N214" t="str" cm="1">
        <f t="array" ref="N214">_xlfn.TEXTJOIN("+",,_xlfn._xlws.SORT(_xlfn.UNIQUE(_xlfn._xlws.FILTER(OrderLines[Category],OrderLines[OrderID]=Orders[[#This Row],[OrderID]]))))</f>
        <v>Hot Meal+Snack</v>
      </c>
    </row>
    <row r="215" spans="1:14" x14ac:dyDescent="0.3">
      <c r="A215" t="s">
        <v>251</v>
      </c>
      <c r="B215" s="1">
        <v>45884.325902777768</v>
      </c>
      <c r="C215" t="s">
        <v>9</v>
      </c>
      <c r="D215" t="s">
        <v>16</v>
      </c>
      <c r="E215" t="s">
        <v>11</v>
      </c>
      <c r="F215" t="s">
        <v>12</v>
      </c>
      <c r="G215">
        <v>0.04</v>
      </c>
      <c r="H215" s="8">
        <f>SUMIFS(OrderLines[LineNetAmount],OrderLines[OrderID],Orders[[#This Row],[OrderID]])</f>
        <v>731.61599999999999</v>
      </c>
      <c r="I215" t="str">
        <f>IF(COUNTIFS(OrderLines[OrderID],Orders[[#This Row],[OrderID]],OrderLines[Category],"Beverage"),"yes","no")</f>
        <v>yes</v>
      </c>
      <c r="J215" t="str">
        <f>IF(AND(COUNTIFS(OrderLines[OrderID],Orders[[#This Row],[OrderID]],OrderLines[Category],"Hot Meal"),Orders[[#This Row],[has beverage]]="yes"),"combo","single")</f>
        <v>combo</v>
      </c>
      <c r="K215" s="8" t="str" cm="1">
        <f t="array" ref="K215">IF((SUMPRODUCT(OrderLines[UnitPrice],OrderLines[Qty],--(OrderLines[OrderID]=Orders[[#This Row],[OrderID]]))-Orders[[#This Row],[Revenue]])&gt;40,"high disc","ok")</f>
        <v>ok</v>
      </c>
      <c r="L215">
        <f>SUMIFS(OrderLines[Food Cost],OrderLines[OrderID],Orders[[#This Row],[OrderID]])</f>
        <v>327.17999999999995</v>
      </c>
      <c r="M215" s="8">
        <f>Orders[[#This Row],[Revenue]]-Orders[[#This Row],[total cost]]</f>
        <v>404.43600000000004</v>
      </c>
      <c r="N215" t="str" cm="1">
        <f t="array" ref="N215">_xlfn.TEXTJOIN("+",,_xlfn._xlws.SORT(_xlfn.UNIQUE(_xlfn._xlws.FILTER(OrderLines[Category],OrderLines[OrderID]=Orders[[#This Row],[OrderID]]))))</f>
        <v>Beverage+Dessert+Hot Meal</v>
      </c>
    </row>
    <row r="216" spans="1:14" x14ac:dyDescent="0.3">
      <c r="A216" t="s">
        <v>252</v>
      </c>
      <c r="B216" s="1">
        <v>45850.578101851846</v>
      </c>
      <c r="C216" t="s">
        <v>27</v>
      </c>
      <c r="D216" t="s">
        <v>28</v>
      </c>
      <c r="E216" t="s">
        <v>17</v>
      </c>
      <c r="F216" t="s">
        <v>22</v>
      </c>
      <c r="G216">
        <v>0.11</v>
      </c>
      <c r="H216" s="8">
        <f>SUMIFS(OrderLines[LineNetAmount],OrderLines[OrderID],Orders[[#This Row],[OrderID]])</f>
        <v>329.12199999999996</v>
      </c>
      <c r="I216" t="str">
        <f>IF(COUNTIFS(OrderLines[OrderID],Orders[[#This Row],[OrderID]],OrderLines[Category],"Beverage"),"yes","no")</f>
        <v>yes</v>
      </c>
      <c r="J216" t="str">
        <f>IF(AND(COUNTIFS(OrderLines[OrderID],Orders[[#This Row],[OrderID]],OrderLines[Category],"Hot Meal"),Orders[[#This Row],[has beverage]]="yes"),"combo","single")</f>
        <v>combo</v>
      </c>
      <c r="K216" s="8" t="str" cm="1">
        <f t="array" ref="K216">IF((SUMPRODUCT(OrderLines[UnitPrice],OrderLines[Qty],--(OrderLines[OrderID]=Orders[[#This Row],[OrderID]]))-Orders[[#This Row],[Revenue]])&gt;40,"high disc","ok")</f>
        <v>high disc</v>
      </c>
      <c r="L216">
        <f>SUMIFS(OrderLines[Food Cost],OrderLines[OrderID],Orders[[#This Row],[OrderID]])</f>
        <v>187.99</v>
      </c>
      <c r="M216" s="8">
        <f>Orders[[#This Row],[Revenue]]-Orders[[#This Row],[total cost]]</f>
        <v>141.13199999999995</v>
      </c>
      <c r="N216" t="str" cm="1">
        <f t="array" ref="N216">_xlfn.TEXTJOIN("+",,_xlfn._xlws.SORT(_xlfn.UNIQUE(_xlfn._xlws.FILTER(OrderLines[Category],OrderLines[OrderID]=Orders[[#This Row],[OrderID]]))))</f>
        <v>Beverage+Dessert+Hot Meal+Snack</v>
      </c>
    </row>
    <row r="217" spans="1:14" x14ac:dyDescent="0.3">
      <c r="A217" t="s">
        <v>253</v>
      </c>
      <c r="B217" s="1">
        <v>45887.079097222217</v>
      </c>
      <c r="C217" t="s">
        <v>27</v>
      </c>
      <c r="D217" t="s">
        <v>28</v>
      </c>
      <c r="E217" t="s">
        <v>17</v>
      </c>
      <c r="F217" t="s">
        <v>12</v>
      </c>
      <c r="G217">
        <v>0.03</v>
      </c>
      <c r="H217" s="8">
        <f>SUMIFS(OrderLines[LineNetAmount],OrderLines[OrderID],Orders[[#This Row],[OrderID]])</f>
        <v>166.29679999999999</v>
      </c>
      <c r="I217" t="str">
        <f>IF(COUNTIFS(OrderLines[OrderID],Orders[[#This Row],[OrderID]],OrderLines[Category],"Beverage"),"yes","no")</f>
        <v>yes</v>
      </c>
      <c r="J217" t="str">
        <f>IF(AND(COUNTIFS(OrderLines[OrderID],Orders[[#This Row],[OrderID]],OrderLines[Category],"Hot Meal"),Orders[[#This Row],[has beverage]]="yes"),"combo","single")</f>
        <v>single</v>
      </c>
      <c r="K217" s="8" t="str" cm="1">
        <f t="array" ref="K217">IF((SUMPRODUCT(OrderLines[UnitPrice],OrderLines[Qty],--(OrderLines[OrderID]=Orders[[#This Row],[OrderID]]))-Orders[[#This Row],[Revenue]])&gt;40,"high disc","ok")</f>
        <v>ok</v>
      </c>
      <c r="L217">
        <f>SUMIFS(OrderLines[Food Cost],OrderLines[OrderID],Orders[[#This Row],[OrderID]])</f>
        <v>80.17</v>
      </c>
      <c r="M217" s="8">
        <f>Orders[[#This Row],[Revenue]]-Orders[[#This Row],[total cost]]</f>
        <v>86.126799999999989</v>
      </c>
      <c r="N217" t="str" cm="1">
        <f t="array" ref="N217">_xlfn.TEXTJOIN("+",,_xlfn._xlws.SORT(_xlfn.UNIQUE(_xlfn._xlws.FILTER(OrderLines[Category],OrderLines[OrderID]=Orders[[#This Row],[OrderID]]))))</f>
        <v>Beverage+Snack</v>
      </c>
    </row>
    <row r="218" spans="1:14" x14ac:dyDescent="0.3">
      <c r="A218" t="s">
        <v>254</v>
      </c>
      <c r="B218" s="1">
        <v>45852.421666666669</v>
      </c>
      <c r="C218" t="s">
        <v>15</v>
      </c>
      <c r="D218" t="s">
        <v>16</v>
      </c>
      <c r="E218" t="s">
        <v>21</v>
      </c>
      <c r="F218" t="s">
        <v>12</v>
      </c>
      <c r="G218">
        <v>0.08</v>
      </c>
      <c r="H218" s="8">
        <f>SUMIFS(OrderLines[LineNetAmount],OrderLines[OrderID],Orders[[#This Row],[OrderID]])</f>
        <v>611.7908000000001</v>
      </c>
      <c r="I218" t="str">
        <f>IF(COUNTIFS(OrderLines[OrderID],Orders[[#This Row],[OrderID]],OrderLines[Category],"Beverage"),"yes","no")</f>
        <v>no</v>
      </c>
      <c r="J218" t="str">
        <f>IF(AND(COUNTIFS(OrderLines[OrderID],Orders[[#This Row],[OrderID]],OrderLines[Category],"Hot Meal"),Orders[[#This Row],[has beverage]]="yes"),"combo","single")</f>
        <v>single</v>
      </c>
      <c r="K218" s="8" t="str" cm="1">
        <f t="array" ref="K218">IF((SUMPRODUCT(OrderLines[UnitPrice],OrderLines[Qty],--(OrderLines[OrderID]=Orders[[#This Row],[OrderID]]))-Orders[[#This Row],[Revenue]])&gt;40,"high disc","ok")</f>
        <v>high disc</v>
      </c>
      <c r="L218">
        <f>SUMIFS(OrderLines[Food Cost],OrderLines[OrderID],Orders[[#This Row],[OrderID]])</f>
        <v>303.73</v>
      </c>
      <c r="M218" s="8">
        <f>Orders[[#This Row],[Revenue]]-Orders[[#This Row],[total cost]]</f>
        <v>308.06080000000009</v>
      </c>
      <c r="N218" t="str" cm="1">
        <f t="array" ref="N218">_xlfn.TEXTJOIN("+",,_xlfn._xlws.SORT(_xlfn.UNIQUE(_xlfn._xlws.FILTER(OrderLines[Category],OrderLines[OrderID]=Orders[[#This Row],[OrderID]]))))</f>
        <v>Hot Meal+Snack</v>
      </c>
    </row>
    <row r="219" spans="1:14" x14ac:dyDescent="0.3">
      <c r="A219" t="s">
        <v>255</v>
      </c>
      <c r="B219" s="1">
        <v>45879.943171296298</v>
      </c>
      <c r="C219" t="s">
        <v>9</v>
      </c>
      <c r="D219" t="s">
        <v>10</v>
      </c>
      <c r="E219" t="s">
        <v>11</v>
      </c>
      <c r="F219" t="s">
        <v>18</v>
      </c>
      <c r="G219">
        <v>0.09</v>
      </c>
      <c r="H219" s="8">
        <f>SUMIFS(OrderLines[LineNetAmount],OrderLines[OrderID],Orders[[#This Row],[OrderID]])</f>
        <v>25.871300000000002</v>
      </c>
      <c r="I219" t="str">
        <f>IF(COUNTIFS(OrderLines[OrderID],Orders[[#This Row],[OrderID]],OrderLines[Category],"Beverage"),"yes","no")</f>
        <v>yes</v>
      </c>
      <c r="J219" t="str">
        <f>IF(AND(COUNTIFS(OrderLines[OrderID],Orders[[#This Row],[OrderID]],OrderLines[Category],"Hot Meal"),Orders[[#This Row],[has beverage]]="yes"),"combo","single")</f>
        <v>single</v>
      </c>
      <c r="K219" s="8" t="str" cm="1">
        <f t="array" ref="K219">IF((SUMPRODUCT(OrderLines[UnitPrice],OrderLines[Qty],--(OrderLines[OrderID]=Orders[[#This Row],[OrderID]]))-Orders[[#This Row],[Revenue]])&gt;40,"high disc","ok")</f>
        <v>ok</v>
      </c>
      <c r="L219">
        <f>SUMIFS(OrderLines[Food Cost],OrderLines[OrderID],Orders[[#This Row],[OrderID]])</f>
        <v>13.89</v>
      </c>
      <c r="M219" s="8">
        <f>Orders[[#This Row],[Revenue]]-Orders[[#This Row],[total cost]]</f>
        <v>11.981300000000001</v>
      </c>
      <c r="N219" t="str" cm="1">
        <f t="array" ref="N219">_xlfn.TEXTJOIN("+",,_xlfn._xlws.SORT(_xlfn.UNIQUE(_xlfn._xlws.FILTER(OrderLines[Category],OrderLines[OrderID]=Orders[[#This Row],[OrderID]]))))</f>
        <v>Beverage</v>
      </c>
    </row>
    <row r="220" spans="1:14" x14ac:dyDescent="0.3">
      <c r="A220" t="s">
        <v>256</v>
      </c>
      <c r="B220" s="1">
        <v>45879.531284722223</v>
      </c>
      <c r="C220" t="s">
        <v>9</v>
      </c>
      <c r="D220" t="s">
        <v>28</v>
      </c>
      <c r="E220" t="s">
        <v>21</v>
      </c>
      <c r="F220" t="s">
        <v>22</v>
      </c>
      <c r="G220">
        <v>0.02</v>
      </c>
      <c r="H220" s="8">
        <f>SUMIFS(OrderLines[LineNetAmount],OrderLines[OrderID],Orders[[#This Row],[OrderID]])</f>
        <v>669.74180000000001</v>
      </c>
      <c r="I220" t="str">
        <f>IF(COUNTIFS(OrderLines[OrderID],Orders[[#This Row],[OrderID]],OrderLines[Category],"Beverage"),"yes","no")</f>
        <v>no</v>
      </c>
      <c r="J220" t="str">
        <f>IF(AND(COUNTIFS(OrderLines[OrderID],Orders[[#This Row],[OrderID]],OrderLines[Category],"Hot Meal"),Orders[[#This Row],[has beverage]]="yes"),"combo","single")</f>
        <v>single</v>
      </c>
      <c r="K220" s="8" t="str" cm="1">
        <f t="array" ref="K220">IF((SUMPRODUCT(OrderLines[UnitPrice],OrderLines[Qty],--(OrderLines[OrderID]=Orders[[#This Row],[OrderID]]))-Orders[[#This Row],[Revenue]])&gt;40,"high disc","ok")</f>
        <v>ok</v>
      </c>
      <c r="L220">
        <f>SUMIFS(OrderLines[Food Cost],OrderLines[OrderID],Orders[[#This Row],[OrderID]])</f>
        <v>302.64</v>
      </c>
      <c r="M220" s="8">
        <f>Orders[[#This Row],[Revenue]]-Orders[[#This Row],[total cost]]</f>
        <v>367.10180000000003</v>
      </c>
      <c r="N220" t="str" cm="1">
        <f t="array" ref="N220">_xlfn.TEXTJOIN("+",,_xlfn._xlws.SORT(_xlfn.UNIQUE(_xlfn._xlws.FILTER(OrderLines[Category],OrderLines[OrderID]=Orders[[#This Row],[OrderID]]))))</f>
        <v>Dessert+Hot Meal</v>
      </c>
    </row>
    <row r="221" spans="1:14" x14ac:dyDescent="0.3">
      <c r="A221" t="s">
        <v>257</v>
      </c>
      <c r="B221" s="1">
        <v>45866.410069444442</v>
      </c>
      <c r="C221" t="s">
        <v>27</v>
      </c>
      <c r="D221" t="s">
        <v>10</v>
      </c>
      <c r="E221" t="s">
        <v>21</v>
      </c>
      <c r="F221" t="s">
        <v>12</v>
      </c>
      <c r="G221">
        <v>0.06</v>
      </c>
      <c r="H221" s="8">
        <f>SUMIFS(OrderLines[LineNetAmount],OrderLines[OrderID],Orders[[#This Row],[OrderID]])</f>
        <v>582.66840000000002</v>
      </c>
      <c r="I221" t="str">
        <f>IF(COUNTIFS(OrderLines[OrderID],Orders[[#This Row],[OrderID]],OrderLines[Category],"Beverage"),"yes","no")</f>
        <v>no</v>
      </c>
      <c r="J221" t="str">
        <f>IF(AND(COUNTIFS(OrderLines[OrderID],Orders[[#This Row],[OrderID]],OrderLines[Category],"Hot Meal"),Orders[[#This Row],[has beverage]]="yes"),"combo","single")</f>
        <v>single</v>
      </c>
      <c r="K221" s="8" t="str" cm="1">
        <f t="array" ref="K221">IF((SUMPRODUCT(OrderLines[UnitPrice],OrderLines[Qty],--(OrderLines[OrderID]=Orders[[#This Row],[OrderID]]))-Orders[[#This Row],[Revenue]])&gt;40,"high disc","ok")</f>
        <v>ok</v>
      </c>
      <c r="L221">
        <f>SUMIFS(OrderLines[Food Cost],OrderLines[OrderID],Orders[[#This Row],[OrderID]])</f>
        <v>276.76</v>
      </c>
      <c r="M221" s="8">
        <f>Orders[[#This Row],[Revenue]]-Orders[[#This Row],[total cost]]</f>
        <v>305.90840000000003</v>
      </c>
      <c r="N221" t="str" cm="1">
        <f t="array" ref="N221">_xlfn.TEXTJOIN("+",,_xlfn._xlws.SORT(_xlfn.UNIQUE(_xlfn._xlws.FILTER(OrderLines[Category],OrderLines[OrderID]=Orders[[#This Row],[OrderID]]))))</f>
        <v>Dessert+Hot Meal</v>
      </c>
    </row>
    <row r="222" spans="1:14" x14ac:dyDescent="0.3">
      <c r="A222" t="s">
        <v>258</v>
      </c>
      <c r="B222" s="1">
        <v>45882.298217592594</v>
      </c>
      <c r="C222" t="s">
        <v>15</v>
      </c>
      <c r="D222" t="s">
        <v>28</v>
      </c>
      <c r="E222" t="s">
        <v>21</v>
      </c>
      <c r="F222" t="s">
        <v>12</v>
      </c>
      <c r="G222">
        <v>0</v>
      </c>
      <c r="H222" s="8">
        <f>SUMIFS(OrderLines[LineNetAmount],OrderLines[OrderID],Orders[[#This Row],[OrderID]])</f>
        <v>57.07</v>
      </c>
      <c r="I222" t="str">
        <f>IF(COUNTIFS(OrderLines[OrderID],Orders[[#This Row],[OrderID]],OrderLines[Category],"Beverage"),"yes","no")</f>
        <v>no</v>
      </c>
      <c r="J222" t="str">
        <f>IF(AND(COUNTIFS(OrderLines[OrderID],Orders[[#This Row],[OrderID]],OrderLines[Category],"Hot Meal"),Orders[[#This Row],[has beverage]]="yes"),"combo","single")</f>
        <v>single</v>
      </c>
      <c r="K222" s="8" t="str" cm="1">
        <f t="array" ref="K222">IF((SUMPRODUCT(OrderLines[UnitPrice],OrderLines[Qty],--(OrderLines[OrderID]=Orders[[#This Row],[OrderID]]))-Orders[[#This Row],[Revenue]])&gt;40,"high disc","ok")</f>
        <v>ok</v>
      </c>
      <c r="L222">
        <f>SUMIFS(OrderLines[Food Cost],OrderLines[OrderID],Orders[[#This Row],[OrderID]])</f>
        <v>29.14</v>
      </c>
      <c r="M222" s="8">
        <f>Orders[[#This Row],[Revenue]]-Orders[[#This Row],[total cost]]</f>
        <v>27.93</v>
      </c>
      <c r="N222" t="str" cm="1">
        <f t="array" ref="N222">_xlfn.TEXTJOIN("+",,_xlfn._xlws.SORT(_xlfn.UNIQUE(_xlfn._xlws.FILTER(OrderLines[Category],OrderLines[OrderID]=Orders[[#This Row],[OrderID]]))))</f>
        <v>Dessert</v>
      </c>
    </row>
    <row r="223" spans="1:14" x14ac:dyDescent="0.3">
      <c r="A223" t="s">
        <v>259</v>
      </c>
      <c r="B223" s="1">
        <v>45874.914675925917</v>
      </c>
      <c r="C223" t="s">
        <v>9</v>
      </c>
      <c r="D223" t="s">
        <v>10</v>
      </c>
      <c r="E223" t="s">
        <v>21</v>
      </c>
      <c r="F223" t="s">
        <v>18</v>
      </c>
      <c r="G223">
        <v>0.02</v>
      </c>
      <c r="H223" s="8">
        <f>SUMIFS(OrderLines[LineNetAmount],OrderLines[OrderID],Orders[[#This Row],[OrderID]])</f>
        <v>297.38099999999997</v>
      </c>
      <c r="I223" t="str">
        <f>IF(COUNTIFS(OrderLines[OrderID],Orders[[#This Row],[OrderID]],OrderLines[Category],"Beverage"),"yes","no")</f>
        <v>yes</v>
      </c>
      <c r="J223" t="str">
        <f>IF(AND(COUNTIFS(OrderLines[OrderID],Orders[[#This Row],[OrderID]],OrderLines[Category],"Hot Meal"),Orders[[#This Row],[has beverage]]="yes"),"combo","single")</f>
        <v>single</v>
      </c>
      <c r="K223" s="8" t="str" cm="1">
        <f t="array" ref="K223">IF((SUMPRODUCT(OrderLines[UnitPrice],OrderLines[Qty],--(OrderLines[OrderID]=Orders[[#This Row],[OrderID]]))-Orders[[#This Row],[Revenue]])&gt;40,"high disc","ok")</f>
        <v>ok</v>
      </c>
      <c r="L223">
        <f>SUMIFS(OrderLines[Food Cost],OrderLines[OrderID],Orders[[#This Row],[OrderID]])</f>
        <v>125.72</v>
      </c>
      <c r="M223" s="8">
        <f>Orders[[#This Row],[Revenue]]-Orders[[#This Row],[total cost]]</f>
        <v>171.66099999999997</v>
      </c>
      <c r="N223" t="str" cm="1">
        <f t="array" ref="N223">_xlfn.TEXTJOIN("+",,_xlfn._xlws.SORT(_xlfn.UNIQUE(_xlfn._xlws.FILTER(OrderLines[Category],OrderLines[OrderID]=Orders[[#This Row],[OrderID]]))))</f>
        <v>Beverage+Dessert+Snack</v>
      </c>
    </row>
    <row r="224" spans="1:14" x14ac:dyDescent="0.3">
      <c r="A224" t="s">
        <v>260</v>
      </c>
      <c r="B224" s="1">
        <v>45877.90552083333</v>
      </c>
      <c r="C224" t="s">
        <v>15</v>
      </c>
      <c r="D224" t="s">
        <v>28</v>
      </c>
      <c r="E224" t="s">
        <v>17</v>
      </c>
      <c r="F224" t="s">
        <v>18</v>
      </c>
      <c r="G224">
        <v>0.05</v>
      </c>
      <c r="H224" s="8">
        <f>SUMIFS(OrderLines[LineNetAmount],OrderLines[OrderID],Orders[[#This Row],[OrderID]])</f>
        <v>178.08699999999999</v>
      </c>
      <c r="I224" t="str">
        <f>IF(COUNTIFS(OrderLines[OrderID],Orders[[#This Row],[OrderID]],OrderLines[Category],"Beverage"),"yes","no")</f>
        <v>yes</v>
      </c>
      <c r="J224" t="str">
        <f>IF(AND(COUNTIFS(OrderLines[OrderID],Orders[[#This Row],[OrderID]],OrderLines[Category],"Hot Meal"),Orders[[#This Row],[has beverage]]="yes"),"combo","single")</f>
        <v>single</v>
      </c>
      <c r="K224" s="8" t="str" cm="1">
        <f t="array" ref="K224">IF((SUMPRODUCT(OrderLines[UnitPrice],OrderLines[Qty],--(OrderLines[OrderID]=Orders[[#This Row],[OrderID]]))-Orders[[#This Row],[Revenue]])&gt;40,"high disc","ok")</f>
        <v>ok</v>
      </c>
      <c r="L224">
        <f>SUMIFS(OrderLines[Food Cost],OrderLines[OrderID],Orders[[#This Row],[OrderID]])</f>
        <v>81.06</v>
      </c>
      <c r="M224" s="8">
        <f>Orders[[#This Row],[Revenue]]-Orders[[#This Row],[total cost]]</f>
        <v>97.026999999999987</v>
      </c>
      <c r="N224" t="str" cm="1">
        <f t="array" ref="N224">_xlfn.TEXTJOIN("+",,_xlfn._xlws.SORT(_xlfn.UNIQUE(_xlfn._xlws.FILTER(OrderLines[Category],OrderLines[OrderID]=Orders[[#This Row],[OrderID]]))))</f>
        <v>Beverage+Dessert</v>
      </c>
    </row>
    <row r="225" spans="1:14" x14ac:dyDescent="0.3">
      <c r="A225" t="s">
        <v>261</v>
      </c>
      <c r="B225" s="1">
        <v>45848.150601851848</v>
      </c>
      <c r="C225" t="s">
        <v>9</v>
      </c>
      <c r="D225" t="s">
        <v>28</v>
      </c>
      <c r="E225" t="s">
        <v>11</v>
      </c>
      <c r="F225" t="s">
        <v>12</v>
      </c>
      <c r="G225">
        <v>0.01</v>
      </c>
      <c r="H225" s="8">
        <f>SUMIFS(OrderLines[LineNetAmount],OrderLines[OrderID],Orders[[#This Row],[OrderID]])</f>
        <v>155.77650000000003</v>
      </c>
      <c r="I225" t="str">
        <f>IF(COUNTIFS(OrderLines[OrderID],Orders[[#This Row],[OrderID]],OrderLines[Category],"Beverage"),"yes","no")</f>
        <v>no</v>
      </c>
      <c r="J225" t="str">
        <f>IF(AND(COUNTIFS(OrderLines[OrderID],Orders[[#This Row],[OrderID]],OrderLines[Category],"Hot Meal"),Orders[[#This Row],[has beverage]]="yes"),"combo","single")</f>
        <v>single</v>
      </c>
      <c r="K225" s="8" t="str" cm="1">
        <f t="array" ref="K225">IF((SUMPRODUCT(OrderLines[UnitPrice],OrderLines[Qty],--(OrderLines[OrderID]=Orders[[#This Row],[OrderID]]))-Orders[[#This Row],[Revenue]])&gt;40,"high disc","ok")</f>
        <v>ok</v>
      </c>
      <c r="L225">
        <f>SUMIFS(OrderLines[Food Cost],OrderLines[OrderID],Orders[[#This Row],[OrderID]])</f>
        <v>77.400000000000006</v>
      </c>
      <c r="M225" s="8">
        <f>Orders[[#This Row],[Revenue]]-Orders[[#This Row],[total cost]]</f>
        <v>78.376500000000021</v>
      </c>
      <c r="N225" t="str" cm="1">
        <f t="array" ref="N225">_xlfn.TEXTJOIN("+",,_xlfn._xlws.SORT(_xlfn.UNIQUE(_xlfn._xlws.FILTER(OrderLines[Category],OrderLines[OrderID]=Orders[[#This Row],[OrderID]]))))</f>
        <v>Snack</v>
      </c>
    </row>
    <row r="226" spans="1:14" x14ac:dyDescent="0.3">
      <c r="A226" t="s">
        <v>262</v>
      </c>
      <c r="B226" s="1">
        <v>45844.160682870373</v>
      </c>
      <c r="C226" t="s">
        <v>15</v>
      </c>
      <c r="D226" t="s">
        <v>28</v>
      </c>
      <c r="E226" t="s">
        <v>17</v>
      </c>
      <c r="F226" t="s">
        <v>12</v>
      </c>
      <c r="G226">
        <v>0.13</v>
      </c>
      <c r="H226" s="8">
        <f>SUMIFS(OrderLines[LineNetAmount],OrderLines[OrderID],Orders[[#This Row],[OrderID]])</f>
        <v>834.16470000000004</v>
      </c>
      <c r="I226" t="str">
        <f>IF(COUNTIFS(OrderLines[OrderID],Orders[[#This Row],[OrderID]],OrderLines[Category],"Beverage"),"yes","no")</f>
        <v>yes</v>
      </c>
      <c r="J226" t="str">
        <f>IF(AND(COUNTIFS(OrderLines[OrderID],Orders[[#This Row],[OrderID]],OrderLines[Category],"Hot Meal"),Orders[[#This Row],[has beverage]]="yes"),"combo","single")</f>
        <v>combo</v>
      </c>
      <c r="K226" s="8" t="str" cm="1">
        <f t="array" ref="K226">IF((SUMPRODUCT(OrderLines[UnitPrice],OrderLines[Qty],--(OrderLines[OrderID]=Orders[[#This Row],[OrderID]]))-Orders[[#This Row],[Revenue]])&gt;40,"high disc","ok")</f>
        <v>high disc</v>
      </c>
      <c r="L226">
        <f>SUMIFS(OrderLines[Food Cost],OrderLines[OrderID],Orders[[#This Row],[OrderID]])</f>
        <v>455.66999999999996</v>
      </c>
      <c r="M226" s="8">
        <f>Orders[[#This Row],[Revenue]]-Orders[[#This Row],[total cost]]</f>
        <v>378.49470000000008</v>
      </c>
      <c r="N226" t="str" cm="1">
        <f t="array" ref="N226">_xlfn.TEXTJOIN("+",,_xlfn._xlws.SORT(_xlfn.UNIQUE(_xlfn._xlws.FILTER(OrderLines[Category],OrderLines[OrderID]=Orders[[#This Row],[OrderID]]))))</f>
        <v>Beverage+Hot Meal+Snack</v>
      </c>
    </row>
    <row r="227" spans="1:14" x14ac:dyDescent="0.3">
      <c r="A227" t="s">
        <v>263</v>
      </c>
      <c r="B227" s="1">
        <v>45845.911377314813</v>
      </c>
      <c r="C227" t="s">
        <v>9</v>
      </c>
      <c r="D227" t="s">
        <v>28</v>
      </c>
      <c r="E227" t="s">
        <v>11</v>
      </c>
      <c r="F227" t="s">
        <v>18</v>
      </c>
      <c r="G227">
        <v>0</v>
      </c>
      <c r="H227" s="8">
        <f>SUMIFS(OrderLines[LineNetAmount],OrderLines[OrderID],Orders[[#This Row],[OrderID]])</f>
        <v>329.84000000000003</v>
      </c>
      <c r="I227" t="str">
        <f>IF(COUNTIFS(OrderLines[OrderID],Orders[[#This Row],[OrderID]],OrderLines[Category],"Beverage"),"yes","no")</f>
        <v>yes</v>
      </c>
      <c r="J227" t="str">
        <f>IF(AND(COUNTIFS(OrderLines[OrderID],Orders[[#This Row],[OrderID]],OrderLines[Category],"Hot Meal"),Orders[[#This Row],[has beverage]]="yes"),"combo","single")</f>
        <v>combo</v>
      </c>
      <c r="K227" s="8" t="str" cm="1">
        <f t="array" ref="K227">IF((SUMPRODUCT(OrderLines[UnitPrice],OrderLines[Qty],--(OrderLines[OrderID]=Orders[[#This Row],[OrderID]]))-Orders[[#This Row],[Revenue]])&gt;40,"high disc","ok")</f>
        <v>ok</v>
      </c>
      <c r="L227">
        <f>SUMIFS(OrderLines[Food Cost],OrderLines[OrderID],Orders[[#This Row],[OrderID]])</f>
        <v>171.56</v>
      </c>
      <c r="M227" s="8">
        <f>Orders[[#This Row],[Revenue]]-Orders[[#This Row],[total cost]]</f>
        <v>158.28000000000003</v>
      </c>
      <c r="N227" t="str" cm="1">
        <f t="array" ref="N227">_xlfn.TEXTJOIN("+",,_xlfn._xlws.SORT(_xlfn.UNIQUE(_xlfn._xlws.FILTER(OrderLines[Category],OrderLines[OrderID]=Orders[[#This Row],[OrderID]]))))</f>
        <v>Beverage+Dessert+Hot Meal</v>
      </c>
    </row>
    <row r="228" spans="1:14" x14ac:dyDescent="0.3">
      <c r="A228" t="s">
        <v>264</v>
      </c>
      <c r="B228" s="1">
        <v>45861.871921296297</v>
      </c>
      <c r="C228" t="s">
        <v>15</v>
      </c>
      <c r="D228" t="s">
        <v>28</v>
      </c>
      <c r="E228" t="s">
        <v>11</v>
      </c>
      <c r="F228" t="s">
        <v>18</v>
      </c>
      <c r="G228">
        <v>0.04</v>
      </c>
      <c r="H228" s="8">
        <f>SUMIFS(OrderLines[LineNetAmount],OrderLines[OrderID],Orders[[#This Row],[OrderID]])</f>
        <v>380.0256</v>
      </c>
      <c r="I228" t="str">
        <f>IF(COUNTIFS(OrderLines[OrderID],Orders[[#This Row],[OrderID]],OrderLines[Category],"Beverage"),"yes","no")</f>
        <v>no</v>
      </c>
      <c r="J228" t="str">
        <f>IF(AND(COUNTIFS(OrderLines[OrderID],Orders[[#This Row],[OrderID]],OrderLines[Category],"Hot Meal"),Orders[[#This Row],[has beverage]]="yes"),"combo","single")</f>
        <v>single</v>
      </c>
      <c r="K228" s="8" t="str" cm="1">
        <f t="array" ref="K228">IF((SUMPRODUCT(OrderLines[UnitPrice],OrderLines[Qty],--(OrderLines[OrderID]=Orders[[#This Row],[OrderID]]))-Orders[[#This Row],[Revenue]])&gt;40,"high disc","ok")</f>
        <v>ok</v>
      </c>
      <c r="L228">
        <f>SUMIFS(OrderLines[Food Cost],OrderLines[OrderID],Orders[[#This Row],[OrderID]])</f>
        <v>170.08999999999997</v>
      </c>
      <c r="M228" s="8">
        <f>Orders[[#This Row],[Revenue]]-Orders[[#This Row],[total cost]]</f>
        <v>209.93560000000002</v>
      </c>
      <c r="N228" t="str" cm="1">
        <f t="array" ref="N228">_xlfn.TEXTJOIN("+",,_xlfn._xlws.SORT(_xlfn.UNIQUE(_xlfn._xlws.FILTER(OrderLines[Category],OrderLines[OrderID]=Orders[[#This Row],[OrderID]]))))</f>
        <v>Dessert+Hot Meal</v>
      </c>
    </row>
    <row r="229" spans="1:14" x14ac:dyDescent="0.3">
      <c r="A229" t="s">
        <v>265</v>
      </c>
      <c r="B229" s="1">
        <v>45866.170706018522</v>
      </c>
      <c r="C229" t="s">
        <v>27</v>
      </c>
      <c r="D229" t="s">
        <v>28</v>
      </c>
      <c r="E229" t="s">
        <v>11</v>
      </c>
      <c r="F229" t="s">
        <v>12</v>
      </c>
      <c r="G229">
        <v>7.0000000000000007E-2</v>
      </c>
      <c r="H229" s="8">
        <f>SUMIFS(OrderLines[LineNetAmount],OrderLines[OrderID],Orders[[#This Row],[OrderID]])</f>
        <v>100.812</v>
      </c>
      <c r="I229" t="str">
        <f>IF(COUNTIFS(OrderLines[OrderID],Orders[[#This Row],[OrderID]],OrderLines[Category],"Beverage"),"yes","no")</f>
        <v>no</v>
      </c>
      <c r="J229" t="str">
        <f>IF(AND(COUNTIFS(OrderLines[OrderID],Orders[[#This Row],[OrderID]],OrderLines[Category],"Hot Meal"),Orders[[#This Row],[has beverage]]="yes"),"combo","single")</f>
        <v>single</v>
      </c>
      <c r="K229" s="8" t="str" cm="1">
        <f t="array" ref="K229">IF((SUMPRODUCT(OrderLines[UnitPrice],OrderLines[Qty],--(OrderLines[OrderID]=Orders[[#This Row],[OrderID]]))-Orders[[#This Row],[Revenue]])&gt;40,"high disc","ok")</f>
        <v>ok</v>
      </c>
      <c r="L229">
        <f>SUMIFS(OrderLines[Food Cost],OrderLines[OrderID],Orders[[#This Row],[OrderID]])</f>
        <v>43.9</v>
      </c>
      <c r="M229" s="8">
        <f>Orders[[#This Row],[Revenue]]-Orders[[#This Row],[total cost]]</f>
        <v>56.911999999999999</v>
      </c>
      <c r="N229" t="str" cm="1">
        <f t="array" ref="N229">_xlfn.TEXTJOIN("+",,_xlfn._xlws.SORT(_xlfn.UNIQUE(_xlfn._xlws.FILTER(OrderLines[Category],OrderLines[OrderID]=Orders[[#This Row],[OrderID]]))))</f>
        <v>Dessert</v>
      </c>
    </row>
    <row r="230" spans="1:14" x14ac:dyDescent="0.3">
      <c r="A230" t="s">
        <v>266</v>
      </c>
      <c r="B230" s="1">
        <v>45856.191979166673</v>
      </c>
      <c r="C230" t="s">
        <v>27</v>
      </c>
      <c r="D230" t="s">
        <v>10</v>
      </c>
      <c r="E230" t="s">
        <v>17</v>
      </c>
      <c r="F230" t="s">
        <v>12</v>
      </c>
      <c r="G230">
        <v>0.12</v>
      </c>
      <c r="H230" s="8">
        <f>SUMIFS(OrderLines[LineNetAmount],OrderLines[OrderID],Orders[[#This Row],[OrderID]])</f>
        <v>455.21519999999998</v>
      </c>
      <c r="I230" t="str">
        <f>IF(COUNTIFS(OrderLines[OrderID],Orders[[#This Row],[OrderID]],OrderLines[Category],"Beverage"),"yes","no")</f>
        <v>no</v>
      </c>
      <c r="J230" t="str">
        <f>IF(AND(COUNTIFS(OrderLines[OrderID],Orders[[#This Row],[OrderID]],OrderLines[Category],"Hot Meal"),Orders[[#This Row],[has beverage]]="yes"),"combo","single")</f>
        <v>single</v>
      </c>
      <c r="K230" s="8" t="str" cm="1">
        <f t="array" ref="K230">IF((SUMPRODUCT(OrderLines[UnitPrice],OrderLines[Qty],--(OrderLines[OrderID]=Orders[[#This Row],[OrderID]]))-Orders[[#This Row],[Revenue]])&gt;40,"high disc","ok")</f>
        <v>high disc</v>
      </c>
      <c r="L230">
        <f>SUMIFS(OrderLines[Food Cost],OrderLines[OrderID],Orders[[#This Row],[OrderID]])</f>
        <v>233.29000000000002</v>
      </c>
      <c r="M230" s="8">
        <f>Orders[[#This Row],[Revenue]]-Orders[[#This Row],[total cost]]</f>
        <v>221.92519999999996</v>
      </c>
      <c r="N230" t="str" cm="1">
        <f t="array" ref="N230">_xlfn.TEXTJOIN("+",,_xlfn._xlws.SORT(_xlfn.UNIQUE(_xlfn._xlws.FILTER(OrderLines[Category],OrderLines[OrderID]=Orders[[#This Row],[OrderID]]))))</f>
        <v>Dessert+Hot Meal+Snack</v>
      </c>
    </row>
    <row r="231" spans="1:14" x14ac:dyDescent="0.3">
      <c r="A231" t="s">
        <v>267</v>
      </c>
      <c r="B231" s="1">
        <v>45840.692789351851</v>
      </c>
      <c r="C231" t="s">
        <v>15</v>
      </c>
      <c r="D231" t="s">
        <v>28</v>
      </c>
      <c r="E231" t="s">
        <v>11</v>
      </c>
      <c r="F231" t="s">
        <v>18</v>
      </c>
      <c r="G231">
        <v>0</v>
      </c>
      <c r="H231" s="8">
        <f>SUMIFS(OrderLines[LineNetAmount],OrderLines[OrderID],Orders[[#This Row],[OrderID]])</f>
        <v>199.26000000000002</v>
      </c>
      <c r="I231" t="str">
        <f>IF(COUNTIFS(OrderLines[OrderID],Orders[[#This Row],[OrderID]],OrderLines[Category],"Beverage"),"yes","no")</f>
        <v>yes</v>
      </c>
      <c r="J231" t="str">
        <f>IF(AND(COUNTIFS(OrderLines[OrderID],Orders[[#This Row],[OrderID]],OrderLines[Category],"Hot Meal"),Orders[[#This Row],[has beverage]]="yes"),"combo","single")</f>
        <v>combo</v>
      </c>
      <c r="K231" s="8" t="str" cm="1">
        <f t="array" ref="K231">IF((SUMPRODUCT(OrderLines[UnitPrice],OrderLines[Qty],--(OrderLines[OrderID]=Orders[[#This Row],[OrderID]]))-Orders[[#This Row],[Revenue]])&gt;40,"high disc","ok")</f>
        <v>ok</v>
      </c>
      <c r="L231">
        <f>SUMIFS(OrderLines[Food Cost],OrderLines[OrderID],Orders[[#This Row],[OrderID]])</f>
        <v>87.96</v>
      </c>
      <c r="M231" s="8">
        <f>Orders[[#This Row],[Revenue]]-Orders[[#This Row],[total cost]]</f>
        <v>111.30000000000003</v>
      </c>
      <c r="N231" t="str" cm="1">
        <f t="array" ref="N231">_xlfn.TEXTJOIN("+",,_xlfn._xlws.SORT(_xlfn.UNIQUE(_xlfn._xlws.FILTER(OrderLines[Category],OrderLines[OrderID]=Orders[[#This Row],[OrderID]]))))</f>
        <v>Beverage+Hot Meal</v>
      </c>
    </row>
    <row r="232" spans="1:14" x14ac:dyDescent="0.3">
      <c r="A232" t="s">
        <v>268</v>
      </c>
      <c r="B232" s="1">
        <v>45840.782187500001</v>
      </c>
      <c r="C232" t="s">
        <v>27</v>
      </c>
      <c r="D232" t="s">
        <v>16</v>
      </c>
      <c r="E232" t="s">
        <v>17</v>
      </c>
      <c r="F232" t="s">
        <v>18</v>
      </c>
      <c r="G232">
        <v>0.11</v>
      </c>
      <c r="H232" s="8">
        <f>SUMIFS(OrderLines[LineNetAmount],OrderLines[OrderID],Orders[[#This Row],[OrderID]])</f>
        <v>460.40589999999997</v>
      </c>
      <c r="I232" t="str">
        <f>IF(COUNTIFS(OrderLines[OrderID],Orders[[#This Row],[OrderID]],OrderLines[Category],"Beverage"),"yes","no")</f>
        <v>yes</v>
      </c>
      <c r="J232" t="str">
        <f>IF(AND(COUNTIFS(OrderLines[OrderID],Orders[[#This Row],[OrderID]],OrderLines[Category],"Hot Meal"),Orders[[#This Row],[has beverage]]="yes"),"combo","single")</f>
        <v>single</v>
      </c>
      <c r="K232" s="8" t="str" cm="1">
        <f t="array" ref="K232">IF((SUMPRODUCT(OrderLines[UnitPrice],OrderLines[Qty],--(OrderLines[OrderID]=Orders[[#This Row],[OrderID]]))-Orders[[#This Row],[Revenue]])&gt;40,"high disc","ok")</f>
        <v>high disc</v>
      </c>
      <c r="L232">
        <f>SUMIFS(OrderLines[Food Cost],OrderLines[OrderID],Orders[[#This Row],[OrderID]])</f>
        <v>238.94</v>
      </c>
      <c r="M232" s="8">
        <f>Orders[[#This Row],[Revenue]]-Orders[[#This Row],[total cost]]</f>
        <v>221.46589999999998</v>
      </c>
      <c r="N232" t="str" cm="1">
        <f t="array" ref="N232">_xlfn.TEXTJOIN("+",,_xlfn._xlws.SORT(_xlfn.UNIQUE(_xlfn._xlws.FILTER(OrderLines[Category],OrderLines[OrderID]=Orders[[#This Row],[OrderID]]))))</f>
        <v>Beverage+Dessert+Snack</v>
      </c>
    </row>
    <row r="233" spans="1:14" x14ac:dyDescent="0.3">
      <c r="A233" t="s">
        <v>269</v>
      </c>
      <c r="B233" s="1">
        <v>45880.121215277781</v>
      </c>
      <c r="C233" t="s">
        <v>9</v>
      </c>
      <c r="D233" t="s">
        <v>28</v>
      </c>
      <c r="E233" t="s">
        <v>11</v>
      </c>
      <c r="F233" t="s">
        <v>12</v>
      </c>
      <c r="G233">
        <v>0.06</v>
      </c>
      <c r="H233" s="8">
        <f>SUMIFS(OrderLines[LineNetAmount],OrderLines[OrderID],Orders[[#This Row],[OrderID]])</f>
        <v>483.5172</v>
      </c>
      <c r="I233" t="str">
        <f>IF(COUNTIFS(OrderLines[OrderID],Orders[[#This Row],[OrderID]],OrderLines[Category],"Beverage"),"yes","no")</f>
        <v>yes</v>
      </c>
      <c r="J233" t="str">
        <f>IF(AND(COUNTIFS(OrderLines[OrderID],Orders[[#This Row],[OrderID]],OrderLines[Category],"Hot Meal"),Orders[[#This Row],[has beverage]]="yes"),"combo","single")</f>
        <v>combo</v>
      </c>
      <c r="K233" s="8" t="str" cm="1">
        <f t="array" ref="K233">IF((SUMPRODUCT(OrderLines[UnitPrice],OrderLines[Qty],--(OrderLines[OrderID]=Orders[[#This Row],[OrderID]]))-Orders[[#This Row],[Revenue]])&gt;40,"high disc","ok")</f>
        <v>ok</v>
      </c>
      <c r="L233">
        <f>SUMIFS(OrderLines[Food Cost],OrderLines[OrderID],Orders[[#This Row],[OrderID]])</f>
        <v>233.54</v>
      </c>
      <c r="M233" s="8">
        <f>Orders[[#This Row],[Revenue]]-Orders[[#This Row],[total cost]]</f>
        <v>249.97720000000001</v>
      </c>
      <c r="N233" t="str" cm="1">
        <f t="array" ref="N233">_xlfn.TEXTJOIN("+",,_xlfn._xlws.SORT(_xlfn.UNIQUE(_xlfn._xlws.FILTER(OrderLines[Category],OrderLines[OrderID]=Orders[[#This Row],[OrderID]]))))</f>
        <v>Beverage+Hot Meal</v>
      </c>
    </row>
    <row r="234" spans="1:14" x14ac:dyDescent="0.3">
      <c r="A234" t="s">
        <v>270</v>
      </c>
      <c r="B234" s="1">
        <v>45885.488888888889</v>
      </c>
      <c r="C234" t="s">
        <v>15</v>
      </c>
      <c r="D234" t="s">
        <v>16</v>
      </c>
      <c r="E234" t="s">
        <v>11</v>
      </c>
      <c r="F234" t="s">
        <v>22</v>
      </c>
      <c r="G234">
        <v>0.02</v>
      </c>
      <c r="H234" s="8">
        <f>SUMIFS(OrderLines[LineNetAmount],OrderLines[OrderID],Orders[[#This Row],[OrderID]])</f>
        <v>128.10560000000001</v>
      </c>
      <c r="I234" t="str">
        <f>IF(COUNTIFS(OrderLines[OrderID],Orders[[#This Row],[OrderID]],OrderLines[Category],"Beverage"),"yes","no")</f>
        <v>yes</v>
      </c>
      <c r="J234" t="str">
        <f>IF(AND(COUNTIFS(OrderLines[OrderID],Orders[[#This Row],[OrderID]],OrderLines[Category],"Hot Meal"),Orders[[#This Row],[has beverage]]="yes"),"combo","single")</f>
        <v>single</v>
      </c>
      <c r="K234" s="8" t="str" cm="1">
        <f t="array" ref="K234">IF((SUMPRODUCT(OrderLines[UnitPrice],OrderLines[Qty],--(OrderLines[OrderID]=Orders[[#This Row],[OrderID]]))-Orders[[#This Row],[Revenue]])&gt;40,"high disc","ok")</f>
        <v>ok</v>
      </c>
      <c r="L234">
        <f>SUMIFS(OrderLines[Food Cost],OrderLines[OrderID],Orders[[#This Row],[OrderID]])</f>
        <v>59.4</v>
      </c>
      <c r="M234" s="8">
        <f>Orders[[#This Row],[Revenue]]-Orders[[#This Row],[total cost]]</f>
        <v>68.705600000000004</v>
      </c>
      <c r="N234" t="str" cm="1">
        <f t="array" ref="N234">_xlfn.TEXTJOIN("+",,_xlfn._xlws.SORT(_xlfn.UNIQUE(_xlfn._xlws.FILTER(OrderLines[Category],OrderLines[OrderID]=Orders[[#This Row],[OrderID]]))))</f>
        <v>Beverage+Snack</v>
      </c>
    </row>
    <row r="235" spans="1:14" x14ac:dyDescent="0.3">
      <c r="A235" t="s">
        <v>271</v>
      </c>
      <c r="B235" s="1">
        <v>45883.135370370372</v>
      </c>
      <c r="C235" t="s">
        <v>9</v>
      </c>
      <c r="D235" t="s">
        <v>28</v>
      </c>
      <c r="E235" t="s">
        <v>11</v>
      </c>
      <c r="F235" t="s">
        <v>12</v>
      </c>
      <c r="G235">
        <v>0.08</v>
      </c>
      <c r="H235" s="8">
        <f>SUMIFS(OrderLines[LineNetAmount],OrderLines[OrderID],Orders[[#This Row],[OrderID]])</f>
        <v>36.754000000000005</v>
      </c>
      <c r="I235" t="str">
        <f>IF(COUNTIFS(OrderLines[OrderID],Orders[[#This Row],[OrderID]],OrderLines[Category],"Beverage"),"yes","no")</f>
        <v>no</v>
      </c>
      <c r="J235" t="str">
        <f>IF(AND(COUNTIFS(OrderLines[OrderID],Orders[[#This Row],[OrderID]],OrderLines[Category],"Hot Meal"),Orders[[#This Row],[has beverage]]="yes"),"combo","single")</f>
        <v>single</v>
      </c>
      <c r="K235" s="8" t="str" cm="1">
        <f t="array" ref="K235">IF((SUMPRODUCT(OrderLines[UnitPrice],OrderLines[Qty],--(OrderLines[OrderID]=Orders[[#This Row],[OrderID]]))-Orders[[#This Row],[Revenue]])&gt;40,"high disc","ok")</f>
        <v>ok</v>
      </c>
      <c r="L235">
        <f>SUMIFS(OrderLines[Food Cost],OrderLines[OrderID],Orders[[#This Row],[OrderID]])</f>
        <v>15.51</v>
      </c>
      <c r="M235" s="8">
        <f>Orders[[#This Row],[Revenue]]-Orders[[#This Row],[total cost]]</f>
        <v>21.244000000000007</v>
      </c>
      <c r="N235" t="str" cm="1">
        <f t="array" ref="N235">_xlfn.TEXTJOIN("+",,_xlfn._xlws.SORT(_xlfn.UNIQUE(_xlfn._xlws.FILTER(OrderLines[Category],OrderLines[OrderID]=Orders[[#This Row],[OrderID]]))))</f>
        <v>Snack</v>
      </c>
    </row>
    <row r="236" spans="1:14" x14ac:dyDescent="0.3">
      <c r="A236" t="s">
        <v>272</v>
      </c>
      <c r="B236" s="1">
        <v>45889.877881944441</v>
      </c>
      <c r="C236" t="s">
        <v>15</v>
      </c>
      <c r="D236" t="s">
        <v>16</v>
      </c>
      <c r="E236" t="s">
        <v>11</v>
      </c>
      <c r="F236" t="s">
        <v>18</v>
      </c>
      <c r="G236">
        <v>7.0000000000000007E-2</v>
      </c>
      <c r="H236" s="8">
        <f>SUMIFS(OrderLines[LineNetAmount],OrderLines[OrderID],Orders[[#This Row],[OrderID]])</f>
        <v>136.15199999999999</v>
      </c>
      <c r="I236" t="str">
        <f>IF(COUNTIFS(OrderLines[OrderID],Orders[[#This Row],[OrderID]],OrderLines[Category],"Beverage"),"yes","no")</f>
        <v>no</v>
      </c>
      <c r="J236" t="str">
        <f>IF(AND(COUNTIFS(OrderLines[OrderID],Orders[[#This Row],[OrderID]],OrderLines[Category],"Hot Meal"),Orders[[#This Row],[has beverage]]="yes"),"combo","single")</f>
        <v>single</v>
      </c>
      <c r="K236" s="8" t="str" cm="1">
        <f t="array" ref="K236">IF((SUMPRODUCT(OrderLines[UnitPrice],OrderLines[Qty],--(OrderLines[OrderID]=Orders[[#This Row],[OrderID]]))-Orders[[#This Row],[Revenue]])&gt;40,"high disc","ok")</f>
        <v>ok</v>
      </c>
      <c r="L236">
        <f>SUMIFS(OrderLines[Food Cost],OrderLines[OrderID],Orders[[#This Row],[OrderID]])</f>
        <v>80.92</v>
      </c>
      <c r="M236" s="8">
        <f>Orders[[#This Row],[Revenue]]-Orders[[#This Row],[total cost]]</f>
        <v>55.231999999999985</v>
      </c>
      <c r="N236" t="str" cm="1">
        <f t="array" ref="N236">_xlfn.TEXTJOIN("+",,_xlfn._xlws.SORT(_xlfn.UNIQUE(_xlfn._xlws.FILTER(OrderLines[Category],OrderLines[OrderID]=Orders[[#This Row],[OrderID]]))))</f>
        <v>Hot Meal</v>
      </c>
    </row>
    <row r="237" spans="1:14" x14ac:dyDescent="0.3">
      <c r="A237" t="s">
        <v>273</v>
      </c>
      <c r="B237" s="1">
        <v>45845.155555555553</v>
      </c>
      <c r="C237" t="s">
        <v>15</v>
      </c>
      <c r="D237" t="s">
        <v>16</v>
      </c>
      <c r="E237" t="s">
        <v>21</v>
      </c>
      <c r="F237" t="s">
        <v>12</v>
      </c>
      <c r="G237">
        <v>0.04</v>
      </c>
      <c r="H237" s="8">
        <f>SUMIFS(OrderLines[LineNetAmount],OrderLines[OrderID],Orders[[#This Row],[OrderID]])</f>
        <v>190.22399999999999</v>
      </c>
      <c r="I237" t="str">
        <f>IF(COUNTIFS(OrderLines[OrderID],Orders[[#This Row],[OrderID]],OrderLines[Category],"Beverage"),"yes","no")</f>
        <v>no</v>
      </c>
      <c r="J237" t="str">
        <f>IF(AND(COUNTIFS(OrderLines[OrderID],Orders[[#This Row],[OrderID]],OrderLines[Category],"Hot Meal"),Orders[[#This Row],[has beverage]]="yes"),"combo","single")</f>
        <v>single</v>
      </c>
      <c r="K237" s="8" t="str" cm="1">
        <f t="array" ref="K237">IF((SUMPRODUCT(OrderLines[UnitPrice],OrderLines[Qty],--(OrderLines[OrderID]=Orders[[#This Row],[OrderID]]))-Orders[[#This Row],[Revenue]])&gt;40,"high disc","ok")</f>
        <v>ok</v>
      </c>
      <c r="L237">
        <f>SUMIFS(OrderLines[Food Cost],OrderLines[OrderID],Orders[[#This Row],[OrderID]])</f>
        <v>100.76</v>
      </c>
      <c r="M237" s="8">
        <f>Orders[[#This Row],[Revenue]]-Orders[[#This Row],[total cost]]</f>
        <v>89.463999999999984</v>
      </c>
      <c r="N237" t="str" cm="1">
        <f t="array" ref="N237">_xlfn.TEXTJOIN("+",,_xlfn._xlws.SORT(_xlfn.UNIQUE(_xlfn._xlws.FILTER(OrderLines[Category],OrderLines[OrderID]=Orders[[#This Row],[OrderID]]))))</f>
        <v>Dessert+Snack</v>
      </c>
    </row>
    <row r="238" spans="1:14" x14ac:dyDescent="0.3">
      <c r="A238" t="s">
        <v>274</v>
      </c>
      <c r="B238" s="1">
        <v>45886.850381944438</v>
      </c>
      <c r="C238" t="s">
        <v>9</v>
      </c>
      <c r="D238" t="s">
        <v>16</v>
      </c>
      <c r="E238" t="s">
        <v>17</v>
      </c>
      <c r="F238" t="s">
        <v>18</v>
      </c>
      <c r="G238">
        <v>0.06</v>
      </c>
      <c r="H238" s="8">
        <f>SUMIFS(OrderLines[LineNetAmount],OrderLines[OrderID],Orders[[#This Row],[OrderID]])</f>
        <v>75.105999999999995</v>
      </c>
      <c r="I238" t="str">
        <f>IF(COUNTIFS(OrderLines[OrderID],Orders[[#This Row],[OrderID]],OrderLines[Category],"Beverage"),"yes","no")</f>
        <v>no</v>
      </c>
      <c r="J238" t="str">
        <f>IF(AND(COUNTIFS(OrderLines[OrderID],Orders[[#This Row],[OrderID]],OrderLines[Category],"Hot Meal"),Orders[[#This Row],[has beverage]]="yes"),"combo","single")</f>
        <v>single</v>
      </c>
      <c r="K238" s="8" t="str" cm="1">
        <f t="array" ref="K238">IF((SUMPRODUCT(OrderLines[UnitPrice],OrderLines[Qty],--(OrderLines[OrderID]=Orders[[#This Row],[OrderID]]))-Orders[[#This Row],[Revenue]])&gt;40,"high disc","ok")</f>
        <v>ok</v>
      </c>
      <c r="L238">
        <f>SUMIFS(OrderLines[Food Cost],OrderLines[OrderID],Orders[[#This Row],[OrderID]])</f>
        <v>31.02</v>
      </c>
      <c r="M238" s="8">
        <f>Orders[[#This Row],[Revenue]]-Orders[[#This Row],[total cost]]</f>
        <v>44.085999999999999</v>
      </c>
      <c r="N238" t="str" cm="1">
        <f t="array" ref="N238">_xlfn.TEXTJOIN("+",,_xlfn._xlws.SORT(_xlfn.UNIQUE(_xlfn._xlws.FILTER(OrderLines[Category],OrderLines[OrderID]=Orders[[#This Row],[OrderID]]))))</f>
        <v>Snack</v>
      </c>
    </row>
    <row r="239" spans="1:14" x14ac:dyDescent="0.3">
      <c r="A239" t="s">
        <v>275</v>
      </c>
      <c r="B239" s="1">
        <v>45870.523946759262</v>
      </c>
      <c r="C239" t="s">
        <v>9</v>
      </c>
      <c r="D239" t="s">
        <v>28</v>
      </c>
      <c r="E239" t="s">
        <v>17</v>
      </c>
      <c r="F239" t="s">
        <v>22</v>
      </c>
      <c r="G239">
        <v>0.04</v>
      </c>
      <c r="H239" s="8">
        <f>SUMIFS(OrderLines[LineNetAmount],OrderLines[OrderID],Orders[[#This Row],[OrderID]])</f>
        <v>358.31040000000002</v>
      </c>
      <c r="I239" t="str">
        <f>IF(COUNTIFS(OrderLines[OrderID],Orders[[#This Row],[OrderID]],OrderLines[Category],"Beverage"),"yes","no")</f>
        <v>yes</v>
      </c>
      <c r="J239" t="str">
        <f>IF(AND(COUNTIFS(OrderLines[OrderID],Orders[[#This Row],[OrderID]],OrderLines[Category],"Hot Meal"),Orders[[#This Row],[has beverage]]="yes"),"combo","single")</f>
        <v>single</v>
      </c>
      <c r="K239" s="8" t="str" cm="1">
        <f t="array" ref="K239">IF((SUMPRODUCT(OrderLines[UnitPrice],OrderLines[Qty],--(OrderLines[OrderID]=Orders[[#This Row],[OrderID]]))-Orders[[#This Row],[Revenue]])&gt;40,"high disc","ok")</f>
        <v>ok</v>
      </c>
      <c r="L239">
        <f>SUMIFS(OrderLines[Food Cost],OrderLines[OrderID],Orders[[#This Row],[OrderID]])</f>
        <v>185.23999999999998</v>
      </c>
      <c r="M239" s="8">
        <f>Orders[[#This Row],[Revenue]]-Orders[[#This Row],[total cost]]</f>
        <v>173.07040000000003</v>
      </c>
      <c r="N239" t="str" cm="1">
        <f t="array" ref="N239">_xlfn.TEXTJOIN("+",,_xlfn._xlws.SORT(_xlfn.UNIQUE(_xlfn._xlws.FILTER(OrderLines[Category],OrderLines[OrderID]=Orders[[#This Row],[OrderID]]))))</f>
        <v>Beverage+Dessert+Snack</v>
      </c>
    </row>
    <row r="240" spans="1:14" x14ac:dyDescent="0.3">
      <c r="A240" t="s">
        <v>276</v>
      </c>
      <c r="B240" s="1">
        <v>45865.95140046296</v>
      </c>
      <c r="C240" t="s">
        <v>9</v>
      </c>
      <c r="D240" t="s">
        <v>10</v>
      </c>
      <c r="E240" t="s">
        <v>11</v>
      </c>
      <c r="F240" t="s">
        <v>18</v>
      </c>
      <c r="G240">
        <v>0.06</v>
      </c>
      <c r="H240" s="8">
        <f>SUMIFS(OrderLines[LineNetAmount],OrderLines[OrderID],Orders[[#This Row],[OrderID]])</f>
        <v>403.89919999999995</v>
      </c>
      <c r="I240" t="str">
        <f>IF(COUNTIFS(OrderLines[OrderID],Orders[[#This Row],[OrderID]],OrderLines[Category],"Beverage"),"yes","no")</f>
        <v>yes</v>
      </c>
      <c r="J240" t="str">
        <f>IF(AND(COUNTIFS(OrderLines[OrderID],Orders[[#This Row],[OrderID]],OrderLines[Category],"Hot Meal"),Orders[[#This Row],[has beverage]]="yes"),"combo","single")</f>
        <v>combo</v>
      </c>
      <c r="K240" s="8" t="str" cm="1">
        <f t="array" ref="K240">IF((SUMPRODUCT(OrderLines[UnitPrice],OrderLines[Qty],--(OrderLines[OrderID]=Orders[[#This Row],[OrderID]]))-Orders[[#This Row],[Revenue]])&gt;40,"high disc","ok")</f>
        <v>ok</v>
      </c>
      <c r="L240">
        <f>SUMIFS(OrderLines[Food Cost],OrderLines[OrderID],Orders[[#This Row],[OrderID]])</f>
        <v>224.07</v>
      </c>
      <c r="M240" s="8">
        <f>Orders[[#This Row],[Revenue]]-Orders[[#This Row],[total cost]]</f>
        <v>179.82919999999996</v>
      </c>
      <c r="N240" t="str" cm="1">
        <f t="array" ref="N240">_xlfn.TEXTJOIN("+",,_xlfn._xlws.SORT(_xlfn.UNIQUE(_xlfn._xlws.FILTER(OrderLines[Category],OrderLines[OrderID]=Orders[[#This Row],[OrderID]]))))</f>
        <v>Beverage+Dessert+Hot Meal</v>
      </c>
    </row>
    <row r="241" spans="1:14" x14ac:dyDescent="0.3">
      <c r="A241" t="s">
        <v>277</v>
      </c>
      <c r="B241" s="1">
        <v>45870.822372685187</v>
      </c>
      <c r="C241" t="s">
        <v>15</v>
      </c>
      <c r="D241" t="s">
        <v>10</v>
      </c>
      <c r="E241" t="s">
        <v>11</v>
      </c>
      <c r="F241" t="s">
        <v>18</v>
      </c>
      <c r="G241">
        <v>0.09</v>
      </c>
      <c r="H241" s="8">
        <f>SUMIFS(OrderLines[LineNetAmount],OrderLines[OrderID],Orders[[#This Row],[OrderID]])</f>
        <v>1180.0425</v>
      </c>
      <c r="I241" t="str">
        <f>IF(COUNTIFS(OrderLines[OrderID],Orders[[#This Row],[OrderID]],OrderLines[Category],"Beverage"),"yes","no")</f>
        <v>no</v>
      </c>
      <c r="J241" t="str">
        <f>IF(AND(COUNTIFS(OrderLines[OrderID],Orders[[#This Row],[OrderID]],OrderLines[Category],"Hot Meal"),Orders[[#This Row],[has beverage]]="yes"),"combo","single")</f>
        <v>single</v>
      </c>
      <c r="K241" s="8" t="str" cm="1">
        <f t="array" ref="K241">IF((SUMPRODUCT(OrderLines[UnitPrice],OrderLines[Qty],--(OrderLines[OrderID]=Orders[[#This Row],[OrderID]]))-Orders[[#This Row],[Revenue]])&gt;40,"high disc","ok")</f>
        <v>high disc</v>
      </c>
      <c r="L241">
        <f>SUMIFS(OrderLines[Food Cost],OrderLines[OrderID],Orders[[#This Row],[OrderID]])</f>
        <v>612.74</v>
      </c>
      <c r="M241" s="8">
        <f>Orders[[#This Row],[Revenue]]-Orders[[#This Row],[total cost]]</f>
        <v>567.30250000000001</v>
      </c>
      <c r="N241" t="str" cm="1">
        <f t="array" ref="N241">_xlfn.TEXTJOIN("+",,_xlfn._xlws.SORT(_xlfn.UNIQUE(_xlfn._xlws.FILTER(OrderLines[Category],OrderLines[OrderID]=Orders[[#This Row],[OrderID]]))))</f>
        <v>Dessert+Hot Meal+Snack</v>
      </c>
    </row>
    <row r="242" spans="1:14" x14ac:dyDescent="0.3">
      <c r="A242" t="s">
        <v>278</v>
      </c>
      <c r="B242" s="1">
        <v>45883.301388888889</v>
      </c>
      <c r="C242" t="s">
        <v>9</v>
      </c>
      <c r="D242" t="s">
        <v>10</v>
      </c>
      <c r="E242" t="s">
        <v>21</v>
      </c>
      <c r="F242" t="s">
        <v>12</v>
      </c>
      <c r="G242">
        <v>0.12</v>
      </c>
      <c r="H242" s="8">
        <f>SUMIFS(OrderLines[LineNetAmount],OrderLines[OrderID],Orders[[#This Row],[OrderID]])</f>
        <v>129.48319999999998</v>
      </c>
      <c r="I242" t="str">
        <f>IF(COUNTIFS(OrderLines[OrderID],Orders[[#This Row],[OrderID]],OrderLines[Category],"Beverage"),"yes","no")</f>
        <v>yes</v>
      </c>
      <c r="J242" t="str">
        <f>IF(AND(COUNTIFS(OrderLines[OrderID],Orders[[#This Row],[OrderID]],OrderLines[Category],"Hot Meal"),Orders[[#This Row],[has beverage]]="yes"),"combo","single")</f>
        <v>single</v>
      </c>
      <c r="K242" s="8" t="str" cm="1">
        <f t="array" ref="K242">IF((SUMPRODUCT(OrderLines[UnitPrice],OrderLines[Qty],--(OrderLines[OrderID]=Orders[[#This Row],[OrderID]]))-Orders[[#This Row],[Revenue]])&gt;40,"high disc","ok")</f>
        <v>ok</v>
      </c>
      <c r="L242">
        <f>SUMIFS(OrderLines[Food Cost],OrderLines[OrderID],Orders[[#This Row],[OrderID]])</f>
        <v>63.15</v>
      </c>
      <c r="M242" s="8">
        <f>Orders[[#This Row],[Revenue]]-Orders[[#This Row],[total cost]]</f>
        <v>66.333199999999977</v>
      </c>
      <c r="N242" t="str" cm="1">
        <f t="array" ref="N242">_xlfn.TEXTJOIN("+",,_xlfn._xlws.SORT(_xlfn.UNIQUE(_xlfn._xlws.FILTER(OrderLines[Category],OrderLines[OrderID]=Orders[[#This Row],[OrderID]]))))</f>
        <v>Beverage+Dessert</v>
      </c>
    </row>
    <row r="243" spans="1:14" x14ac:dyDescent="0.3">
      <c r="A243" t="s">
        <v>279</v>
      </c>
      <c r="B243" s="1">
        <v>45850.358495370368</v>
      </c>
      <c r="C243" t="s">
        <v>9</v>
      </c>
      <c r="D243" t="s">
        <v>10</v>
      </c>
      <c r="E243" t="s">
        <v>11</v>
      </c>
      <c r="F243" t="s">
        <v>12</v>
      </c>
      <c r="G243">
        <v>0.01</v>
      </c>
      <c r="H243" s="8">
        <f>SUMIFS(OrderLines[LineNetAmount],OrderLines[OrderID],Orders[[#This Row],[OrderID]])</f>
        <v>1112.7204000000002</v>
      </c>
      <c r="I243" t="str">
        <f>IF(COUNTIFS(OrderLines[OrderID],Orders[[#This Row],[OrderID]],OrderLines[Category],"Beverage"),"yes","no")</f>
        <v>no</v>
      </c>
      <c r="J243" t="str">
        <f>IF(AND(COUNTIFS(OrderLines[OrderID],Orders[[#This Row],[OrderID]],OrderLines[Category],"Hot Meal"),Orders[[#This Row],[has beverage]]="yes"),"combo","single")</f>
        <v>single</v>
      </c>
      <c r="K243" s="8" t="str" cm="1">
        <f t="array" ref="K243">IF((SUMPRODUCT(OrderLines[UnitPrice],OrderLines[Qty],--(OrderLines[OrderID]=Orders[[#This Row],[OrderID]]))-Orders[[#This Row],[Revenue]])&gt;40,"high disc","ok")</f>
        <v>ok</v>
      </c>
      <c r="L243">
        <f>SUMIFS(OrderLines[Food Cost],OrderLines[OrderID],Orders[[#This Row],[OrderID]])</f>
        <v>517.20999999999992</v>
      </c>
      <c r="M243" s="8">
        <f>Orders[[#This Row],[Revenue]]-Orders[[#This Row],[total cost]]</f>
        <v>595.51040000000023</v>
      </c>
      <c r="N243" t="str" cm="1">
        <f t="array" ref="N243">_xlfn.TEXTJOIN("+",,_xlfn._xlws.SORT(_xlfn.UNIQUE(_xlfn._xlws.FILTER(OrderLines[Category],OrderLines[OrderID]=Orders[[#This Row],[OrderID]]))))</f>
        <v>Hot Meal+Snack</v>
      </c>
    </row>
    <row r="244" spans="1:14" x14ac:dyDescent="0.3">
      <c r="A244" t="s">
        <v>280</v>
      </c>
      <c r="B244" s="1">
        <v>45881.005648148152</v>
      </c>
      <c r="C244" t="s">
        <v>15</v>
      </c>
      <c r="D244" t="s">
        <v>28</v>
      </c>
      <c r="E244" t="s">
        <v>21</v>
      </c>
      <c r="F244" t="s">
        <v>12</v>
      </c>
      <c r="G244">
        <v>0.15</v>
      </c>
      <c r="H244" s="8">
        <f>SUMIFS(OrderLines[LineNetAmount],OrderLines[OrderID],Orders[[#This Row],[OrderID]])</f>
        <v>196.29899999999998</v>
      </c>
      <c r="I244" t="str">
        <f>IF(COUNTIFS(OrderLines[OrderID],Orders[[#This Row],[OrderID]],OrderLines[Category],"Beverage"),"yes","no")</f>
        <v>no</v>
      </c>
      <c r="J244" t="str">
        <f>IF(AND(COUNTIFS(OrderLines[OrderID],Orders[[#This Row],[OrderID]],OrderLines[Category],"Hot Meal"),Orders[[#This Row],[has beverage]]="yes"),"combo","single")</f>
        <v>single</v>
      </c>
      <c r="K244" s="8" t="str" cm="1">
        <f t="array" ref="K244">IF((SUMPRODUCT(OrderLines[UnitPrice],OrderLines[Qty],--(OrderLines[OrderID]=Orders[[#This Row],[OrderID]]))-Orders[[#This Row],[Revenue]])&gt;40,"high disc","ok")</f>
        <v>ok</v>
      </c>
      <c r="L244">
        <f>SUMIFS(OrderLines[Food Cost],OrderLines[OrderID],Orders[[#This Row],[OrderID]])</f>
        <v>107.25</v>
      </c>
      <c r="M244" s="8">
        <f>Orders[[#This Row],[Revenue]]-Orders[[#This Row],[total cost]]</f>
        <v>89.048999999999978</v>
      </c>
      <c r="N244" t="str" cm="1">
        <f t="array" ref="N244">_xlfn.TEXTJOIN("+",,_xlfn._xlws.SORT(_xlfn.UNIQUE(_xlfn._xlws.FILTER(OrderLines[Category],OrderLines[OrderID]=Orders[[#This Row],[OrderID]]))))</f>
        <v>Dessert</v>
      </c>
    </row>
    <row r="245" spans="1:14" x14ac:dyDescent="0.3">
      <c r="A245" t="s">
        <v>281</v>
      </c>
      <c r="B245" s="1">
        <v>45883.280370370368</v>
      </c>
      <c r="C245" t="s">
        <v>15</v>
      </c>
      <c r="D245" t="s">
        <v>16</v>
      </c>
      <c r="E245" t="s">
        <v>11</v>
      </c>
      <c r="F245" t="s">
        <v>12</v>
      </c>
      <c r="G245">
        <v>0</v>
      </c>
      <c r="H245" s="8">
        <f>SUMIFS(OrderLines[LineNetAmount],OrderLines[OrderID],Orders[[#This Row],[OrderID]])</f>
        <v>420.02000000000004</v>
      </c>
      <c r="I245" t="str">
        <f>IF(COUNTIFS(OrderLines[OrderID],Orders[[#This Row],[OrderID]],OrderLines[Category],"Beverage"),"yes","no")</f>
        <v>yes</v>
      </c>
      <c r="J245" t="str">
        <f>IF(AND(COUNTIFS(OrderLines[OrderID],Orders[[#This Row],[OrderID]],OrderLines[Category],"Hot Meal"),Orders[[#This Row],[has beverage]]="yes"),"combo","single")</f>
        <v>combo</v>
      </c>
      <c r="K245" s="8" t="str" cm="1">
        <f t="array" ref="K245">IF((SUMPRODUCT(OrderLines[UnitPrice],OrderLines[Qty],--(OrderLines[OrderID]=Orders[[#This Row],[OrderID]]))-Orders[[#This Row],[Revenue]])&gt;40,"high disc","ok")</f>
        <v>ok</v>
      </c>
      <c r="L245">
        <f>SUMIFS(OrderLines[Food Cost],OrderLines[OrderID],Orders[[#This Row],[OrderID]])</f>
        <v>176.55</v>
      </c>
      <c r="M245" s="8">
        <f>Orders[[#This Row],[Revenue]]-Orders[[#This Row],[total cost]]</f>
        <v>243.47000000000003</v>
      </c>
      <c r="N245" t="str" cm="1">
        <f t="array" ref="N245">_xlfn.TEXTJOIN("+",,_xlfn._xlws.SORT(_xlfn.UNIQUE(_xlfn._xlws.FILTER(OrderLines[Category],OrderLines[OrderID]=Orders[[#This Row],[OrderID]]))))</f>
        <v>Beverage+Hot Meal+Snack</v>
      </c>
    </row>
    <row r="246" spans="1:14" x14ac:dyDescent="0.3">
      <c r="A246" t="s">
        <v>282</v>
      </c>
      <c r="B246" s="1">
        <v>45869.59542824074</v>
      </c>
      <c r="C246" t="s">
        <v>15</v>
      </c>
      <c r="D246" t="s">
        <v>16</v>
      </c>
      <c r="E246" t="s">
        <v>11</v>
      </c>
      <c r="F246" t="s">
        <v>22</v>
      </c>
      <c r="G246">
        <v>0.05</v>
      </c>
      <c r="H246" s="8">
        <f>SUMIFS(OrderLines[LineNetAmount],OrderLines[OrderID],Orders[[#This Row],[OrderID]])</f>
        <v>591.89749999999992</v>
      </c>
      <c r="I246" t="str">
        <f>IF(COUNTIFS(OrderLines[OrderID],Orders[[#This Row],[OrderID]],OrderLines[Category],"Beverage"),"yes","no")</f>
        <v>no</v>
      </c>
      <c r="J246" t="str">
        <f>IF(AND(COUNTIFS(OrderLines[OrderID],Orders[[#This Row],[OrderID]],OrderLines[Category],"Hot Meal"),Orders[[#This Row],[has beverage]]="yes"),"combo","single")</f>
        <v>single</v>
      </c>
      <c r="K246" s="8" t="str" cm="1">
        <f t="array" ref="K246">IF((SUMPRODUCT(OrderLines[UnitPrice],OrderLines[Qty],--(OrderLines[OrderID]=Orders[[#This Row],[OrderID]]))-Orders[[#This Row],[Revenue]])&gt;40,"high disc","ok")</f>
        <v>ok</v>
      </c>
      <c r="L246">
        <f>SUMIFS(OrderLines[Food Cost],OrderLines[OrderID],Orders[[#This Row],[OrderID]])</f>
        <v>306.47000000000003</v>
      </c>
      <c r="M246" s="8">
        <f>Orders[[#This Row],[Revenue]]-Orders[[#This Row],[total cost]]</f>
        <v>285.4274999999999</v>
      </c>
      <c r="N246" t="str" cm="1">
        <f t="array" ref="N246">_xlfn.TEXTJOIN("+",,_xlfn._xlws.SORT(_xlfn.UNIQUE(_xlfn._xlws.FILTER(OrderLines[Category],OrderLines[OrderID]=Orders[[#This Row],[OrderID]]))))</f>
        <v>Hot Meal+Snack</v>
      </c>
    </row>
    <row r="247" spans="1:14" x14ac:dyDescent="0.3">
      <c r="A247" t="s">
        <v>283</v>
      </c>
      <c r="B247" s="1">
        <v>45875.59101851852</v>
      </c>
      <c r="C247" t="s">
        <v>27</v>
      </c>
      <c r="D247" t="s">
        <v>10</v>
      </c>
      <c r="E247" t="s">
        <v>21</v>
      </c>
      <c r="F247" t="s">
        <v>22</v>
      </c>
      <c r="G247">
        <v>0.08</v>
      </c>
      <c r="H247" s="8">
        <f>SUMIFS(OrderLines[LineNetAmount],OrderLines[OrderID],Orders[[#This Row],[OrderID]])</f>
        <v>194.69040000000001</v>
      </c>
      <c r="I247" t="str">
        <f>IF(COUNTIFS(OrderLines[OrderID],Orders[[#This Row],[OrderID]],OrderLines[Category],"Beverage"),"yes","no")</f>
        <v>no</v>
      </c>
      <c r="J247" t="str">
        <f>IF(AND(COUNTIFS(OrderLines[OrderID],Orders[[#This Row],[OrderID]],OrderLines[Category],"Hot Meal"),Orders[[#This Row],[has beverage]]="yes"),"combo","single")</f>
        <v>single</v>
      </c>
      <c r="K247" s="8" t="str" cm="1">
        <f t="array" ref="K247">IF((SUMPRODUCT(OrderLines[UnitPrice],OrderLines[Qty],--(OrderLines[OrderID]=Orders[[#This Row],[OrderID]]))-Orders[[#This Row],[Revenue]])&gt;40,"high disc","ok")</f>
        <v>ok</v>
      </c>
      <c r="L247">
        <f>SUMIFS(OrderLines[Food Cost],OrderLines[OrderID],Orders[[#This Row],[OrderID]])</f>
        <v>107.43</v>
      </c>
      <c r="M247" s="8">
        <f>Orders[[#This Row],[Revenue]]-Orders[[#This Row],[total cost]]</f>
        <v>87.260400000000004</v>
      </c>
      <c r="N247" t="str" cm="1">
        <f t="array" ref="N247">_xlfn.TEXTJOIN("+",,_xlfn._xlws.SORT(_xlfn.UNIQUE(_xlfn._xlws.FILTER(OrderLines[Category],OrderLines[OrderID]=Orders[[#This Row],[OrderID]]))))</f>
        <v>Snack</v>
      </c>
    </row>
    <row r="248" spans="1:14" x14ac:dyDescent="0.3">
      <c r="A248" t="s">
        <v>284</v>
      </c>
      <c r="B248" s="1">
        <v>45848.107037037043</v>
      </c>
      <c r="C248" t="s">
        <v>27</v>
      </c>
      <c r="D248" t="s">
        <v>28</v>
      </c>
      <c r="E248" t="s">
        <v>21</v>
      </c>
      <c r="F248" t="s">
        <v>12</v>
      </c>
      <c r="G248">
        <v>7.0000000000000007E-2</v>
      </c>
      <c r="H248" s="8">
        <f>SUMIFS(OrderLines[LineNetAmount],OrderLines[OrderID],Orders[[#This Row],[OrderID]])</f>
        <v>775.47119999999995</v>
      </c>
      <c r="I248" t="str">
        <f>IF(COUNTIFS(OrderLines[OrderID],Orders[[#This Row],[OrderID]],OrderLines[Category],"Beverage"),"yes","no")</f>
        <v>no</v>
      </c>
      <c r="J248" t="str">
        <f>IF(AND(COUNTIFS(OrderLines[OrderID],Orders[[#This Row],[OrderID]],OrderLines[Category],"Hot Meal"),Orders[[#This Row],[has beverage]]="yes"),"combo","single")</f>
        <v>single</v>
      </c>
      <c r="K248" s="8" t="str" cm="1">
        <f t="array" ref="K248">IF((SUMPRODUCT(OrderLines[UnitPrice],OrderLines[Qty],--(OrderLines[OrderID]=Orders[[#This Row],[OrderID]]))-Orders[[#This Row],[Revenue]])&gt;40,"high disc","ok")</f>
        <v>high disc</v>
      </c>
      <c r="L248">
        <f>SUMIFS(OrderLines[Food Cost],OrderLines[OrderID],Orders[[#This Row],[OrderID]])</f>
        <v>372.29999999999995</v>
      </c>
      <c r="M248" s="8">
        <f>Orders[[#This Row],[Revenue]]-Orders[[#This Row],[total cost]]</f>
        <v>403.1712</v>
      </c>
      <c r="N248" t="str" cm="1">
        <f t="array" ref="N248">_xlfn.TEXTJOIN("+",,_xlfn._xlws.SORT(_xlfn.UNIQUE(_xlfn._xlws.FILTER(OrderLines[Category],OrderLines[OrderID]=Orders[[#This Row],[OrderID]]))))</f>
        <v>Hot Meal</v>
      </c>
    </row>
    <row r="249" spans="1:14" x14ac:dyDescent="0.3">
      <c r="A249" t="s">
        <v>285</v>
      </c>
      <c r="B249" s="1">
        <v>45875.43041666667</v>
      </c>
      <c r="C249" t="s">
        <v>27</v>
      </c>
      <c r="D249" t="s">
        <v>10</v>
      </c>
      <c r="E249" t="s">
        <v>17</v>
      </c>
      <c r="F249" t="s">
        <v>12</v>
      </c>
      <c r="G249">
        <v>0.04</v>
      </c>
      <c r="H249" s="8">
        <f>SUMIFS(OrderLines[LineNetAmount],OrderLines[OrderID],Orders[[#This Row],[OrderID]])</f>
        <v>274.59839999999997</v>
      </c>
      <c r="I249" t="str">
        <f>IF(COUNTIFS(OrderLines[OrderID],Orders[[#This Row],[OrderID]],OrderLines[Category],"Beverage"),"yes","no")</f>
        <v>no</v>
      </c>
      <c r="J249" t="str">
        <f>IF(AND(COUNTIFS(OrderLines[OrderID],Orders[[#This Row],[OrderID]],OrderLines[Category],"Hot Meal"),Orders[[#This Row],[has beverage]]="yes"),"combo","single")</f>
        <v>single</v>
      </c>
      <c r="K249" s="8" t="str" cm="1">
        <f t="array" ref="K249">IF((SUMPRODUCT(OrderLines[UnitPrice],OrderLines[Qty],--(OrderLines[OrderID]=Orders[[#This Row],[OrderID]]))-Orders[[#This Row],[Revenue]])&gt;40,"high disc","ok")</f>
        <v>ok</v>
      </c>
      <c r="L249">
        <f>SUMIFS(OrderLines[Food Cost],OrderLines[OrderID],Orders[[#This Row],[OrderID]])</f>
        <v>127.59</v>
      </c>
      <c r="M249" s="8">
        <f>Orders[[#This Row],[Revenue]]-Orders[[#This Row],[total cost]]</f>
        <v>147.00839999999997</v>
      </c>
      <c r="N249" t="str" cm="1">
        <f t="array" ref="N249">_xlfn.TEXTJOIN("+",,_xlfn._xlws.SORT(_xlfn.UNIQUE(_xlfn._xlws.FILTER(OrderLines[Category],OrderLines[OrderID]=Orders[[#This Row],[OrderID]]))))</f>
        <v>Hot Meal+Snack</v>
      </c>
    </row>
    <row r="250" spans="1:14" x14ac:dyDescent="0.3">
      <c r="A250" t="s">
        <v>286</v>
      </c>
      <c r="B250" s="1">
        <v>45893.784039351849</v>
      </c>
      <c r="C250" t="s">
        <v>15</v>
      </c>
      <c r="D250" t="s">
        <v>10</v>
      </c>
      <c r="E250" t="s">
        <v>17</v>
      </c>
      <c r="F250" t="s">
        <v>18</v>
      </c>
      <c r="G250">
        <v>0.05</v>
      </c>
      <c r="H250" s="8">
        <f>SUMIFS(OrderLines[LineNetAmount],OrderLines[OrderID],Orders[[#This Row],[OrderID]])</f>
        <v>612.57899999999995</v>
      </c>
      <c r="I250" t="str">
        <f>IF(COUNTIFS(OrderLines[OrderID],Orders[[#This Row],[OrderID]],OrderLines[Category],"Beverage"),"yes","no")</f>
        <v>no</v>
      </c>
      <c r="J250" t="str">
        <f>IF(AND(COUNTIFS(OrderLines[OrderID],Orders[[#This Row],[OrderID]],OrderLines[Category],"Hot Meal"),Orders[[#This Row],[has beverage]]="yes"),"combo","single")</f>
        <v>single</v>
      </c>
      <c r="K250" s="8" t="str" cm="1">
        <f t="array" ref="K250">IF((SUMPRODUCT(OrderLines[UnitPrice],OrderLines[Qty],--(OrderLines[OrderID]=Orders[[#This Row],[OrderID]]))-Orders[[#This Row],[Revenue]])&gt;40,"high disc","ok")</f>
        <v>ok</v>
      </c>
      <c r="L250">
        <f>SUMIFS(OrderLines[Food Cost],OrderLines[OrderID],Orders[[#This Row],[OrderID]])</f>
        <v>289.35999999999996</v>
      </c>
      <c r="M250" s="8">
        <f>Orders[[#This Row],[Revenue]]-Orders[[#This Row],[total cost]]</f>
        <v>323.21899999999999</v>
      </c>
      <c r="N250" t="str" cm="1">
        <f t="array" ref="N250">_xlfn.TEXTJOIN("+",,_xlfn._xlws.SORT(_xlfn.UNIQUE(_xlfn._xlws.FILTER(OrderLines[Category],OrderLines[OrderID]=Orders[[#This Row],[OrderID]]))))</f>
        <v>Dessert+Hot Meal</v>
      </c>
    </row>
    <row r="251" spans="1:14" x14ac:dyDescent="0.3">
      <c r="A251" t="s">
        <v>287</v>
      </c>
      <c r="B251" s="1">
        <v>45873.580960648149</v>
      </c>
      <c r="C251" t="s">
        <v>9</v>
      </c>
      <c r="D251" t="s">
        <v>16</v>
      </c>
      <c r="E251" t="s">
        <v>11</v>
      </c>
      <c r="F251" t="s">
        <v>22</v>
      </c>
      <c r="G251">
        <v>0.04</v>
      </c>
      <c r="H251" s="8">
        <f>SUMIFS(OrderLines[LineNetAmount],OrderLines[OrderID],Orders[[#This Row],[OrderID]])</f>
        <v>1076.9951999999998</v>
      </c>
      <c r="I251" t="str">
        <f>IF(COUNTIFS(OrderLines[OrderID],Orders[[#This Row],[OrderID]],OrderLines[Category],"Beverage"),"yes","no")</f>
        <v>yes</v>
      </c>
      <c r="J251" t="str">
        <f>IF(AND(COUNTIFS(OrderLines[OrderID],Orders[[#This Row],[OrderID]],OrderLines[Category],"Hot Meal"),Orders[[#This Row],[has beverage]]="yes"),"combo","single")</f>
        <v>combo</v>
      </c>
      <c r="K251" s="8" t="str" cm="1">
        <f t="array" ref="K251">IF((SUMPRODUCT(OrderLines[UnitPrice],OrderLines[Qty],--(OrderLines[OrderID]=Orders[[#This Row],[OrderID]]))-Orders[[#This Row],[Revenue]])&gt;40,"high disc","ok")</f>
        <v>high disc</v>
      </c>
      <c r="L251">
        <f>SUMIFS(OrderLines[Food Cost],OrderLines[OrderID],Orders[[#This Row],[OrderID]])</f>
        <v>498.88</v>
      </c>
      <c r="M251" s="8">
        <f>Orders[[#This Row],[Revenue]]-Orders[[#This Row],[total cost]]</f>
        <v>578.11519999999985</v>
      </c>
      <c r="N251" t="str" cm="1">
        <f t="array" ref="N251">_xlfn.TEXTJOIN("+",,_xlfn._xlws.SORT(_xlfn.UNIQUE(_xlfn._xlws.FILTER(OrderLines[Category],OrderLines[OrderID]=Orders[[#This Row],[OrderID]]))))</f>
        <v>Beverage+Dessert+Hot Meal</v>
      </c>
    </row>
    <row r="252" spans="1:14" x14ac:dyDescent="0.3">
      <c r="A252" t="s">
        <v>288</v>
      </c>
      <c r="B252" s="1">
        <v>45867.176041666673</v>
      </c>
      <c r="C252" t="s">
        <v>9</v>
      </c>
      <c r="D252" t="s">
        <v>16</v>
      </c>
      <c r="E252" t="s">
        <v>21</v>
      </c>
      <c r="F252" t="s">
        <v>12</v>
      </c>
      <c r="G252">
        <v>0.04</v>
      </c>
      <c r="H252" s="8">
        <f>SUMIFS(OrderLines[LineNetAmount],OrderLines[OrderID],Orders[[#This Row],[OrderID]])</f>
        <v>1478.0544</v>
      </c>
      <c r="I252" t="str">
        <f>IF(COUNTIFS(OrderLines[OrderID],Orders[[#This Row],[OrderID]],OrderLines[Category],"Beverage"),"yes","no")</f>
        <v>no</v>
      </c>
      <c r="J252" t="str">
        <f>IF(AND(COUNTIFS(OrderLines[OrderID],Orders[[#This Row],[OrderID]],OrderLines[Category],"Hot Meal"),Orders[[#This Row],[has beverage]]="yes"),"combo","single")</f>
        <v>single</v>
      </c>
      <c r="K252" s="8" t="str" cm="1">
        <f t="array" ref="K252">IF((SUMPRODUCT(OrderLines[UnitPrice],OrderLines[Qty],--(OrderLines[OrderID]=Orders[[#This Row],[OrderID]]))-Orders[[#This Row],[Revenue]])&gt;40,"high disc","ok")</f>
        <v>high disc</v>
      </c>
      <c r="L252">
        <f>SUMIFS(OrderLines[Food Cost],OrderLines[OrderID],Orders[[#This Row],[OrderID]])</f>
        <v>715.59</v>
      </c>
      <c r="M252" s="8">
        <f>Orders[[#This Row],[Revenue]]-Orders[[#This Row],[total cost]]</f>
        <v>762.46439999999996</v>
      </c>
      <c r="N252" t="str" cm="1">
        <f t="array" ref="N252">_xlfn.TEXTJOIN("+",,_xlfn._xlws.SORT(_xlfn.UNIQUE(_xlfn._xlws.FILTER(OrderLines[Category],OrderLines[OrderID]=Orders[[#This Row],[OrderID]]))))</f>
        <v>Hot Meal+Snack</v>
      </c>
    </row>
    <row r="253" spans="1:14" x14ac:dyDescent="0.3">
      <c r="A253" t="s">
        <v>289</v>
      </c>
      <c r="B253" s="1">
        <v>45895.360312500001</v>
      </c>
      <c r="C253" t="s">
        <v>9</v>
      </c>
      <c r="D253" t="s">
        <v>28</v>
      </c>
      <c r="E253" t="s">
        <v>17</v>
      </c>
      <c r="F253" t="s">
        <v>12</v>
      </c>
      <c r="G253">
        <v>0.09</v>
      </c>
      <c r="H253" s="8">
        <f>SUMIFS(OrderLines[LineNetAmount],OrderLines[OrderID],Orders[[#This Row],[OrderID]])</f>
        <v>924.43260000000009</v>
      </c>
      <c r="I253" t="str">
        <f>IF(COUNTIFS(OrderLines[OrderID],Orders[[#This Row],[OrderID]],OrderLines[Category],"Beverage"),"yes","no")</f>
        <v>no</v>
      </c>
      <c r="J253" t="str">
        <f>IF(AND(COUNTIFS(OrderLines[OrderID],Orders[[#This Row],[OrderID]],OrderLines[Category],"Hot Meal"),Orders[[#This Row],[has beverage]]="yes"),"combo","single")</f>
        <v>single</v>
      </c>
      <c r="K253" s="8" t="str" cm="1">
        <f t="array" ref="K253">IF((SUMPRODUCT(OrderLines[UnitPrice],OrderLines[Qty],--(OrderLines[OrderID]=Orders[[#This Row],[OrderID]]))-Orders[[#This Row],[Revenue]])&gt;40,"high disc","ok")</f>
        <v>high disc</v>
      </c>
      <c r="L253">
        <f>SUMIFS(OrderLines[Food Cost],OrderLines[OrderID],Orders[[#This Row],[OrderID]])</f>
        <v>449</v>
      </c>
      <c r="M253" s="8">
        <f>Orders[[#This Row],[Revenue]]-Orders[[#This Row],[total cost]]</f>
        <v>475.43260000000009</v>
      </c>
      <c r="N253" t="str" cm="1">
        <f t="array" ref="N253">_xlfn.TEXTJOIN("+",,_xlfn._xlws.SORT(_xlfn.UNIQUE(_xlfn._xlws.FILTER(OrderLines[Category],OrderLines[OrderID]=Orders[[#This Row],[OrderID]]))))</f>
        <v>Hot Meal+Snack</v>
      </c>
    </row>
    <row r="254" spans="1:14" x14ac:dyDescent="0.3">
      <c r="A254" t="s">
        <v>290</v>
      </c>
      <c r="B254" s="1">
        <v>45861.022013888891</v>
      </c>
      <c r="C254" t="s">
        <v>27</v>
      </c>
      <c r="D254" t="s">
        <v>16</v>
      </c>
      <c r="E254" t="s">
        <v>11</v>
      </c>
      <c r="F254" t="s">
        <v>12</v>
      </c>
      <c r="G254">
        <v>7.0000000000000007E-2</v>
      </c>
      <c r="H254" s="8">
        <f>SUMIFS(OrderLines[LineNetAmount],OrderLines[OrderID],Orders[[#This Row],[OrderID]])</f>
        <v>260.45580000000001</v>
      </c>
      <c r="I254" t="str">
        <f>IF(COUNTIFS(OrderLines[OrderID],Orders[[#This Row],[OrderID]],OrderLines[Category],"Beverage"),"yes","no")</f>
        <v>no</v>
      </c>
      <c r="J254" t="str">
        <f>IF(AND(COUNTIFS(OrderLines[OrderID],Orders[[#This Row],[OrderID]],OrderLines[Category],"Hot Meal"),Orders[[#This Row],[has beverage]]="yes"),"combo","single")</f>
        <v>single</v>
      </c>
      <c r="K254" s="8" t="str" cm="1">
        <f t="array" ref="K254">IF((SUMPRODUCT(OrderLines[UnitPrice],OrderLines[Qty],--(OrderLines[OrderID]=Orders[[#This Row],[OrderID]]))-Orders[[#This Row],[Revenue]])&gt;40,"high disc","ok")</f>
        <v>ok</v>
      </c>
      <c r="L254">
        <f>SUMIFS(OrderLines[Food Cost],OrderLines[OrderID],Orders[[#This Row],[OrderID]])</f>
        <v>122.02</v>
      </c>
      <c r="M254" s="8">
        <f>Orders[[#This Row],[Revenue]]-Orders[[#This Row],[total cost]]</f>
        <v>138.43580000000003</v>
      </c>
      <c r="N254" t="str" cm="1">
        <f t="array" ref="N254">_xlfn.TEXTJOIN("+",,_xlfn._xlws.SORT(_xlfn.UNIQUE(_xlfn._xlws.FILTER(OrderLines[Category],OrderLines[OrderID]=Orders[[#This Row],[OrderID]]))))</f>
        <v>Hot Meal+Snack</v>
      </c>
    </row>
    <row r="255" spans="1:14" x14ac:dyDescent="0.3">
      <c r="A255" t="s">
        <v>291</v>
      </c>
      <c r="B255" s="1">
        <v>45850.404247685183</v>
      </c>
      <c r="C255" t="s">
        <v>15</v>
      </c>
      <c r="D255" t="s">
        <v>10</v>
      </c>
      <c r="E255" t="s">
        <v>17</v>
      </c>
      <c r="F255" t="s">
        <v>12</v>
      </c>
      <c r="G255">
        <v>0.03</v>
      </c>
      <c r="H255" s="8">
        <f>SUMIFS(OrderLines[LineNetAmount],OrderLines[OrderID],Orders[[#This Row],[OrderID]])</f>
        <v>474.53370000000001</v>
      </c>
      <c r="I255" t="str">
        <f>IF(COUNTIFS(OrderLines[OrderID],Orders[[#This Row],[OrderID]],OrderLines[Category],"Beverage"),"yes","no")</f>
        <v>yes</v>
      </c>
      <c r="J255" t="str">
        <f>IF(AND(COUNTIFS(OrderLines[OrderID],Orders[[#This Row],[OrderID]],OrderLines[Category],"Hot Meal"),Orders[[#This Row],[has beverage]]="yes"),"combo","single")</f>
        <v>combo</v>
      </c>
      <c r="K255" s="8" t="str" cm="1">
        <f t="array" ref="K255">IF((SUMPRODUCT(OrderLines[UnitPrice],OrderLines[Qty],--(OrderLines[OrderID]=Orders[[#This Row],[OrderID]]))-Orders[[#This Row],[Revenue]])&gt;40,"high disc","ok")</f>
        <v>ok</v>
      </c>
      <c r="L255">
        <f>SUMIFS(OrderLines[Food Cost],OrderLines[OrderID],Orders[[#This Row],[OrderID]])</f>
        <v>225.7</v>
      </c>
      <c r="M255" s="8">
        <f>Orders[[#This Row],[Revenue]]-Orders[[#This Row],[total cost]]</f>
        <v>248.83370000000002</v>
      </c>
      <c r="N255" t="str" cm="1">
        <f t="array" ref="N255">_xlfn.TEXTJOIN("+",,_xlfn._xlws.SORT(_xlfn.UNIQUE(_xlfn._xlws.FILTER(OrderLines[Category],OrderLines[OrderID]=Orders[[#This Row],[OrderID]]))))</f>
        <v>Beverage+Hot Meal+Snack</v>
      </c>
    </row>
    <row r="256" spans="1:14" x14ac:dyDescent="0.3">
      <c r="A256" t="s">
        <v>292</v>
      </c>
      <c r="B256" s="1">
        <v>45893.714363425926</v>
      </c>
      <c r="C256" t="s">
        <v>9</v>
      </c>
      <c r="D256" t="s">
        <v>10</v>
      </c>
      <c r="E256" t="s">
        <v>11</v>
      </c>
      <c r="F256" t="s">
        <v>18</v>
      </c>
      <c r="G256">
        <v>0.1</v>
      </c>
      <c r="H256" s="8">
        <f>SUMIFS(OrderLines[LineNetAmount],OrderLines[OrderID],Orders[[#This Row],[OrderID]])</f>
        <v>507.97800000000007</v>
      </c>
      <c r="I256" t="str">
        <f>IF(COUNTIFS(OrderLines[OrderID],Orders[[#This Row],[OrderID]],OrderLines[Category],"Beverage"),"yes","no")</f>
        <v>no</v>
      </c>
      <c r="J256" t="str">
        <f>IF(AND(COUNTIFS(OrderLines[OrderID],Orders[[#This Row],[OrderID]],OrderLines[Category],"Hot Meal"),Orders[[#This Row],[has beverage]]="yes"),"combo","single")</f>
        <v>single</v>
      </c>
      <c r="K256" s="8" t="str" cm="1">
        <f t="array" ref="K256">IF((SUMPRODUCT(OrderLines[UnitPrice],OrderLines[Qty],--(OrderLines[OrderID]=Orders[[#This Row],[OrderID]]))-Orders[[#This Row],[Revenue]])&gt;40,"high disc","ok")</f>
        <v>high disc</v>
      </c>
      <c r="L256">
        <f>SUMIFS(OrderLines[Food Cost],OrderLines[OrderID],Orders[[#This Row],[OrderID]])</f>
        <v>248.48</v>
      </c>
      <c r="M256" s="8">
        <f>Orders[[#This Row],[Revenue]]-Orders[[#This Row],[total cost]]</f>
        <v>259.49800000000005</v>
      </c>
      <c r="N256" t="str" cm="1">
        <f t="array" ref="N256">_xlfn.TEXTJOIN("+",,_xlfn._xlws.SORT(_xlfn.UNIQUE(_xlfn._xlws.FILTER(OrderLines[Category],OrderLines[OrderID]=Orders[[#This Row],[OrderID]]))))</f>
        <v>Hot Meal+Snack</v>
      </c>
    </row>
    <row r="257" spans="1:14" x14ac:dyDescent="0.3">
      <c r="A257" t="s">
        <v>293</v>
      </c>
      <c r="B257" s="1">
        <v>45841.798993055563</v>
      </c>
      <c r="C257" t="s">
        <v>9</v>
      </c>
      <c r="D257" t="s">
        <v>10</v>
      </c>
      <c r="E257" t="s">
        <v>11</v>
      </c>
      <c r="F257" t="s">
        <v>18</v>
      </c>
      <c r="G257">
        <v>7.0000000000000007E-2</v>
      </c>
      <c r="H257" s="8">
        <f>SUMIFS(OrderLines[LineNetAmount],OrderLines[OrderID],Orders[[#This Row],[OrderID]])</f>
        <v>341.72849999999994</v>
      </c>
      <c r="I257" t="str">
        <f>IF(COUNTIFS(OrderLines[OrderID],Orders[[#This Row],[OrderID]],OrderLines[Category],"Beverage"),"yes","no")</f>
        <v>yes</v>
      </c>
      <c r="J257" t="str">
        <f>IF(AND(COUNTIFS(OrderLines[OrderID],Orders[[#This Row],[OrderID]],OrderLines[Category],"Hot Meal"),Orders[[#This Row],[has beverage]]="yes"),"combo","single")</f>
        <v>combo</v>
      </c>
      <c r="K257" s="8" t="str" cm="1">
        <f t="array" ref="K257">IF((SUMPRODUCT(OrderLines[UnitPrice],OrderLines[Qty],--(OrderLines[OrderID]=Orders[[#This Row],[OrderID]]))-Orders[[#This Row],[Revenue]])&gt;40,"high disc","ok")</f>
        <v>ok</v>
      </c>
      <c r="L257">
        <f>SUMIFS(OrderLines[Food Cost],OrderLines[OrderID],Orders[[#This Row],[OrderID]])</f>
        <v>197.02</v>
      </c>
      <c r="M257" s="8">
        <f>Orders[[#This Row],[Revenue]]-Orders[[#This Row],[total cost]]</f>
        <v>144.70849999999993</v>
      </c>
      <c r="N257" t="str" cm="1">
        <f t="array" ref="N257">_xlfn.TEXTJOIN("+",,_xlfn._xlws.SORT(_xlfn.UNIQUE(_xlfn._xlws.FILTER(OrderLines[Category],OrderLines[OrderID]=Orders[[#This Row],[OrderID]]))))</f>
        <v>Beverage+Hot Meal+Snack</v>
      </c>
    </row>
    <row r="258" spans="1:14" x14ac:dyDescent="0.3">
      <c r="A258" t="s">
        <v>294</v>
      </c>
      <c r="B258" s="1">
        <v>45842.061064814807</v>
      </c>
      <c r="C258" t="s">
        <v>27</v>
      </c>
      <c r="D258" t="s">
        <v>16</v>
      </c>
      <c r="E258" t="s">
        <v>11</v>
      </c>
      <c r="F258" t="s">
        <v>12</v>
      </c>
      <c r="G258">
        <v>0.09</v>
      </c>
      <c r="H258" s="8">
        <f>SUMIFS(OrderLines[LineNetAmount],OrderLines[OrderID],Orders[[#This Row],[OrderID]])</f>
        <v>158.21260000000001</v>
      </c>
      <c r="I258" t="str">
        <f>IF(COUNTIFS(OrderLines[OrderID],Orders[[#This Row],[OrderID]],OrderLines[Category],"Beverage"),"yes","no")</f>
        <v>yes</v>
      </c>
      <c r="J258" t="str">
        <f>IF(AND(COUNTIFS(OrderLines[OrderID],Orders[[#This Row],[OrderID]],OrderLines[Category],"Hot Meal"),Orders[[#This Row],[has beverage]]="yes"),"combo","single")</f>
        <v>single</v>
      </c>
      <c r="K258" s="8" t="str" cm="1">
        <f t="array" ref="K258">IF((SUMPRODUCT(OrderLines[UnitPrice],OrderLines[Qty],--(OrderLines[OrderID]=Orders[[#This Row],[OrderID]]))-Orders[[#This Row],[Revenue]])&gt;40,"high disc","ok")</f>
        <v>ok</v>
      </c>
      <c r="L258">
        <f>SUMIFS(OrderLines[Food Cost],OrderLines[OrderID],Orders[[#This Row],[OrderID]])</f>
        <v>79.89</v>
      </c>
      <c r="M258" s="8">
        <f>Orders[[#This Row],[Revenue]]-Orders[[#This Row],[total cost]]</f>
        <v>78.322600000000008</v>
      </c>
      <c r="N258" t="str" cm="1">
        <f t="array" ref="N258">_xlfn.TEXTJOIN("+",,_xlfn._xlws.SORT(_xlfn.UNIQUE(_xlfn._xlws.FILTER(OrderLines[Category],OrderLines[OrderID]=Orders[[#This Row],[OrderID]]))))</f>
        <v>Beverage+Dessert+Snack</v>
      </c>
    </row>
    <row r="259" spans="1:14" x14ac:dyDescent="0.3">
      <c r="A259" t="s">
        <v>295</v>
      </c>
      <c r="B259" s="1">
        <v>45872.243692129632</v>
      </c>
      <c r="C259" t="s">
        <v>15</v>
      </c>
      <c r="D259" t="s">
        <v>28</v>
      </c>
      <c r="E259" t="s">
        <v>17</v>
      </c>
      <c r="F259" t="s">
        <v>12</v>
      </c>
      <c r="G259">
        <v>0.09</v>
      </c>
      <c r="H259" s="8">
        <f>SUMIFS(OrderLines[LineNetAmount],OrderLines[OrderID],Orders[[#This Row],[OrderID]])</f>
        <v>544.91710000000012</v>
      </c>
      <c r="I259" t="str">
        <f>IF(COUNTIFS(OrderLines[OrderID],Orders[[#This Row],[OrderID]],OrderLines[Category],"Beverage"),"yes","no")</f>
        <v>yes</v>
      </c>
      <c r="J259" t="str">
        <f>IF(AND(COUNTIFS(OrderLines[OrderID],Orders[[#This Row],[OrderID]],OrderLines[Category],"Hot Meal"),Orders[[#This Row],[has beverage]]="yes"),"combo","single")</f>
        <v>combo</v>
      </c>
      <c r="K259" s="8" t="str" cm="1">
        <f t="array" ref="K259">IF((SUMPRODUCT(OrderLines[UnitPrice],OrderLines[Qty],--(OrderLines[OrderID]=Orders[[#This Row],[OrderID]]))-Orders[[#This Row],[Revenue]])&gt;40,"high disc","ok")</f>
        <v>high disc</v>
      </c>
      <c r="L259">
        <f>SUMIFS(OrderLines[Food Cost],OrderLines[OrderID],Orders[[#This Row],[OrderID]])</f>
        <v>306.84000000000003</v>
      </c>
      <c r="M259" s="8">
        <f>Orders[[#This Row],[Revenue]]-Orders[[#This Row],[total cost]]</f>
        <v>238.07710000000009</v>
      </c>
      <c r="N259" t="str" cm="1">
        <f t="array" ref="N259">_xlfn.TEXTJOIN("+",,_xlfn._xlws.SORT(_xlfn.UNIQUE(_xlfn._xlws.FILTER(OrderLines[Category],OrderLines[OrderID]=Orders[[#This Row],[OrderID]]))))</f>
        <v>Beverage+Hot Meal+Snack</v>
      </c>
    </row>
    <row r="260" spans="1:14" x14ac:dyDescent="0.3">
      <c r="A260" t="s">
        <v>296</v>
      </c>
      <c r="B260" s="1">
        <v>45894.234317129631</v>
      </c>
      <c r="C260" t="s">
        <v>9</v>
      </c>
      <c r="D260" t="s">
        <v>16</v>
      </c>
      <c r="E260" t="s">
        <v>17</v>
      </c>
      <c r="F260" t="s">
        <v>12</v>
      </c>
      <c r="G260">
        <v>0.03</v>
      </c>
      <c r="H260" s="8">
        <f>SUMIFS(OrderLines[LineNetAmount],OrderLines[OrderID],Orders[[#This Row],[OrderID]])</f>
        <v>375.55489999999998</v>
      </c>
      <c r="I260" t="str">
        <f>IF(COUNTIFS(OrderLines[OrderID],Orders[[#This Row],[OrderID]],OrderLines[Category],"Beverage"),"yes","no")</f>
        <v>no</v>
      </c>
      <c r="J260" t="str">
        <f>IF(AND(COUNTIFS(OrderLines[OrderID],Orders[[#This Row],[OrderID]],OrderLines[Category],"Hot Meal"),Orders[[#This Row],[has beverage]]="yes"),"combo","single")</f>
        <v>single</v>
      </c>
      <c r="K260" s="8" t="str" cm="1">
        <f t="array" ref="K260">IF((SUMPRODUCT(OrderLines[UnitPrice],OrderLines[Qty],--(OrderLines[OrderID]=Orders[[#This Row],[OrderID]]))-Orders[[#This Row],[Revenue]])&gt;40,"high disc","ok")</f>
        <v>ok</v>
      </c>
      <c r="L260">
        <f>SUMIFS(OrderLines[Food Cost],OrderLines[OrderID],Orders[[#This Row],[OrderID]])</f>
        <v>183.7</v>
      </c>
      <c r="M260" s="8">
        <f>Orders[[#This Row],[Revenue]]-Orders[[#This Row],[total cost]]</f>
        <v>191.85489999999999</v>
      </c>
      <c r="N260" t="str" cm="1">
        <f t="array" ref="N260">_xlfn.TEXTJOIN("+",,_xlfn._xlws.SORT(_xlfn.UNIQUE(_xlfn._xlws.FILTER(OrderLines[Category],OrderLines[OrderID]=Orders[[#This Row],[OrderID]]))))</f>
        <v>Hot Meal+Snack</v>
      </c>
    </row>
    <row r="261" spans="1:14" x14ac:dyDescent="0.3">
      <c r="A261" t="s">
        <v>297</v>
      </c>
      <c r="B261" s="1">
        <v>45842.226504629631</v>
      </c>
      <c r="C261" t="s">
        <v>27</v>
      </c>
      <c r="D261" t="s">
        <v>10</v>
      </c>
      <c r="E261" t="s">
        <v>11</v>
      </c>
      <c r="F261" t="s">
        <v>12</v>
      </c>
      <c r="G261">
        <v>0.04</v>
      </c>
      <c r="H261" s="8">
        <f>SUMIFS(OrderLines[LineNetAmount],OrderLines[OrderID],Orders[[#This Row],[OrderID]])</f>
        <v>499.59360000000004</v>
      </c>
      <c r="I261" t="str">
        <f>IF(COUNTIFS(OrderLines[OrderID],Orders[[#This Row],[OrderID]],OrderLines[Category],"Beverage"),"yes","no")</f>
        <v>no</v>
      </c>
      <c r="J261" t="str">
        <f>IF(AND(COUNTIFS(OrderLines[OrderID],Orders[[#This Row],[OrderID]],OrderLines[Category],"Hot Meal"),Orders[[#This Row],[has beverage]]="yes"),"combo","single")</f>
        <v>single</v>
      </c>
      <c r="K261" s="8" t="str" cm="1">
        <f t="array" ref="K261">IF((SUMPRODUCT(OrderLines[UnitPrice],OrderLines[Qty],--(OrderLines[OrderID]=Orders[[#This Row],[OrderID]]))-Orders[[#This Row],[Revenue]])&gt;40,"high disc","ok")</f>
        <v>ok</v>
      </c>
      <c r="L261">
        <f>SUMIFS(OrderLines[Food Cost],OrderLines[OrderID],Orders[[#This Row],[OrderID]])</f>
        <v>258.06</v>
      </c>
      <c r="M261" s="8">
        <f>Orders[[#This Row],[Revenue]]-Orders[[#This Row],[total cost]]</f>
        <v>241.53360000000004</v>
      </c>
      <c r="N261" t="str" cm="1">
        <f t="array" ref="N261">_xlfn.TEXTJOIN("+",,_xlfn._xlws.SORT(_xlfn.UNIQUE(_xlfn._xlws.FILTER(OrderLines[Category],OrderLines[OrderID]=Orders[[#This Row],[OrderID]]))))</f>
        <v>Hot Meal</v>
      </c>
    </row>
    <row r="262" spans="1:14" x14ac:dyDescent="0.3">
      <c r="A262" t="s">
        <v>298</v>
      </c>
      <c r="B262" s="1">
        <v>45875.77484953704</v>
      </c>
      <c r="C262" t="s">
        <v>15</v>
      </c>
      <c r="D262" t="s">
        <v>16</v>
      </c>
      <c r="E262" t="s">
        <v>21</v>
      </c>
      <c r="F262" t="s">
        <v>18</v>
      </c>
      <c r="G262">
        <v>0.09</v>
      </c>
      <c r="H262" s="8">
        <f>SUMIFS(OrderLines[LineNetAmount],OrderLines[OrderID],Orders[[#This Row],[OrderID]])</f>
        <v>232.69610000000003</v>
      </c>
      <c r="I262" t="str">
        <f>IF(COUNTIFS(OrderLines[OrderID],Orders[[#This Row],[OrderID]],OrderLines[Category],"Beverage"),"yes","no")</f>
        <v>yes</v>
      </c>
      <c r="J262" t="str">
        <f>IF(AND(COUNTIFS(OrderLines[OrderID],Orders[[#This Row],[OrderID]],OrderLines[Category],"Hot Meal"),Orders[[#This Row],[has beverage]]="yes"),"combo","single")</f>
        <v>combo</v>
      </c>
      <c r="K262" s="8" t="str" cm="1">
        <f t="array" ref="K262">IF((SUMPRODUCT(OrderLines[UnitPrice],OrderLines[Qty],--(OrderLines[OrderID]=Orders[[#This Row],[OrderID]]))-Orders[[#This Row],[Revenue]])&gt;40,"high disc","ok")</f>
        <v>ok</v>
      </c>
      <c r="L262">
        <f>SUMIFS(OrderLines[Food Cost],OrderLines[OrderID],Orders[[#This Row],[OrderID]])</f>
        <v>134.5</v>
      </c>
      <c r="M262" s="8">
        <f>Orders[[#This Row],[Revenue]]-Orders[[#This Row],[total cost]]</f>
        <v>98.19610000000003</v>
      </c>
      <c r="N262" t="str" cm="1">
        <f t="array" ref="N262">_xlfn.TEXTJOIN("+",,_xlfn._xlws.SORT(_xlfn.UNIQUE(_xlfn._xlws.FILTER(OrderLines[Category],OrderLines[OrderID]=Orders[[#This Row],[OrderID]]))))</f>
        <v>Beverage+Hot Meal+Snack</v>
      </c>
    </row>
    <row r="263" spans="1:14" x14ac:dyDescent="0.3">
      <c r="A263" t="s">
        <v>299</v>
      </c>
      <c r="B263" s="1">
        <v>45875.178587962961</v>
      </c>
      <c r="C263" t="s">
        <v>15</v>
      </c>
      <c r="D263" t="s">
        <v>10</v>
      </c>
      <c r="E263" t="s">
        <v>21</v>
      </c>
      <c r="F263" t="s">
        <v>12</v>
      </c>
      <c r="G263">
        <v>0.08</v>
      </c>
      <c r="H263" s="8">
        <f>SUMIFS(OrderLines[LineNetAmount],OrderLines[OrderID],Orders[[#This Row],[OrderID]])</f>
        <v>663.43040000000008</v>
      </c>
      <c r="I263" t="str">
        <f>IF(COUNTIFS(OrderLines[OrderID],Orders[[#This Row],[OrderID]],OrderLines[Category],"Beverage"),"yes","no")</f>
        <v>no</v>
      </c>
      <c r="J263" t="str">
        <f>IF(AND(COUNTIFS(OrderLines[OrderID],Orders[[#This Row],[OrderID]],OrderLines[Category],"Hot Meal"),Orders[[#This Row],[has beverage]]="yes"),"combo","single")</f>
        <v>single</v>
      </c>
      <c r="K263" s="8" t="str" cm="1">
        <f t="array" ref="K263">IF((SUMPRODUCT(OrderLines[UnitPrice],OrderLines[Qty],--(OrderLines[OrderID]=Orders[[#This Row],[OrderID]]))-Orders[[#This Row],[Revenue]])&gt;40,"high disc","ok")</f>
        <v>high disc</v>
      </c>
      <c r="L263">
        <f>SUMIFS(OrderLines[Food Cost],OrderLines[OrderID],Orders[[#This Row],[OrderID]])</f>
        <v>340.89</v>
      </c>
      <c r="M263" s="8">
        <f>Orders[[#This Row],[Revenue]]-Orders[[#This Row],[total cost]]</f>
        <v>322.54040000000009</v>
      </c>
      <c r="N263" t="str" cm="1">
        <f t="array" ref="N263">_xlfn.TEXTJOIN("+",,_xlfn._xlws.SORT(_xlfn.UNIQUE(_xlfn._xlws.FILTER(OrderLines[Category],OrderLines[OrderID]=Orders[[#This Row],[OrderID]]))))</f>
        <v>Dessert+Hot Meal</v>
      </c>
    </row>
    <row r="264" spans="1:14" x14ac:dyDescent="0.3">
      <c r="A264" t="s">
        <v>300</v>
      </c>
      <c r="B264" s="1">
        <v>45844.357800925929</v>
      </c>
      <c r="C264" t="s">
        <v>27</v>
      </c>
      <c r="D264" t="s">
        <v>28</v>
      </c>
      <c r="E264" t="s">
        <v>11</v>
      </c>
      <c r="F264" t="s">
        <v>12</v>
      </c>
      <c r="G264">
        <v>0.06</v>
      </c>
      <c r="H264" s="8">
        <f>SUMIFS(OrderLines[LineNetAmount],OrderLines[OrderID],Orders[[#This Row],[OrderID]])</f>
        <v>385.40940000000001</v>
      </c>
      <c r="I264" t="str">
        <f>IF(COUNTIFS(OrderLines[OrderID],Orders[[#This Row],[OrderID]],OrderLines[Category],"Beverage"),"yes","no")</f>
        <v>no</v>
      </c>
      <c r="J264" t="str">
        <f>IF(AND(COUNTIFS(OrderLines[OrderID],Orders[[#This Row],[OrderID]],OrderLines[Category],"Hot Meal"),Orders[[#This Row],[has beverage]]="yes"),"combo","single")</f>
        <v>single</v>
      </c>
      <c r="K264" s="8" t="str" cm="1">
        <f t="array" ref="K264">IF((SUMPRODUCT(OrderLines[UnitPrice],OrderLines[Qty],--(OrderLines[OrderID]=Orders[[#This Row],[OrderID]]))-Orders[[#This Row],[Revenue]])&gt;40,"high disc","ok")</f>
        <v>ok</v>
      </c>
      <c r="L264">
        <f>SUMIFS(OrderLines[Food Cost],OrderLines[OrderID],Orders[[#This Row],[OrderID]])</f>
        <v>197.7</v>
      </c>
      <c r="M264" s="8">
        <f>Orders[[#This Row],[Revenue]]-Orders[[#This Row],[total cost]]</f>
        <v>187.70940000000002</v>
      </c>
      <c r="N264" t="str" cm="1">
        <f t="array" ref="N264">_xlfn.TEXTJOIN("+",,_xlfn._xlws.SORT(_xlfn.UNIQUE(_xlfn._xlws.FILTER(OrderLines[Category],OrderLines[OrderID]=Orders[[#This Row],[OrderID]]))))</f>
        <v>Dessert+Hot Meal</v>
      </c>
    </row>
    <row r="265" spans="1:14" x14ac:dyDescent="0.3">
      <c r="A265" t="s">
        <v>301</v>
      </c>
      <c r="B265" s="1">
        <v>45847.170775462961</v>
      </c>
      <c r="C265" t="s">
        <v>15</v>
      </c>
      <c r="D265" t="s">
        <v>16</v>
      </c>
      <c r="E265" t="s">
        <v>11</v>
      </c>
      <c r="F265" t="s">
        <v>12</v>
      </c>
      <c r="G265">
        <v>0.06</v>
      </c>
      <c r="H265" s="8">
        <f>SUMIFS(OrderLines[LineNetAmount],OrderLines[OrderID],Orders[[#This Row],[OrderID]])</f>
        <v>500.01419999999996</v>
      </c>
      <c r="I265" t="str">
        <f>IF(COUNTIFS(OrderLines[OrderID],Orders[[#This Row],[OrderID]],OrderLines[Category],"Beverage"),"yes","no")</f>
        <v>yes</v>
      </c>
      <c r="J265" t="str">
        <f>IF(AND(COUNTIFS(OrderLines[OrderID],Orders[[#This Row],[OrderID]],OrderLines[Category],"Hot Meal"),Orders[[#This Row],[has beverage]]="yes"),"combo","single")</f>
        <v>single</v>
      </c>
      <c r="K265" s="8" t="str" cm="1">
        <f t="array" ref="K265">IF((SUMPRODUCT(OrderLines[UnitPrice],OrderLines[Qty],--(OrderLines[OrderID]=Orders[[#This Row],[OrderID]]))-Orders[[#This Row],[Revenue]])&gt;40,"high disc","ok")</f>
        <v>ok</v>
      </c>
      <c r="L265">
        <f>SUMIFS(OrderLines[Food Cost],OrderLines[OrderID],Orders[[#This Row],[OrderID]])</f>
        <v>237.26</v>
      </c>
      <c r="M265" s="8">
        <f>Orders[[#This Row],[Revenue]]-Orders[[#This Row],[total cost]]</f>
        <v>262.75419999999997</v>
      </c>
      <c r="N265" t="str" cm="1">
        <f t="array" ref="N265">_xlfn.TEXTJOIN("+",,_xlfn._xlws.SORT(_xlfn.UNIQUE(_xlfn._xlws.FILTER(OrderLines[Category],OrderLines[OrderID]=Orders[[#This Row],[OrderID]]))))</f>
        <v>Beverage+Dessert</v>
      </c>
    </row>
    <row r="266" spans="1:14" x14ac:dyDescent="0.3">
      <c r="A266" t="s">
        <v>302</v>
      </c>
      <c r="B266" s="1">
        <v>45886.403067129628</v>
      </c>
      <c r="C266" t="s">
        <v>9</v>
      </c>
      <c r="D266" t="s">
        <v>16</v>
      </c>
      <c r="E266" t="s">
        <v>21</v>
      </c>
      <c r="F266" t="s">
        <v>12</v>
      </c>
      <c r="G266">
        <v>0.11</v>
      </c>
      <c r="H266" s="8">
        <f>SUMIFS(OrderLines[LineNetAmount],OrderLines[OrderID],Orders[[#This Row],[OrderID]])</f>
        <v>527.84120000000007</v>
      </c>
      <c r="I266" t="str">
        <f>IF(COUNTIFS(OrderLines[OrderID],Orders[[#This Row],[OrderID]],OrderLines[Category],"Beverage"),"yes","no")</f>
        <v>yes</v>
      </c>
      <c r="J266" t="str">
        <f>IF(AND(COUNTIFS(OrderLines[OrderID],Orders[[#This Row],[OrderID]],OrderLines[Category],"Hot Meal"),Orders[[#This Row],[has beverage]]="yes"),"combo","single")</f>
        <v>combo</v>
      </c>
      <c r="K266" s="8" t="str" cm="1">
        <f t="array" ref="K266">IF((SUMPRODUCT(OrderLines[UnitPrice],OrderLines[Qty],--(OrderLines[OrderID]=Orders[[#This Row],[OrderID]]))-Orders[[#This Row],[Revenue]])&gt;40,"high disc","ok")</f>
        <v>high disc</v>
      </c>
      <c r="L266">
        <f>SUMIFS(OrderLines[Food Cost],OrderLines[OrderID],Orders[[#This Row],[OrderID]])</f>
        <v>268.52</v>
      </c>
      <c r="M266" s="8">
        <f>Orders[[#This Row],[Revenue]]-Orders[[#This Row],[total cost]]</f>
        <v>259.32120000000009</v>
      </c>
      <c r="N266" t="str" cm="1">
        <f t="array" ref="N266">_xlfn.TEXTJOIN("+",,_xlfn._xlws.SORT(_xlfn.UNIQUE(_xlfn._xlws.FILTER(OrderLines[Category],OrderLines[OrderID]=Orders[[#This Row],[OrderID]]))))</f>
        <v>Beverage+Hot Meal</v>
      </c>
    </row>
    <row r="267" spans="1:14" x14ac:dyDescent="0.3">
      <c r="A267" t="s">
        <v>303</v>
      </c>
      <c r="B267" s="1">
        <v>45860.179664351846</v>
      </c>
      <c r="C267" t="s">
        <v>9</v>
      </c>
      <c r="D267" t="s">
        <v>28</v>
      </c>
      <c r="E267" t="s">
        <v>21</v>
      </c>
      <c r="F267" t="s">
        <v>12</v>
      </c>
      <c r="G267">
        <v>0.04</v>
      </c>
      <c r="H267" s="8">
        <f>SUMIFS(OrderLines[LineNetAmount],OrderLines[OrderID],Orders[[#This Row],[OrderID]])</f>
        <v>442.76160000000004</v>
      </c>
      <c r="I267" t="str">
        <f>IF(COUNTIFS(OrderLines[OrderID],Orders[[#This Row],[OrderID]],OrderLines[Category],"Beverage"),"yes","no")</f>
        <v>no</v>
      </c>
      <c r="J267" t="str">
        <f>IF(AND(COUNTIFS(OrderLines[OrderID],Orders[[#This Row],[OrderID]],OrderLines[Category],"Hot Meal"),Orders[[#This Row],[has beverage]]="yes"),"combo","single")</f>
        <v>single</v>
      </c>
      <c r="K267" s="8" t="str" cm="1">
        <f t="array" ref="K267">IF((SUMPRODUCT(OrderLines[UnitPrice],OrderLines[Qty],--(OrderLines[OrderID]=Orders[[#This Row],[OrderID]]))-Orders[[#This Row],[Revenue]])&gt;40,"high disc","ok")</f>
        <v>ok</v>
      </c>
      <c r="L267">
        <f>SUMIFS(OrderLines[Food Cost],OrderLines[OrderID],Orders[[#This Row],[OrderID]])</f>
        <v>194.16</v>
      </c>
      <c r="M267" s="8">
        <f>Orders[[#This Row],[Revenue]]-Orders[[#This Row],[total cost]]</f>
        <v>248.60160000000005</v>
      </c>
      <c r="N267" t="str" cm="1">
        <f t="array" ref="N267">_xlfn.TEXTJOIN("+",,_xlfn._xlws.SORT(_xlfn.UNIQUE(_xlfn._xlws.FILTER(OrderLines[Category],OrderLines[OrderID]=Orders[[#This Row],[OrderID]]))))</f>
        <v>Dessert+Hot Meal</v>
      </c>
    </row>
    <row r="268" spans="1:14" x14ac:dyDescent="0.3">
      <c r="A268" t="s">
        <v>304</v>
      </c>
      <c r="B268" s="1">
        <v>45850.016319444447</v>
      </c>
      <c r="C268" t="s">
        <v>15</v>
      </c>
      <c r="D268" t="s">
        <v>10</v>
      </c>
      <c r="E268" t="s">
        <v>11</v>
      </c>
      <c r="F268" t="s">
        <v>12</v>
      </c>
      <c r="G268">
        <v>0.08</v>
      </c>
      <c r="H268" s="8">
        <f>SUMIFS(OrderLines[LineNetAmount],OrderLines[OrderID],Orders[[#This Row],[OrderID]])</f>
        <v>532.77200000000005</v>
      </c>
      <c r="I268" t="str">
        <f>IF(COUNTIFS(OrderLines[OrderID],Orders[[#This Row],[OrderID]],OrderLines[Category],"Beverage"),"yes","no")</f>
        <v>yes</v>
      </c>
      <c r="J268" t="str">
        <f>IF(AND(COUNTIFS(OrderLines[OrderID],Orders[[#This Row],[OrderID]],OrderLines[Category],"Hot Meal"),Orders[[#This Row],[has beverage]]="yes"),"combo","single")</f>
        <v>combo</v>
      </c>
      <c r="K268" s="8" t="str" cm="1">
        <f t="array" ref="K268">IF((SUMPRODUCT(OrderLines[UnitPrice],OrderLines[Qty],--(OrderLines[OrderID]=Orders[[#This Row],[OrderID]]))-Orders[[#This Row],[Revenue]])&gt;40,"high disc","ok")</f>
        <v>high disc</v>
      </c>
      <c r="L268">
        <f>SUMIFS(OrderLines[Food Cost],OrderLines[OrderID],Orders[[#This Row],[OrderID]])</f>
        <v>257.97000000000003</v>
      </c>
      <c r="M268" s="8">
        <f>Orders[[#This Row],[Revenue]]-Orders[[#This Row],[total cost]]</f>
        <v>274.80200000000002</v>
      </c>
      <c r="N268" t="str" cm="1">
        <f t="array" ref="N268">_xlfn.TEXTJOIN("+",,_xlfn._xlws.SORT(_xlfn.UNIQUE(_xlfn._xlws.FILTER(OrderLines[Category],OrderLines[OrderID]=Orders[[#This Row],[OrderID]]))))</f>
        <v>Beverage+Hot Meal</v>
      </c>
    </row>
    <row r="269" spans="1:14" x14ac:dyDescent="0.3">
      <c r="A269" t="s">
        <v>305</v>
      </c>
      <c r="B269" s="1">
        <v>45890.410219907397</v>
      </c>
      <c r="C269" t="s">
        <v>9</v>
      </c>
      <c r="D269" t="s">
        <v>16</v>
      </c>
      <c r="E269" t="s">
        <v>17</v>
      </c>
      <c r="F269" t="s">
        <v>12</v>
      </c>
      <c r="G269">
        <v>0.05</v>
      </c>
      <c r="H269" s="8">
        <f>SUMIFS(OrderLines[LineNetAmount],OrderLines[OrderID],Orders[[#This Row],[OrderID]])</f>
        <v>942.52350000000001</v>
      </c>
      <c r="I269" t="str">
        <f>IF(COUNTIFS(OrderLines[OrderID],Orders[[#This Row],[OrderID]],OrderLines[Category],"Beverage"),"yes","no")</f>
        <v>no</v>
      </c>
      <c r="J269" t="str">
        <f>IF(AND(COUNTIFS(OrderLines[OrderID],Orders[[#This Row],[OrderID]],OrderLines[Category],"Hot Meal"),Orders[[#This Row],[has beverage]]="yes"),"combo","single")</f>
        <v>single</v>
      </c>
      <c r="K269" s="8" t="str" cm="1">
        <f t="array" ref="K269">IF((SUMPRODUCT(OrderLines[UnitPrice],OrderLines[Qty],--(OrderLines[OrderID]=Orders[[#This Row],[OrderID]]))-Orders[[#This Row],[Revenue]])&gt;40,"high disc","ok")</f>
        <v>high disc</v>
      </c>
      <c r="L269">
        <f>SUMIFS(OrderLines[Food Cost],OrderLines[OrderID],Orders[[#This Row],[OrderID]])</f>
        <v>473.75</v>
      </c>
      <c r="M269" s="8">
        <f>Orders[[#This Row],[Revenue]]-Orders[[#This Row],[total cost]]</f>
        <v>468.77350000000001</v>
      </c>
      <c r="N269" t="str" cm="1">
        <f t="array" ref="N269">_xlfn.TEXTJOIN("+",,_xlfn._xlws.SORT(_xlfn.UNIQUE(_xlfn._xlws.FILTER(OrderLines[Category],OrderLines[OrderID]=Orders[[#This Row],[OrderID]]))))</f>
        <v>Dessert+Hot Meal+Snack</v>
      </c>
    </row>
    <row r="270" spans="1:14" x14ac:dyDescent="0.3">
      <c r="A270" t="s">
        <v>306</v>
      </c>
      <c r="B270" s="1">
        <v>45877.626261574071</v>
      </c>
      <c r="C270" t="s">
        <v>9</v>
      </c>
      <c r="D270" t="s">
        <v>28</v>
      </c>
      <c r="E270" t="s">
        <v>17</v>
      </c>
      <c r="F270" t="s">
        <v>22</v>
      </c>
      <c r="G270">
        <v>0.05</v>
      </c>
      <c r="H270" s="8">
        <f>SUMIFS(OrderLines[LineNetAmount],OrderLines[OrderID],Orders[[#This Row],[OrderID]])</f>
        <v>1109.4575</v>
      </c>
      <c r="I270" t="str">
        <f>IF(COUNTIFS(OrderLines[OrderID],Orders[[#This Row],[OrderID]],OrderLines[Category],"Beverage"),"yes","no")</f>
        <v>yes</v>
      </c>
      <c r="J270" t="str">
        <f>IF(AND(COUNTIFS(OrderLines[OrderID],Orders[[#This Row],[OrderID]],OrderLines[Category],"Hot Meal"),Orders[[#This Row],[has beverage]]="yes"),"combo","single")</f>
        <v>combo</v>
      </c>
      <c r="K270" s="8" t="str" cm="1">
        <f t="array" ref="K270">IF((SUMPRODUCT(OrderLines[UnitPrice],OrderLines[Qty],--(OrderLines[OrderID]=Orders[[#This Row],[OrderID]]))-Orders[[#This Row],[Revenue]])&gt;40,"high disc","ok")</f>
        <v>high disc</v>
      </c>
      <c r="L270">
        <f>SUMIFS(OrderLines[Food Cost],OrderLines[OrderID],Orders[[#This Row],[OrderID]])</f>
        <v>545.44999999999993</v>
      </c>
      <c r="M270" s="8">
        <f>Orders[[#This Row],[Revenue]]-Orders[[#This Row],[total cost]]</f>
        <v>564.00750000000005</v>
      </c>
      <c r="N270" t="str" cm="1">
        <f t="array" ref="N270">_xlfn.TEXTJOIN("+",,_xlfn._xlws.SORT(_xlfn.UNIQUE(_xlfn._xlws.FILTER(OrderLines[Category],OrderLines[OrderID]=Orders[[#This Row],[OrderID]]))))</f>
        <v>Beverage+Hot Meal+Snack</v>
      </c>
    </row>
    <row r="271" spans="1:14" x14ac:dyDescent="0.3">
      <c r="A271" t="s">
        <v>307</v>
      </c>
      <c r="B271" s="1">
        <v>45868.514907407407</v>
      </c>
      <c r="C271" t="s">
        <v>27</v>
      </c>
      <c r="D271" t="s">
        <v>28</v>
      </c>
      <c r="E271" t="s">
        <v>21</v>
      </c>
      <c r="F271" t="s">
        <v>22</v>
      </c>
      <c r="G271">
        <v>0.1</v>
      </c>
      <c r="H271" s="8">
        <f>SUMIFS(OrderLines[LineNetAmount],OrderLines[OrderID],Orders[[#This Row],[OrderID]])</f>
        <v>1485.0719999999999</v>
      </c>
      <c r="I271" t="str">
        <f>IF(COUNTIFS(OrderLines[OrderID],Orders[[#This Row],[OrderID]],OrderLines[Category],"Beverage"),"yes","no")</f>
        <v>no</v>
      </c>
      <c r="J271" t="str">
        <f>IF(AND(COUNTIFS(OrderLines[OrderID],Orders[[#This Row],[OrderID]],OrderLines[Category],"Hot Meal"),Orders[[#This Row],[has beverage]]="yes"),"combo","single")</f>
        <v>single</v>
      </c>
      <c r="K271" s="8" t="str" cm="1">
        <f t="array" ref="K271">IF((SUMPRODUCT(OrderLines[UnitPrice],OrderLines[Qty],--(OrderLines[OrderID]=Orders[[#This Row],[OrderID]]))-Orders[[#This Row],[Revenue]])&gt;40,"high disc","ok")</f>
        <v>high disc</v>
      </c>
      <c r="L271">
        <f>SUMIFS(OrderLines[Food Cost],OrderLines[OrderID],Orders[[#This Row],[OrderID]])</f>
        <v>771.58</v>
      </c>
      <c r="M271" s="8">
        <f>Orders[[#This Row],[Revenue]]-Orders[[#This Row],[total cost]]</f>
        <v>713.49199999999985</v>
      </c>
      <c r="N271" t="str" cm="1">
        <f t="array" ref="N271">_xlfn.TEXTJOIN("+",,_xlfn._xlws.SORT(_xlfn.UNIQUE(_xlfn._xlws.FILTER(OrderLines[Category],OrderLines[OrderID]=Orders[[#This Row],[OrderID]]))))</f>
        <v>Hot Meal+Snack</v>
      </c>
    </row>
    <row r="272" spans="1:14" x14ac:dyDescent="0.3">
      <c r="A272" t="s">
        <v>308</v>
      </c>
      <c r="B272" s="1">
        <v>45871.107511574082</v>
      </c>
      <c r="C272" t="s">
        <v>27</v>
      </c>
      <c r="D272" t="s">
        <v>28</v>
      </c>
      <c r="E272" t="s">
        <v>21</v>
      </c>
      <c r="F272" t="s">
        <v>12</v>
      </c>
      <c r="G272">
        <v>0.09</v>
      </c>
      <c r="H272" s="8">
        <f>SUMIFS(OrderLines[LineNetAmount],OrderLines[OrderID],Orders[[#This Row],[OrderID]])</f>
        <v>139.18450000000001</v>
      </c>
      <c r="I272" t="str">
        <f>IF(COUNTIFS(OrderLines[OrderID],Orders[[#This Row],[OrderID]],OrderLines[Category],"Beverage"),"yes","no")</f>
        <v>yes</v>
      </c>
      <c r="J272" t="str">
        <f>IF(AND(COUNTIFS(OrderLines[OrderID],Orders[[#This Row],[OrderID]],OrderLines[Category],"Hot Meal"),Orders[[#This Row],[has beverage]]="yes"),"combo","single")</f>
        <v>single</v>
      </c>
      <c r="K272" s="8" t="str" cm="1">
        <f t="array" ref="K272">IF((SUMPRODUCT(OrderLines[UnitPrice],OrderLines[Qty],--(OrderLines[OrderID]=Orders[[#This Row],[OrderID]]))-Orders[[#This Row],[Revenue]])&gt;40,"high disc","ok")</f>
        <v>ok</v>
      </c>
      <c r="L272">
        <f>SUMIFS(OrderLines[Food Cost],OrderLines[OrderID],Orders[[#This Row],[OrderID]])</f>
        <v>69.56</v>
      </c>
      <c r="M272" s="8">
        <f>Orders[[#This Row],[Revenue]]-Orders[[#This Row],[total cost]]</f>
        <v>69.624500000000012</v>
      </c>
      <c r="N272" t="str" cm="1">
        <f t="array" ref="N272">_xlfn.TEXTJOIN("+",,_xlfn._xlws.SORT(_xlfn.UNIQUE(_xlfn._xlws.FILTER(OrderLines[Category],OrderLines[OrderID]=Orders[[#This Row],[OrderID]]))))</f>
        <v>Beverage+Dessert</v>
      </c>
    </row>
    <row r="273" spans="1:14" x14ac:dyDescent="0.3">
      <c r="A273" t="s">
        <v>309</v>
      </c>
      <c r="B273" s="1">
        <v>45856.308263888888</v>
      </c>
      <c r="C273" t="s">
        <v>27</v>
      </c>
      <c r="D273" t="s">
        <v>16</v>
      </c>
      <c r="E273" t="s">
        <v>11</v>
      </c>
      <c r="F273" t="s">
        <v>12</v>
      </c>
      <c r="G273">
        <v>0.09</v>
      </c>
      <c r="H273" s="8">
        <f>SUMIFS(OrderLines[LineNetAmount],OrderLines[OrderID],Orders[[#This Row],[OrderID]])</f>
        <v>228.46460000000002</v>
      </c>
      <c r="I273" t="str">
        <f>IF(COUNTIFS(OrderLines[OrderID],Orders[[#This Row],[OrderID]],OrderLines[Category],"Beverage"),"yes","no")</f>
        <v>yes</v>
      </c>
      <c r="J273" t="str">
        <f>IF(AND(COUNTIFS(OrderLines[OrderID],Orders[[#This Row],[OrderID]],OrderLines[Category],"Hot Meal"),Orders[[#This Row],[has beverage]]="yes"),"combo","single")</f>
        <v>combo</v>
      </c>
      <c r="K273" s="8" t="str" cm="1">
        <f t="array" ref="K273">IF((SUMPRODUCT(OrderLines[UnitPrice],OrderLines[Qty],--(OrderLines[OrderID]=Orders[[#This Row],[OrderID]]))-Orders[[#This Row],[Revenue]])&gt;40,"high disc","ok")</f>
        <v>ok</v>
      </c>
      <c r="L273">
        <f>SUMIFS(OrderLines[Food Cost],OrderLines[OrderID],Orders[[#This Row],[OrderID]])</f>
        <v>128.61000000000001</v>
      </c>
      <c r="M273" s="8">
        <f>Orders[[#This Row],[Revenue]]-Orders[[#This Row],[total cost]]</f>
        <v>99.854600000000005</v>
      </c>
      <c r="N273" t="str" cm="1">
        <f t="array" ref="N273">_xlfn.TEXTJOIN("+",,_xlfn._xlws.SORT(_xlfn.UNIQUE(_xlfn._xlws.FILTER(OrderLines[Category],OrderLines[OrderID]=Orders[[#This Row],[OrderID]]))))</f>
        <v>Beverage+Hot Meal+Snack</v>
      </c>
    </row>
    <row r="274" spans="1:14" x14ac:dyDescent="0.3">
      <c r="A274" t="s">
        <v>310</v>
      </c>
      <c r="B274" s="1">
        <v>45887.820648148147</v>
      </c>
      <c r="C274" t="s">
        <v>9</v>
      </c>
      <c r="D274" t="s">
        <v>10</v>
      </c>
      <c r="E274" t="s">
        <v>21</v>
      </c>
      <c r="F274" t="s">
        <v>18</v>
      </c>
      <c r="G274">
        <v>0.11</v>
      </c>
      <c r="H274" s="8">
        <f>SUMIFS(OrderLines[LineNetAmount],OrderLines[OrderID],Orders[[#This Row],[OrderID]])</f>
        <v>311.85599999999999</v>
      </c>
      <c r="I274" t="str">
        <f>IF(COUNTIFS(OrderLines[OrderID],Orders[[#This Row],[OrderID]],OrderLines[Category],"Beverage"),"yes","no")</f>
        <v>no</v>
      </c>
      <c r="J274" t="str">
        <f>IF(AND(COUNTIFS(OrderLines[OrderID],Orders[[#This Row],[OrderID]],OrderLines[Category],"Hot Meal"),Orders[[#This Row],[has beverage]]="yes"),"combo","single")</f>
        <v>single</v>
      </c>
      <c r="K274" s="8" t="str" cm="1">
        <f t="array" ref="K274">IF((SUMPRODUCT(OrderLines[UnitPrice],OrderLines[Qty],--(OrderLines[OrderID]=Orders[[#This Row],[OrderID]]))-Orders[[#This Row],[Revenue]])&gt;40,"high disc","ok")</f>
        <v>ok</v>
      </c>
      <c r="L274">
        <f>SUMIFS(OrderLines[Food Cost],OrderLines[OrderID],Orders[[#This Row],[OrderID]])</f>
        <v>146.91</v>
      </c>
      <c r="M274" s="8">
        <f>Orders[[#This Row],[Revenue]]-Orders[[#This Row],[total cost]]</f>
        <v>164.946</v>
      </c>
      <c r="N274" t="str" cm="1">
        <f t="array" ref="N274">_xlfn.TEXTJOIN("+",,_xlfn._xlws.SORT(_xlfn.UNIQUE(_xlfn._xlws.FILTER(OrderLines[Category],OrderLines[OrderID]=Orders[[#This Row],[OrderID]]))))</f>
        <v>Dessert</v>
      </c>
    </row>
    <row r="275" spans="1:14" x14ac:dyDescent="0.3">
      <c r="A275" t="s">
        <v>311</v>
      </c>
      <c r="B275" s="1">
        <v>45877.801782407398</v>
      </c>
      <c r="C275" t="s">
        <v>9</v>
      </c>
      <c r="D275" t="s">
        <v>28</v>
      </c>
      <c r="E275" t="s">
        <v>21</v>
      </c>
      <c r="F275" t="s">
        <v>18</v>
      </c>
      <c r="G275">
        <v>0.06</v>
      </c>
      <c r="H275" s="8">
        <f>SUMIFS(OrderLines[LineNetAmount],OrderLines[OrderID],Orders[[#This Row],[OrderID]])</f>
        <v>633.99240000000009</v>
      </c>
      <c r="I275" t="str">
        <f>IF(COUNTIFS(OrderLines[OrderID],Orders[[#This Row],[OrderID]],OrderLines[Category],"Beverage"),"yes","no")</f>
        <v>yes</v>
      </c>
      <c r="J275" t="str">
        <f>IF(AND(COUNTIFS(OrderLines[OrderID],Orders[[#This Row],[OrderID]],OrderLines[Category],"Hot Meal"),Orders[[#This Row],[has beverage]]="yes"),"combo","single")</f>
        <v>combo</v>
      </c>
      <c r="K275" s="8" t="str" cm="1">
        <f t="array" ref="K275">IF((SUMPRODUCT(OrderLines[UnitPrice],OrderLines[Qty],--(OrderLines[OrderID]=Orders[[#This Row],[OrderID]]))-Orders[[#This Row],[Revenue]])&gt;40,"high disc","ok")</f>
        <v>high disc</v>
      </c>
      <c r="L275">
        <f>SUMIFS(OrderLines[Food Cost],OrderLines[OrderID],Orders[[#This Row],[OrderID]])</f>
        <v>316.63</v>
      </c>
      <c r="M275" s="8">
        <f>Orders[[#This Row],[Revenue]]-Orders[[#This Row],[total cost]]</f>
        <v>317.36240000000009</v>
      </c>
      <c r="N275" t="str" cm="1">
        <f t="array" ref="N275">_xlfn.TEXTJOIN("+",,_xlfn._xlws.SORT(_xlfn.UNIQUE(_xlfn._xlws.FILTER(OrderLines[Category],OrderLines[OrderID]=Orders[[#This Row],[OrderID]]))))</f>
        <v>Beverage+Hot Meal+Snack</v>
      </c>
    </row>
    <row r="276" spans="1:14" x14ac:dyDescent="0.3">
      <c r="A276" t="s">
        <v>312</v>
      </c>
      <c r="B276" s="1">
        <v>45883.887708333343</v>
      </c>
      <c r="C276" t="s">
        <v>27</v>
      </c>
      <c r="D276" t="s">
        <v>16</v>
      </c>
      <c r="E276" t="s">
        <v>11</v>
      </c>
      <c r="F276" t="s">
        <v>18</v>
      </c>
      <c r="G276">
        <v>0.09</v>
      </c>
      <c r="H276" s="8">
        <f>SUMIFS(OrderLines[LineNetAmount],OrderLines[OrderID],Orders[[#This Row],[OrderID]])</f>
        <v>822.01210000000003</v>
      </c>
      <c r="I276" t="str">
        <f>IF(COUNTIFS(OrderLines[OrderID],Orders[[#This Row],[OrderID]],OrderLines[Category],"Beverage"),"yes","no")</f>
        <v>yes</v>
      </c>
      <c r="J276" t="str">
        <f>IF(AND(COUNTIFS(OrderLines[OrderID],Orders[[#This Row],[OrderID]],OrderLines[Category],"Hot Meal"),Orders[[#This Row],[has beverage]]="yes"),"combo","single")</f>
        <v>combo</v>
      </c>
      <c r="K276" s="8" t="str" cm="1">
        <f t="array" ref="K276">IF((SUMPRODUCT(OrderLines[UnitPrice],OrderLines[Qty],--(OrderLines[OrderID]=Orders[[#This Row],[OrderID]]))-Orders[[#This Row],[Revenue]])&gt;40,"high disc","ok")</f>
        <v>high disc</v>
      </c>
      <c r="L276">
        <f>SUMIFS(OrderLines[Food Cost],OrderLines[OrderID],Orders[[#This Row],[OrderID]])</f>
        <v>391.23999999999995</v>
      </c>
      <c r="M276" s="8">
        <f>Orders[[#This Row],[Revenue]]-Orders[[#This Row],[total cost]]</f>
        <v>430.77210000000008</v>
      </c>
      <c r="N276" t="str" cm="1">
        <f t="array" ref="N276">_xlfn.TEXTJOIN("+",,_xlfn._xlws.SORT(_xlfn.UNIQUE(_xlfn._xlws.FILTER(OrderLines[Category],OrderLines[OrderID]=Orders[[#This Row],[OrderID]]))))</f>
        <v>Beverage+Dessert+Hot Meal+Snack</v>
      </c>
    </row>
    <row r="277" spans="1:14" x14ac:dyDescent="0.3">
      <c r="A277" t="s">
        <v>313</v>
      </c>
      <c r="B277" s="1">
        <v>45894.921585648153</v>
      </c>
      <c r="C277" t="s">
        <v>15</v>
      </c>
      <c r="D277" t="s">
        <v>10</v>
      </c>
      <c r="E277" t="s">
        <v>11</v>
      </c>
      <c r="F277" t="s">
        <v>18</v>
      </c>
      <c r="G277">
        <v>0.05</v>
      </c>
      <c r="H277" s="8">
        <f>SUMIFS(OrderLines[LineNetAmount],OrderLines[OrderID],Orders[[#This Row],[OrderID]])</f>
        <v>407.24599999999992</v>
      </c>
      <c r="I277" t="str">
        <f>IF(COUNTIFS(OrderLines[OrderID],Orders[[#This Row],[OrderID]],OrderLines[Category],"Beverage"),"yes","no")</f>
        <v>yes</v>
      </c>
      <c r="J277" t="str">
        <f>IF(AND(COUNTIFS(OrderLines[OrderID],Orders[[#This Row],[OrderID]],OrderLines[Category],"Hot Meal"),Orders[[#This Row],[has beverage]]="yes"),"combo","single")</f>
        <v>single</v>
      </c>
      <c r="K277" s="8" t="str" cm="1">
        <f t="array" ref="K277">IF((SUMPRODUCT(OrderLines[UnitPrice],OrderLines[Qty],--(OrderLines[OrderID]=Orders[[#This Row],[OrderID]]))-Orders[[#This Row],[Revenue]])&gt;40,"high disc","ok")</f>
        <v>ok</v>
      </c>
      <c r="L277">
        <f>SUMIFS(OrderLines[Food Cost],OrderLines[OrderID],Orders[[#This Row],[OrderID]])</f>
        <v>182.45999999999998</v>
      </c>
      <c r="M277" s="8">
        <f>Orders[[#This Row],[Revenue]]-Orders[[#This Row],[total cost]]</f>
        <v>224.78599999999994</v>
      </c>
      <c r="N277" t="str" cm="1">
        <f t="array" ref="N277">_xlfn.TEXTJOIN("+",,_xlfn._xlws.SORT(_xlfn.UNIQUE(_xlfn._xlws.FILTER(OrderLines[Category],OrderLines[OrderID]=Orders[[#This Row],[OrderID]]))))</f>
        <v>Beverage+Dessert+Snack</v>
      </c>
    </row>
    <row r="278" spans="1:14" x14ac:dyDescent="0.3">
      <c r="A278" t="s">
        <v>314</v>
      </c>
      <c r="B278" s="1">
        <v>45867.359131944453</v>
      </c>
      <c r="C278" t="s">
        <v>27</v>
      </c>
      <c r="D278" t="s">
        <v>16</v>
      </c>
      <c r="E278" t="s">
        <v>17</v>
      </c>
      <c r="F278" t="s">
        <v>12</v>
      </c>
      <c r="G278">
        <v>7.0000000000000007E-2</v>
      </c>
      <c r="H278" s="8">
        <f>SUMIFS(OrderLines[LineNetAmount],OrderLines[OrderID],Orders[[#This Row],[OrderID]])</f>
        <v>72.549300000000002</v>
      </c>
      <c r="I278" t="str">
        <f>IF(COUNTIFS(OrderLines[OrderID],Orders[[#This Row],[OrderID]],OrderLines[Category],"Beverage"),"yes","no")</f>
        <v>no</v>
      </c>
      <c r="J278" t="str">
        <f>IF(AND(COUNTIFS(OrderLines[OrderID],Orders[[#This Row],[OrderID]],OrderLines[Category],"Hot Meal"),Orders[[#This Row],[has beverage]]="yes"),"combo","single")</f>
        <v>single</v>
      </c>
      <c r="K278" s="8" t="str" cm="1">
        <f t="array" ref="K278">IF((SUMPRODUCT(OrderLines[UnitPrice],OrderLines[Qty],--(OrderLines[OrderID]=Orders[[#This Row],[OrderID]]))-Orders[[#This Row],[Revenue]])&gt;40,"high disc","ok")</f>
        <v>ok</v>
      </c>
      <c r="L278">
        <f>SUMIFS(OrderLines[Food Cost],OrderLines[OrderID],Orders[[#This Row],[OrderID]])</f>
        <v>35.06</v>
      </c>
      <c r="M278" s="8">
        <f>Orders[[#This Row],[Revenue]]-Orders[[#This Row],[total cost]]</f>
        <v>37.4893</v>
      </c>
      <c r="N278" t="str" cm="1">
        <f t="array" ref="N278">_xlfn.TEXTJOIN("+",,_xlfn._xlws.SORT(_xlfn.UNIQUE(_xlfn._xlws.FILTER(OrderLines[Category],OrderLines[OrderID]=Orders[[#This Row],[OrderID]]))))</f>
        <v>Snack</v>
      </c>
    </row>
    <row r="279" spans="1:14" x14ac:dyDescent="0.3">
      <c r="A279" t="s">
        <v>315</v>
      </c>
      <c r="B279" s="1">
        <v>45855.937222222223</v>
      </c>
      <c r="C279" t="s">
        <v>9</v>
      </c>
      <c r="D279" t="s">
        <v>16</v>
      </c>
      <c r="E279" t="s">
        <v>11</v>
      </c>
      <c r="F279" t="s">
        <v>18</v>
      </c>
      <c r="G279">
        <v>0.05</v>
      </c>
      <c r="H279" s="8">
        <f>SUMIFS(OrderLines[LineNetAmount],OrderLines[OrderID],Orders[[#This Row],[OrderID]])</f>
        <v>413.03149999999999</v>
      </c>
      <c r="I279" t="str">
        <f>IF(COUNTIFS(OrderLines[OrderID],Orders[[#This Row],[OrderID]],OrderLines[Category],"Beverage"),"yes","no")</f>
        <v>yes</v>
      </c>
      <c r="J279" t="str">
        <f>IF(AND(COUNTIFS(OrderLines[OrderID],Orders[[#This Row],[OrderID]],OrderLines[Category],"Hot Meal"),Orders[[#This Row],[has beverage]]="yes"),"combo","single")</f>
        <v>combo</v>
      </c>
      <c r="K279" s="8" t="str" cm="1">
        <f t="array" ref="K279">IF((SUMPRODUCT(OrderLines[UnitPrice],OrderLines[Qty],--(OrderLines[OrderID]=Orders[[#This Row],[OrderID]]))-Orders[[#This Row],[Revenue]])&gt;40,"high disc","ok")</f>
        <v>ok</v>
      </c>
      <c r="L279">
        <f>SUMIFS(OrderLines[Food Cost],OrderLines[OrderID],Orders[[#This Row],[OrderID]])</f>
        <v>186.19</v>
      </c>
      <c r="M279" s="8">
        <f>Orders[[#This Row],[Revenue]]-Orders[[#This Row],[total cost]]</f>
        <v>226.8415</v>
      </c>
      <c r="N279" t="str" cm="1">
        <f t="array" ref="N279">_xlfn.TEXTJOIN("+",,_xlfn._xlws.SORT(_xlfn.UNIQUE(_xlfn._xlws.FILTER(OrderLines[Category],OrderLines[OrderID]=Orders[[#This Row],[OrderID]]))))</f>
        <v>Beverage+Dessert+Hot Meal</v>
      </c>
    </row>
    <row r="280" spans="1:14" x14ac:dyDescent="0.3">
      <c r="A280" t="s">
        <v>316</v>
      </c>
      <c r="B280" s="1">
        <v>45847.806562500002</v>
      </c>
      <c r="C280" t="s">
        <v>15</v>
      </c>
      <c r="D280" t="s">
        <v>28</v>
      </c>
      <c r="E280" t="s">
        <v>17</v>
      </c>
      <c r="F280" t="s">
        <v>18</v>
      </c>
      <c r="G280">
        <v>0.06</v>
      </c>
      <c r="H280" s="8">
        <f>SUMIFS(OrderLines[LineNetAmount],OrderLines[OrderID],Orders[[#This Row],[OrderID]])</f>
        <v>28.519599999999997</v>
      </c>
      <c r="I280" t="str">
        <f>IF(COUNTIFS(OrderLines[OrderID],Orders[[#This Row],[OrderID]],OrderLines[Category],"Beverage"),"yes","no")</f>
        <v>yes</v>
      </c>
      <c r="J280" t="str">
        <f>IF(AND(COUNTIFS(OrderLines[OrderID],Orders[[#This Row],[OrderID]],OrderLines[Category],"Hot Meal"),Orders[[#This Row],[has beverage]]="yes"),"combo","single")</f>
        <v>single</v>
      </c>
      <c r="K280" s="8" t="str" cm="1">
        <f t="array" ref="K280">IF((SUMPRODUCT(OrderLines[UnitPrice],OrderLines[Qty],--(OrderLines[OrderID]=Orders[[#This Row],[OrderID]]))-Orders[[#This Row],[Revenue]])&gt;40,"high disc","ok")</f>
        <v>ok</v>
      </c>
      <c r="L280">
        <f>SUMIFS(OrderLines[Food Cost],OrderLines[OrderID],Orders[[#This Row],[OrderID]])</f>
        <v>14.18</v>
      </c>
      <c r="M280" s="8">
        <f>Orders[[#This Row],[Revenue]]-Orders[[#This Row],[total cost]]</f>
        <v>14.339599999999997</v>
      </c>
      <c r="N280" t="str" cm="1">
        <f t="array" ref="N280">_xlfn.TEXTJOIN("+",,_xlfn._xlws.SORT(_xlfn.UNIQUE(_xlfn._xlws.FILTER(OrderLines[Category],OrderLines[OrderID]=Orders[[#This Row],[OrderID]]))))</f>
        <v>Beverage</v>
      </c>
    </row>
    <row r="281" spans="1:14" x14ac:dyDescent="0.3">
      <c r="A281" t="s">
        <v>317</v>
      </c>
      <c r="B281" s="1">
        <v>45896.423726851863</v>
      </c>
      <c r="C281" t="s">
        <v>15</v>
      </c>
      <c r="D281" t="s">
        <v>10</v>
      </c>
      <c r="E281" t="s">
        <v>17</v>
      </c>
      <c r="F281" t="s">
        <v>12</v>
      </c>
      <c r="G281">
        <v>0.08</v>
      </c>
      <c r="H281" s="8">
        <f>SUMIFS(OrderLines[LineNetAmount],OrderLines[OrderID],Orders[[#This Row],[OrderID]])</f>
        <v>267.05760000000004</v>
      </c>
      <c r="I281" t="str">
        <f>IF(COUNTIFS(OrderLines[OrderID],Orders[[#This Row],[OrderID]],OrderLines[Category],"Beverage"),"yes","no")</f>
        <v>yes</v>
      </c>
      <c r="J281" t="str">
        <f>IF(AND(COUNTIFS(OrderLines[OrderID],Orders[[#This Row],[OrderID]],OrderLines[Category],"Hot Meal"),Orders[[#This Row],[has beverage]]="yes"),"combo","single")</f>
        <v>combo</v>
      </c>
      <c r="K281" s="8" t="str" cm="1">
        <f t="array" ref="K281">IF((SUMPRODUCT(OrderLines[UnitPrice],OrderLines[Qty],--(OrderLines[OrderID]=Orders[[#This Row],[OrderID]]))-Orders[[#This Row],[Revenue]])&gt;40,"high disc","ok")</f>
        <v>ok</v>
      </c>
      <c r="L281">
        <f>SUMIFS(OrderLines[Food Cost],OrderLines[OrderID],Orders[[#This Row],[OrderID]])</f>
        <v>130.5</v>
      </c>
      <c r="M281" s="8">
        <f>Orders[[#This Row],[Revenue]]-Orders[[#This Row],[total cost]]</f>
        <v>136.55760000000004</v>
      </c>
      <c r="N281" t="str" cm="1">
        <f t="array" ref="N281">_xlfn.TEXTJOIN("+",,_xlfn._xlws.SORT(_xlfn.UNIQUE(_xlfn._xlws.FILTER(OrderLines[Category],OrderLines[OrderID]=Orders[[#This Row],[OrderID]]))))</f>
        <v>Beverage+Hot Meal</v>
      </c>
    </row>
    <row r="282" spans="1:14" x14ac:dyDescent="0.3">
      <c r="A282" t="s">
        <v>318</v>
      </c>
      <c r="B282" s="1">
        <v>45869.374664351853</v>
      </c>
      <c r="C282" t="s">
        <v>9</v>
      </c>
      <c r="D282" t="s">
        <v>16</v>
      </c>
      <c r="E282" t="s">
        <v>17</v>
      </c>
      <c r="F282" t="s">
        <v>12</v>
      </c>
      <c r="G282">
        <v>0.03</v>
      </c>
      <c r="H282" s="8">
        <f>SUMIFS(OrderLines[LineNetAmount],OrderLines[OrderID],Orders[[#This Row],[OrderID]])</f>
        <v>29.4298</v>
      </c>
      <c r="I282" t="str">
        <f>IF(COUNTIFS(OrderLines[OrderID],Orders[[#This Row],[OrderID]],OrderLines[Category],"Beverage"),"yes","no")</f>
        <v>yes</v>
      </c>
      <c r="J282" t="str">
        <f>IF(AND(COUNTIFS(OrderLines[OrderID],Orders[[#This Row],[OrderID]],OrderLines[Category],"Hot Meal"),Orders[[#This Row],[has beverage]]="yes"),"combo","single")</f>
        <v>single</v>
      </c>
      <c r="K282" s="8" t="str" cm="1">
        <f t="array" ref="K282">IF((SUMPRODUCT(OrderLines[UnitPrice],OrderLines[Qty],--(OrderLines[OrderID]=Orders[[#This Row],[OrderID]]))-Orders[[#This Row],[Revenue]])&gt;40,"high disc","ok")</f>
        <v>ok</v>
      </c>
      <c r="L282">
        <f>SUMIFS(OrderLines[Food Cost],OrderLines[OrderID],Orders[[#This Row],[OrderID]])</f>
        <v>14.18</v>
      </c>
      <c r="M282" s="8">
        <f>Orders[[#This Row],[Revenue]]-Orders[[#This Row],[total cost]]</f>
        <v>15.2498</v>
      </c>
      <c r="N282" t="str" cm="1">
        <f t="array" ref="N282">_xlfn.TEXTJOIN("+",,_xlfn._xlws.SORT(_xlfn.UNIQUE(_xlfn._xlws.FILTER(OrderLines[Category],OrderLines[OrderID]=Orders[[#This Row],[OrderID]]))))</f>
        <v>Beverage</v>
      </c>
    </row>
    <row r="283" spans="1:14" x14ac:dyDescent="0.3">
      <c r="A283" t="s">
        <v>319</v>
      </c>
      <c r="B283" s="1">
        <v>45855.574062500003</v>
      </c>
      <c r="C283" t="s">
        <v>27</v>
      </c>
      <c r="D283" t="s">
        <v>10</v>
      </c>
      <c r="E283" t="s">
        <v>11</v>
      </c>
      <c r="F283" t="s">
        <v>22</v>
      </c>
      <c r="G283">
        <v>0.14000000000000001</v>
      </c>
      <c r="H283" s="8">
        <f>SUMIFS(OrderLines[LineNetAmount],OrderLines[OrderID],Orders[[#This Row],[OrderID]])</f>
        <v>276.7996</v>
      </c>
      <c r="I283" t="str">
        <f>IF(COUNTIFS(OrderLines[OrderID],Orders[[#This Row],[OrderID]],OrderLines[Category],"Beverage"),"yes","no")</f>
        <v>yes</v>
      </c>
      <c r="J283" t="str">
        <f>IF(AND(COUNTIFS(OrderLines[OrderID],Orders[[#This Row],[OrderID]],OrderLines[Category],"Hot Meal"),Orders[[#This Row],[has beverage]]="yes"),"combo","single")</f>
        <v>single</v>
      </c>
      <c r="K283" s="8" t="str" cm="1">
        <f t="array" ref="K283">IF((SUMPRODUCT(OrderLines[UnitPrice],OrderLines[Qty],--(OrderLines[OrderID]=Orders[[#This Row],[OrderID]]))-Orders[[#This Row],[Revenue]])&gt;40,"high disc","ok")</f>
        <v>high disc</v>
      </c>
      <c r="L283">
        <f>SUMIFS(OrderLines[Food Cost],OrderLines[OrderID],Orders[[#This Row],[OrderID]])</f>
        <v>152.63000000000002</v>
      </c>
      <c r="M283" s="8">
        <f>Orders[[#This Row],[Revenue]]-Orders[[#This Row],[total cost]]</f>
        <v>124.16959999999997</v>
      </c>
      <c r="N283" t="str" cm="1">
        <f t="array" ref="N283">_xlfn.TEXTJOIN("+",,_xlfn._xlws.SORT(_xlfn.UNIQUE(_xlfn._xlws.FILTER(OrderLines[Category],OrderLines[OrderID]=Orders[[#This Row],[OrderID]]))))</f>
        <v>Beverage+Snack</v>
      </c>
    </row>
    <row r="284" spans="1:14" x14ac:dyDescent="0.3">
      <c r="A284" t="s">
        <v>320</v>
      </c>
      <c r="B284" s="1">
        <v>45890.766608796293</v>
      </c>
      <c r="C284" t="s">
        <v>9</v>
      </c>
      <c r="D284" t="s">
        <v>28</v>
      </c>
      <c r="E284" t="s">
        <v>21</v>
      </c>
      <c r="F284" t="s">
        <v>18</v>
      </c>
      <c r="G284">
        <v>0.02</v>
      </c>
      <c r="H284" s="8">
        <f>SUMIFS(OrderLines[LineNetAmount],OrderLines[OrderID],Orders[[#This Row],[OrderID]])</f>
        <v>1112.0354</v>
      </c>
      <c r="I284" t="str">
        <f>IF(COUNTIFS(OrderLines[OrderID],Orders[[#This Row],[OrderID]],OrderLines[Category],"Beverage"),"yes","no")</f>
        <v>yes</v>
      </c>
      <c r="J284" t="str">
        <f>IF(AND(COUNTIFS(OrderLines[OrderID],Orders[[#This Row],[OrderID]],OrderLines[Category],"Hot Meal"),Orders[[#This Row],[has beverage]]="yes"),"combo","single")</f>
        <v>combo</v>
      </c>
      <c r="K284" s="8" t="str" cm="1">
        <f t="array" ref="K284">IF((SUMPRODUCT(OrderLines[UnitPrice],OrderLines[Qty],--(OrderLines[OrderID]=Orders[[#This Row],[OrderID]]))-Orders[[#This Row],[Revenue]])&gt;40,"high disc","ok")</f>
        <v>ok</v>
      </c>
      <c r="L284">
        <f>SUMIFS(OrderLines[Food Cost],OrderLines[OrderID],Orders[[#This Row],[OrderID]])</f>
        <v>481.99999999999994</v>
      </c>
      <c r="M284" s="8">
        <f>Orders[[#This Row],[Revenue]]-Orders[[#This Row],[total cost]]</f>
        <v>630.03539999999998</v>
      </c>
      <c r="N284" t="str" cm="1">
        <f t="array" ref="N284">_xlfn.TEXTJOIN("+",,_xlfn._xlws.SORT(_xlfn.UNIQUE(_xlfn._xlws.FILTER(OrderLines[Category],OrderLines[OrderID]=Orders[[#This Row],[OrderID]]))))</f>
        <v>Beverage+Hot Meal+Snack</v>
      </c>
    </row>
    <row r="285" spans="1:14" x14ac:dyDescent="0.3">
      <c r="A285" t="s">
        <v>321</v>
      </c>
      <c r="B285" s="1">
        <v>45853.589259259257</v>
      </c>
      <c r="C285" t="s">
        <v>27</v>
      </c>
      <c r="D285" t="s">
        <v>28</v>
      </c>
      <c r="E285" t="s">
        <v>17</v>
      </c>
      <c r="F285" t="s">
        <v>22</v>
      </c>
      <c r="G285">
        <v>0.01</v>
      </c>
      <c r="H285" s="8">
        <f>SUMIFS(OrderLines[LineNetAmount],OrderLines[OrderID],Orders[[#This Row],[OrderID]])</f>
        <v>328.69979999999998</v>
      </c>
      <c r="I285" t="str">
        <f>IF(COUNTIFS(OrderLines[OrderID],Orders[[#This Row],[OrderID]],OrderLines[Category],"Beverage"),"yes","no")</f>
        <v>no</v>
      </c>
      <c r="J285" t="str">
        <f>IF(AND(COUNTIFS(OrderLines[OrderID],Orders[[#This Row],[OrderID]],OrderLines[Category],"Hot Meal"),Orders[[#This Row],[has beverage]]="yes"),"combo","single")</f>
        <v>single</v>
      </c>
      <c r="K285" s="8" t="str" cm="1">
        <f t="array" ref="K285">IF((SUMPRODUCT(OrderLines[UnitPrice],OrderLines[Qty],--(OrderLines[OrderID]=Orders[[#This Row],[OrderID]]))-Orders[[#This Row],[Revenue]])&gt;40,"high disc","ok")</f>
        <v>ok</v>
      </c>
      <c r="L285">
        <f>SUMIFS(OrderLines[Food Cost],OrderLines[OrderID],Orders[[#This Row],[OrderID]])</f>
        <v>157.66</v>
      </c>
      <c r="M285" s="8">
        <f>Orders[[#This Row],[Revenue]]-Orders[[#This Row],[total cost]]</f>
        <v>171.03979999999999</v>
      </c>
      <c r="N285" t="str" cm="1">
        <f t="array" ref="N285">_xlfn.TEXTJOIN("+",,_xlfn._xlws.SORT(_xlfn.UNIQUE(_xlfn._xlws.FILTER(OrderLines[Category],OrderLines[OrderID]=Orders[[#This Row],[OrderID]]))))</f>
        <v>Dessert+Snack</v>
      </c>
    </row>
    <row r="286" spans="1:14" x14ac:dyDescent="0.3">
      <c r="A286" t="s">
        <v>322</v>
      </c>
      <c r="B286" s="1">
        <v>45858.403182870366</v>
      </c>
      <c r="C286" t="s">
        <v>27</v>
      </c>
      <c r="D286" t="s">
        <v>10</v>
      </c>
      <c r="E286" t="s">
        <v>17</v>
      </c>
      <c r="F286" t="s">
        <v>12</v>
      </c>
      <c r="G286">
        <v>0.11</v>
      </c>
      <c r="H286" s="8">
        <f>SUMIFS(OrderLines[LineNetAmount],OrderLines[OrderID],Orders[[#This Row],[OrderID]])</f>
        <v>380.96449999999999</v>
      </c>
      <c r="I286" t="str">
        <f>IF(COUNTIFS(OrderLines[OrderID],Orders[[#This Row],[OrderID]],OrderLines[Category],"Beverage"),"yes","no")</f>
        <v>no</v>
      </c>
      <c r="J286" t="str">
        <f>IF(AND(COUNTIFS(OrderLines[OrderID],Orders[[#This Row],[OrderID]],OrderLines[Category],"Hot Meal"),Orders[[#This Row],[has beverage]]="yes"),"combo","single")</f>
        <v>single</v>
      </c>
      <c r="K286" s="8" t="str" cm="1">
        <f t="array" ref="K286">IF((SUMPRODUCT(OrderLines[UnitPrice],OrderLines[Qty],--(OrderLines[OrderID]=Orders[[#This Row],[OrderID]]))-Orders[[#This Row],[Revenue]])&gt;40,"high disc","ok")</f>
        <v>high disc</v>
      </c>
      <c r="L286">
        <f>SUMIFS(OrderLines[Food Cost],OrderLines[OrderID],Orders[[#This Row],[OrderID]])</f>
        <v>189.64999999999998</v>
      </c>
      <c r="M286" s="8">
        <f>Orders[[#This Row],[Revenue]]-Orders[[#This Row],[total cost]]</f>
        <v>191.31450000000001</v>
      </c>
      <c r="N286" t="str" cm="1">
        <f t="array" ref="N286">_xlfn.TEXTJOIN("+",,_xlfn._xlws.SORT(_xlfn.UNIQUE(_xlfn._xlws.FILTER(OrderLines[Category],OrderLines[OrderID]=Orders[[#This Row],[OrderID]]))))</f>
        <v>Dessert+Hot Meal+Snack</v>
      </c>
    </row>
    <row r="287" spans="1:14" x14ac:dyDescent="0.3">
      <c r="A287" t="s">
        <v>323</v>
      </c>
      <c r="B287" s="1">
        <v>45856.449178240742</v>
      </c>
      <c r="C287" t="s">
        <v>9</v>
      </c>
      <c r="D287" t="s">
        <v>16</v>
      </c>
      <c r="E287" t="s">
        <v>21</v>
      </c>
      <c r="F287" t="s">
        <v>12</v>
      </c>
      <c r="G287">
        <v>0.09</v>
      </c>
      <c r="H287" s="8">
        <f>SUMIFS(OrderLines[LineNetAmount],OrderLines[OrderID],Orders[[#This Row],[OrderID]])</f>
        <v>294.77629999999999</v>
      </c>
      <c r="I287" t="str">
        <f>IF(COUNTIFS(OrderLines[OrderID],Orders[[#This Row],[OrderID]],OrderLines[Category],"Beverage"),"yes","no")</f>
        <v>no</v>
      </c>
      <c r="J287" t="str">
        <f>IF(AND(COUNTIFS(OrderLines[OrderID],Orders[[#This Row],[OrderID]],OrderLines[Category],"Hot Meal"),Orders[[#This Row],[has beverage]]="yes"),"combo","single")</f>
        <v>single</v>
      </c>
      <c r="K287" s="8" t="str" cm="1">
        <f t="array" ref="K287">IF((SUMPRODUCT(OrderLines[UnitPrice],OrderLines[Qty],--(OrderLines[OrderID]=Orders[[#This Row],[OrderID]]))-Orders[[#This Row],[Revenue]])&gt;40,"high disc","ok")</f>
        <v>ok</v>
      </c>
      <c r="L287">
        <f>SUMIFS(OrderLines[Food Cost],OrderLines[OrderID],Orders[[#This Row],[OrderID]])</f>
        <v>150.52999999999997</v>
      </c>
      <c r="M287" s="8">
        <f>Orders[[#This Row],[Revenue]]-Orders[[#This Row],[total cost]]</f>
        <v>144.24630000000002</v>
      </c>
      <c r="N287" t="str" cm="1">
        <f t="array" ref="N287">_xlfn.TEXTJOIN("+",,_xlfn._xlws.SORT(_xlfn.UNIQUE(_xlfn._xlws.FILTER(OrderLines[Category],OrderLines[OrderID]=Orders[[#This Row],[OrderID]]))))</f>
        <v>Dessert+Hot Meal</v>
      </c>
    </row>
    <row r="288" spans="1:14" x14ac:dyDescent="0.3">
      <c r="A288" t="s">
        <v>324</v>
      </c>
      <c r="B288" s="1">
        <v>45894.056712962964</v>
      </c>
      <c r="C288" t="s">
        <v>9</v>
      </c>
      <c r="D288" t="s">
        <v>10</v>
      </c>
      <c r="E288" t="s">
        <v>11</v>
      </c>
      <c r="F288" t="s">
        <v>12</v>
      </c>
      <c r="G288">
        <v>0.08</v>
      </c>
      <c r="H288" s="8">
        <f>SUMIFS(OrderLines[LineNetAmount],OrderLines[OrderID],Orders[[#This Row],[OrderID]])</f>
        <v>371.04520000000002</v>
      </c>
      <c r="I288" t="str">
        <f>IF(COUNTIFS(OrderLines[OrderID],Orders[[#This Row],[OrderID]],OrderLines[Category],"Beverage"),"yes","no")</f>
        <v>no</v>
      </c>
      <c r="J288" t="str">
        <f>IF(AND(COUNTIFS(OrderLines[OrderID],Orders[[#This Row],[OrderID]],OrderLines[Category],"Hot Meal"),Orders[[#This Row],[has beverage]]="yes"),"combo","single")</f>
        <v>single</v>
      </c>
      <c r="K288" s="8" t="str" cm="1">
        <f t="array" ref="K288">IF((SUMPRODUCT(OrderLines[UnitPrice],OrderLines[Qty],--(OrderLines[OrderID]=Orders[[#This Row],[OrderID]]))-Orders[[#This Row],[Revenue]])&gt;40,"high disc","ok")</f>
        <v>ok</v>
      </c>
      <c r="L288">
        <f>SUMIFS(OrderLines[Food Cost],OrderLines[OrderID],Orders[[#This Row],[OrderID]])</f>
        <v>202.16</v>
      </c>
      <c r="M288" s="8">
        <f>Orders[[#This Row],[Revenue]]-Orders[[#This Row],[total cost]]</f>
        <v>168.88520000000003</v>
      </c>
      <c r="N288" t="str" cm="1">
        <f t="array" ref="N288">_xlfn.TEXTJOIN("+",,_xlfn._xlws.SORT(_xlfn.UNIQUE(_xlfn._xlws.FILTER(OrderLines[Category],OrderLines[OrderID]=Orders[[#This Row],[OrderID]]))))</f>
        <v>Hot Meal</v>
      </c>
    </row>
    <row r="289" spans="1:14" x14ac:dyDescent="0.3">
      <c r="A289" t="s">
        <v>325</v>
      </c>
      <c r="B289" s="1">
        <v>45869.944039351853</v>
      </c>
      <c r="C289" t="s">
        <v>27</v>
      </c>
      <c r="D289" t="s">
        <v>16</v>
      </c>
      <c r="E289" t="s">
        <v>17</v>
      </c>
      <c r="F289" t="s">
        <v>18</v>
      </c>
      <c r="G289">
        <v>0.09</v>
      </c>
      <c r="H289" s="8">
        <f>SUMIFS(OrderLines[LineNetAmount],OrderLines[OrderID],Orders[[#This Row],[OrderID]])</f>
        <v>291.31830000000002</v>
      </c>
      <c r="I289" t="str">
        <f>IF(COUNTIFS(OrderLines[OrderID],Orders[[#This Row],[OrderID]],OrderLines[Category],"Beverage"),"yes","no")</f>
        <v>yes</v>
      </c>
      <c r="J289" t="str">
        <f>IF(AND(COUNTIFS(OrderLines[OrderID],Orders[[#This Row],[OrderID]],OrderLines[Category],"Hot Meal"),Orders[[#This Row],[has beverage]]="yes"),"combo","single")</f>
        <v>combo</v>
      </c>
      <c r="K289" s="8" t="str" cm="1">
        <f t="array" ref="K289">IF((SUMPRODUCT(OrderLines[UnitPrice],OrderLines[Qty],--(OrderLines[OrderID]=Orders[[#This Row],[OrderID]]))-Orders[[#This Row],[Revenue]])&gt;40,"high disc","ok")</f>
        <v>ok</v>
      </c>
      <c r="L289">
        <f>SUMIFS(OrderLines[Food Cost],OrderLines[OrderID],Orders[[#This Row],[OrderID]])</f>
        <v>144.42999999999998</v>
      </c>
      <c r="M289" s="8">
        <f>Orders[[#This Row],[Revenue]]-Orders[[#This Row],[total cost]]</f>
        <v>146.88830000000004</v>
      </c>
      <c r="N289" t="str" cm="1">
        <f t="array" ref="N289">_xlfn.TEXTJOIN("+",,_xlfn._xlws.SORT(_xlfn.UNIQUE(_xlfn._xlws.FILTER(OrderLines[Category],OrderLines[OrderID]=Orders[[#This Row],[OrderID]]))))</f>
        <v>Beverage+Hot Meal+Snack</v>
      </c>
    </row>
    <row r="290" spans="1:14" x14ac:dyDescent="0.3">
      <c r="A290" t="s">
        <v>326</v>
      </c>
      <c r="B290" s="1">
        <v>45882.18414351852</v>
      </c>
      <c r="C290" t="s">
        <v>9</v>
      </c>
      <c r="D290" t="s">
        <v>16</v>
      </c>
      <c r="E290" t="s">
        <v>21</v>
      </c>
      <c r="F290" t="s">
        <v>12</v>
      </c>
      <c r="G290">
        <v>0.06</v>
      </c>
      <c r="H290" s="8">
        <f>SUMIFS(OrderLines[LineNetAmount],OrderLines[OrderID],Orders[[#This Row],[OrderID]])</f>
        <v>289.78319999999997</v>
      </c>
      <c r="I290" t="str">
        <f>IF(COUNTIFS(OrderLines[OrderID],Orders[[#This Row],[OrderID]],OrderLines[Category],"Beverage"),"yes","no")</f>
        <v>yes</v>
      </c>
      <c r="J290" t="str">
        <f>IF(AND(COUNTIFS(OrderLines[OrderID],Orders[[#This Row],[OrderID]],OrderLines[Category],"Hot Meal"),Orders[[#This Row],[has beverage]]="yes"),"combo","single")</f>
        <v>single</v>
      </c>
      <c r="K290" s="8" t="str" cm="1">
        <f t="array" ref="K290">IF((SUMPRODUCT(OrderLines[UnitPrice],OrderLines[Qty],--(OrderLines[OrderID]=Orders[[#This Row],[OrderID]]))-Orders[[#This Row],[Revenue]])&gt;40,"high disc","ok")</f>
        <v>ok</v>
      </c>
      <c r="L290">
        <f>SUMIFS(OrderLines[Food Cost],OrderLines[OrderID],Orders[[#This Row],[OrderID]])</f>
        <v>153.66</v>
      </c>
      <c r="M290" s="8">
        <f>Orders[[#This Row],[Revenue]]-Orders[[#This Row],[total cost]]</f>
        <v>136.12319999999997</v>
      </c>
      <c r="N290" t="str" cm="1">
        <f t="array" ref="N290">_xlfn.TEXTJOIN("+",,_xlfn._xlws.SORT(_xlfn.UNIQUE(_xlfn._xlws.FILTER(OrderLines[Category],OrderLines[OrderID]=Orders[[#This Row],[OrderID]]))))</f>
        <v>Beverage+Dessert+Snack</v>
      </c>
    </row>
    <row r="291" spans="1:14" x14ac:dyDescent="0.3">
      <c r="A291" t="s">
        <v>327</v>
      </c>
      <c r="B291" s="1">
        <v>45873.42019675926</v>
      </c>
      <c r="C291" t="s">
        <v>9</v>
      </c>
      <c r="D291" t="s">
        <v>28</v>
      </c>
      <c r="E291" t="s">
        <v>21</v>
      </c>
      <c r="F291" t="s">
        <v>12</v>
      </c>
      <c r="G291">
        <v>0.02</v>
      </c>
      <c r="H291" s="8">
        <f>SUMIFS(OrderLines[LineNetAmount],OrderLines[OrderID],Orders[[#This Row],[OrderID]])</f>
        <v>52.028199999999998</v>
      </c>
      <c r="I291" t="str">
        <f>IF(COUNTIFS(OrderLines[OrderID],Orders[[#This Row],[OrderID]],OrderLines[Category],"Beverage"),"yes","no")</f>
        <v>yes</v>
      </c>
      <c r="J291" t="str">
        <f>IF(AND(COUNTIFS(OrderLines[OrderID],Orders[[#This Row],[OrderID]],OrderLines[Category],"Hot Meal"),Orders[[#This Row],[has beverage]]="yes"),"combo","single")</f>
        <v>single</v>
      </c>
      <c r="K291" s="8" t="str" cm="1">
        <f t="array" ref="K291">IF((SUMPRODUCT(OrderLines[UnitPrice],OrderLines[Qty],--(OrderLines[OrderID]=Orders[[#This Row],[OrderID]]))-Orders[[#This Row],[Revenue]])&gt;40,"high disc","ok")</f>
        <v>ok</v>
      </c>
      <c r="L291">
        <f>SUMIFS(OrderLines[Food Cost],OrderLines[OrderID],Orders[[#This Row],[OrderID]])</f>
        <v>19.84</v>
      </c>
      <c r="M291" s="8">
        <f>Orders[[#This Row],[Revenue]]-Orders[[#This Row],[total cost]]</f>
        <v>32.188199999999995</v>
      </c>
      <c r="N291" t="str" cm="1">
        <f t="array" ref="N291">_xlfn.TEXTJOIN("+",,_xlfn._xlws.SORT(_xlfn.UNIQUE(_xlfn._xlws.FILTER(OrderLines[Category],OrderLines[OrderID]=Orders[[#This Row],[OrderID]]))))</f>
        <v>Beverage</v>
      </c>
    </row>
    <row r="292" spans="1:14" x14ac:dyDescent="0.3">
      <c r="A292" t="s">
        <v>328</v>
      </c>
      <c r="B292" s="1">
        <v>45883.126481481479</v>
      </c>
      <c r="C292" t="s">
        <v>27</v>
      </c>
      <c r="D292" t="s">
        <v>28</v>
      </c>
      <c r="E292" t="s">
        <v>21</v>
      </c>
      <c r="F292" t="s">
        <v>12</v>
      </c>
      <c r="G292">
        <v>0.06</v>
      </c>
      <c r="H292" s="8">
        <f>SUMIFS(OrderLines[LineNetAmount],OrderLines[OrderID],Orders[[#This Row],[OrderID]])</f>
        <v>482.99080000000004</v>
      </c>
      <c r="I292" t="str">
        <f>IF(COUNTIFS(OrderLines[OrderID],Orders[[#This Row],[OrderID]],OrderLines[Category],"Beverage"),"yes","no")</f>
        <v>no</v>
      </c>
      <c r="J292" t="str">
        <f>IF(AND(COUNTIFS(OrderLines[OrderID],Orders[[#This Row],[OrderID]],OrderLines[Category],"Hot Meal"),Orders[[#This Row],[has beverage]]="yes"),"combo","single")</f>
        <v>single</v>
      </c>
      <c r="K292" s="8" t="str" cm="1">
        <f t="array" ref="K292">IF((SUMPRODUCT(OrderLines[UnitPrice],OrderLines[Qty],--(OrderLines[OrderID]=Orders[[#This Row],[OrderID]]))-Orders[[#This Row],[Revenue]])&gt;40,"high disc","ok")</f>
        <v>ok</v>
      </c>
      <c r="L292">
        <f>SUMIFS(OrderLines[Food Cost],OrderLines[OrderID],Orders[[#This Row],[OrderID]])</f>
        <v>242.48</v>
      </c>
      <c r="M292" s="8">
        <f>Orders[[#This Row],[Revenue]]-Orders[[#This Row],[total cost]]</f>
        <v>240.51080000000005</v>
      </c>
      <c r="N292" t="str" cm="1">
        <f t="array" ref="N292">_xlfn.TEXTJOIN("+",,_xlfn._xlws.SORT(_xlfn.UNIQUE(_xlfn._xlws.FILTER(OrderLines[Category],OrderLines[OrderID]=Orders[[#This Row],[OrderID]]))))</f>
        <v>Hot Meal</v>
      </c>
    </row>
    <row r="293" spans="1:14" x14ac:dyDescent="0.3">
      <c r="A293" t="s">
        <v>329</v>
      </c>
      <c r="B293" s="1">
        <v>45846.699837962973</v>
      </c>
      <c r="C293" t="s">
        <v>9</v>
      </c>
      <c r="D293" t="s">
        <v>28</v>
      </c>
      <c r="E293" t="s">
        <v>11</v>
      </c>
      <c r="F293" t="s">
        <v>18</v>
      </c>
      <c r="G293">
        <v>0.03</v>
      </c>
      <c r="H293" s="8">
        <f>SUMIFS(OrderLines[LineNetAmount],OrderLines[OrderID],Orders[[#This Row],[OrderID]])</f>
        <v>78.366299999999995</v>
      </c>
      <c r="I293" t="str">
        <f>IF(COUNTIFS(OrderLines[OrderID],Orders[[#This Row],[OrderID]],OrderLines[Category],"Beverage"),"yes","no")</f>
        <v>yes</v>
      </c>
      <c r="J293" t="str">
        <f>IF(AND(COUNTIFS(OrderLines[OrderID],Orders[[#This Row],[OrderID]],OrderLines[Category],"Hot Meal"),Orders[[#This Row],[has beverage]]="yes"),"combo","single")</f>
        <v>single</v>
      </c>
      <c r="K293" s="8" t="str" cm="1">
        <f t="array" ref="K293">IF((SUMPRODUCT(OrderLines[UnitPrice],OrderLines[Qty],--(OrderLines[OrderID]=Orders[[#This Row],[OrderID]]))-Orders[[#This Row],[Revenue]])&gt;40,"high disc","ok")</f>
        <v>ok</v>
      </c>
      <c r="L293">
        <f>SUMIFS(OrderLines[Food Cost],OrderLines[OrderID],Orders[[#This Row],[OrderID]])</f>
        <v>36.36</v>
      </c>
      <c r="M293" s="8">
        <f>Orders[[#This Row],[Revenue]]-Orders[[#This Row],[total cost]]</f>
        <v>42.006299999999996</v>
      </c>
      <c r="N293" t="str" cm="1">
        <f t="array" ref="N293">_xlfn.TEXTJOIN("+",,_xlfn._xlws.SORT(_xlfn.UNIQUE(_xlfn._xlws.FILTER(OrderLines[Category],OrderLines[OrderID]=Orders[[#This Row],[OrderID]]))))</f>
        <v>Beverage</v>
      </c>
    </row>
    <row r="294" spans="1:14" x14ac:dyDescent="0.3">
      <c r="A294" t="s">
        <v>330</v>
      </c>
      <c r="B294" s="1">
        <v>45876.57953703704</v>
      </c>
      <c r="C294" t="s">
        <v>15</v>
      </c>
      <c r="D294" t="s">
        <v>10</v>
      </c>
      <c r="E294" t="s">
        <v>11</v>
      </c>
      <c r="F294" t="s">
        <v>22</v>
      </c>
      <c r="G294">
        <v>0.1</v>
      </c>
      <c r="H294" s="8">
        <f>SUMIFS(OrderLines[LineNetAmount],OrderLines[OrderID],Orders[[#This Row],[OrderID]])</f>
        <v>464.31000000000006</v>
      </c>
      <c r="I294" t="str">
        <f>IF(COUNTIFS(OrderLines[OrderID],Orders[[#This Row],[OrderID]],OrderLines[Category],"Beverage"),"yes","no")</f>
        <v>yes</v>
      </c>
      <c r="J294" t="str">
        <f>IF(AND(COUNTIFS(OrderLines[OrderID],Orders[[#This Row],[OrderID]],OrderLines[Category],"Hot Meal"),Orders[[#This Row],[has beverage]]="yes"),"combo","single")</f>
        <v>combo</v>
      </c>
      <c r="K294" s="8" t="str" cm="1">
        <f t="array" ref="K294">IF((SUMPRODUCT(OrderLines[UnitPrice],OrderLines[Qty],--(OrderLines[OrderID]=Orders[[#This Row],[OrderID]]))-Orders[[#This Row],[Revenue]])&gt;40,"high disc","ok")</f>
        <v>high disc</v>
      </c>
      <c r="L294">
        <f>SUMIFS(OrderLines[Food Cost],OrderLines[OrderID],Orders[[#This Row],[OrderID]])</f>
        <v>220.8</v>
      </c>
      <c r="M294" s="8">
        <f>Orders[[#This Row],[Revenue]]-Orders[[#This Row],[total cost]]</f>
        <v>243.51000000000005</v>
      </c>
      <c r="N294" t="str" cm="1">
        <f t="array" ref="N294">_xlfn.TEXTJOIN("+",,_xlfn._xlws.SORT(_xlfn.UNIQUE(_xlfn._xlws.FILTER(OrderLines[Category],OrderLines[OrderID]=Orders[[#This Row],[OrderID]]))))</f>
        <v>Beverage+Hot Meal</v>
      </c>
    </row>
    <row r="295" spans="1:14" x14ac:dyDescent="0.3">
      <c r="A295" t="s">
        <v>331</v>
      </c>
      <c r="B295" s="1">
        <v>45882.914803240739</v>
      </c>
      <c r="C295" t="s">
        <v>9</v>
      </c>
      <c r="D295" t="s">
        <v>10</v>
      </c>
      <c r="E295" t="s">
        <v>17</v>
      </c>
      <c r="F295" t="s">
        <v>18</v>
      </c>
      <c r="G295">
        <v>0.05</v>
      </c>
      <c r="H295" s="8">
        <f>SUMIFS(OrderLines[LineNetAmount],OrderLines[OrderID],Orders[[#This Row],[OrderID]])</f>
        <v>54.016999999999996</v>
      </c>
      <c r="I295" t="str">
        <f>IF(COUNTIFS(OrderLines[OrderID],Orders[[#This Row],[OrderID]],OrderLines[Category],"Beverage"),"yes","no")</f>
        <v>yes</v>
      </c>
      <c r="J295" t="str">
        <f>IF(AND(COUNTIFS(OrderLines[OrderID],Orders[[#This Row],[OrderID]],OrderLines[Category],"Hot Meal"),Orders[[#This Row],[has beverage]]="yes"),"combo","single")</f>
        <v>single</v>
      </c>
      <c r="K295" s="8" t="str" cm="1">
        <f t="array" ref="K295">IF((SUMPRODUCT(OrderLines[UnitPrice],OrderLines[Qty],--(OrderLines[OrderID]=Orders[[#This Row],[OrderID]]))-Orders[[#This Row],[Revenue]])&gt;40,"high disc","ok")</f>
        <v>ok</v>
      </c>
      <c r="L295">
        <f>SUMIFS(OrderLines[Food Cost],OrderLines[OrderID],Orders[[#This Row],[OrderID]])</f>
        <v>27.78</v>
      </c>
      <c r="M295" s="8">
        <f>Orders[[#This Row],[Revenue]]-Orders[[#This Row],[total cost]]</f>
        <v>26.236999999999995</v>
      </c>
      <c r="N295" t="str" cm="1">
        <f t="array" ref="N295">_xlfn.TEXTJOIN("+",,_xlfn._xlws.SORT(_xlfn.UNIQUE(_xlfn._xlws.FILTER(OrderLines[Category],OrderLines[OrderID]=Orders[[#This Row],[OrderID]]))))</f>
        <v>Beverage</v>
      </c>
    </row>
    <row r="296" spans="1:14" x14ac:dyDescent="0.3">
      <c r="A296" t="s">
        <v>332</v>
      </c>
      <c r="B296" s="1">
        <v>45897.990231481483</v>
      </c>
      <c r="C296" t="s">
        <v>15</v>
      </c>
      <c r="D296" t="s">
        <v>10</v>
      </c>
      <c r="E296" t="s">
        <v>17</v>
      </c>
      <c r="F296" t="s">
        <v>18</v>
      </c>
      <c r="G296">
        <v>0.03</v>
      </c>
      <c r="H296" s="8">
        <f>SUMIFS(OrderLines[LineNetAmount],OrderLines[OrderID],Orders[[#This Row],[OrderID]])</f>
        <v>76.891899999999993</v>
      </c>
      <c r="I296" t="str">
        <f>IF(COUNTIFS(OrderLines[OrderID],Orders[[#This Row],[OrderID]],OrderLines[Category],"Beverage"),"yes","no")</f>
        <v>yes</v>
      </c>
      <c r="J296" t="str">
        <f>IF(AND(COUNTIFS(OrderLines[OrderID],Orders[[#This Row],[OrderID]],OrderLines[Category],"Hot Meal"),Orders[[#This Row],[has beverage]]="yes"),"combo","single")</f>
        <v>single</v>
      </c>
      <c r="K296" s="8" t="str" cm="1">
        <f t="array" ref="K296">IF((SUMPRODUCT(OrderLines[UnitPrice],OrderLines[Qty],--(OrderLines[OrderID]=Orders[[#This Row],[OrderID]]))-Orders[[#This Row],[Revenue]])&gt;40,"high disc","ok")</f>
        <v>ok</v>
      </c>
      <c r="L296">
        <f>SUMIFS(OrderLines[Food Cost],OrderLines[OrderID],Orders[[#This Row],[OrderID]])</f>
        <v>38.520000000000003</v>
      </c>
      <c r="M296" s="8">
        <f>Orders[[#This Row],[Revenue]]-Orders[[#This Row],[total cost]]</f>
        <v>38.371899999999989</v>
      </c>
      <c r="N296" t="str" cm="1">
        <f t="array" ref="N296">_xlfn.TEXTJOIN("+",,_xlfn._xlws.SORT(_xlfn.UNIQUE(_xlfn._xlws.FILTER(OrderLines[Category],OrderLines[OrderID]=Orders[[#This Row],[OrderID]]))))</f>
        <v>Beverage+Dessert</v>
      </c>
    </row>
    <row r="297" spans="1:14" x14ac:dyDescent="0.3">
      <c r="A297" t="s">
        <v>333</v>
      </c>
      <c r="B297" s="1">
        <v>45882.991446759261</v>
      </c>
      <c r="C297" t="s">
        <v>27</v>
      </c>
      <c r="D297" t="s">
        <v>16</v>
      </c>
      <c r="E297" t="s">
        <v>11</v>
      </c>
      <c r="F297" t="s">
        <v>18</v>
      </c>
      <c r="G297">
        <v>0.05</v>
      </c>
      <c r="H297" s="8">
        <f>SUMIFS(OrderLines[LineNetAmount],OrderLines[OrderID],Orders[[#This Row],[OrderID]])</f>
        <v>161.53800000000001</v>
      </c>
      <c r="I297" t="str">
        <f>IF(COUNTIFS(OrderLines[OrderID],Orders[[#This Row],[OrderID]],OrderLines[Category],"Beverage"),"yes","no")</f>
        <v>no</v>
      </c>
      <c r="J297" t="str">
        <f>IF(AND(COUNTIFS(OrderLines[OrderID],Orders[[#This Row],[OrderID]],OrderLines[Category],"Hot Meal"),Orders[[#This Row],[has beverage]]="yes"),"combo","single")</f>
        <v>single</v>
      </c>
      <c r="K297" s="8" t="str" cm="1">
        <f t="array" ref="K297">IF((SUMPRODUCT(OrderLines[UnitPrice],OrderLines[Qty],--(OrderLines[OrderID]=Orders[[#This Row],[OrderID]]))-Orders[[#This Row],[Revenue]])&gt;40,"high disc","ok")</f>
        <v>ok</v>
      </c>
      <c r="L297">
        <f>SUMIFS(OrderLines[Food Cost],OrderLines[OrderID],Orders[[#This Row],[OrderID]])</f>
        <v>69.14</v>
      </c>
      <c r="M297" s="8">
        <f>Orders[[#This Row],[Revenue]]-Orders[[#This Row],[total cost]]</f>
        <v>92.39800000000001</v>
      </c>
      <c r="N297" t="str" cm="1">
        <f t="array" ref="N297">_xlfn.TEXTJOIN("+",,_xlfn._xlws.SORT(_xlfn.UNIQUE(_xlfn._xlws.FILTER(OrderLines[Category],OrderLines[OrderID]=Orders[[#This Row],[OrderID]]))))</f>
        <v>Snack</v>
      </c>
    </row>
    <row r="298" spans="1:14" x14ac:dyDescent="0.3">
      <c r="A298" t="s">
        <v>334</v>
      </c>
      <c r="B298" s="1">
        <v>45888.236840277779</v>
      </c>
      <c r="C298" t="s">
        <v>9</v>
      </c>
      <c r="D298" t="s">
        <v>28</v>
      </c>
      <c r="E298" t="s">
        <v>17</v>
      </c>
      <c r="F298" t="s">
        <v>12</v>
      </c>
      <c r="G298">
        <v>0.08</v>
      </c>
      <c r="H298" s="8">
        <f>SUMIFS(OrderLines[LineNetAmount],OrderLines[OrderID],Orders[[#This Row],[OrderID]])</f>
        <v>194.69040000000001</v>
      </c>
      <c r="I298" t="str">
        <f>IF(COUNTIFS(OrderLines[OrderID],Orders[[#This Row],[OrderID]],OrderLines[Category],"Beverage"),"yes","no")</f>
        <v>no</v>
      </c>
      <c r="J298" t="str">
        <f>IF(AND(COUNTIFS(OrderLines[OrderID],Orders[[#This Row],[OrderID]],OrderLines[Category],"Hot Meal"),Orders[[#This Row],[has beverage]]="yes"),"combo","single")</f>
        <v>single</v>
      </c>
      <c r="K298" s="8" t="str" cm="1">
        <f t="array" ref="K298">IF((SUMPRODUCT(OrderLines[UnitPrice],OrderLines[Qty],--(OrderLines[OrderID]=Orders[[#This Row],[OrderID]]))-Orders[[#This Row],[Revenue]])&gt;40,"high disc","ok")</f>
        <v>ok</v>
      </c>
      <c r="L298">
        <f>SUMIFS(OrderLines[Food Cost],OrderLines[OrderID],Orders[[#This Row],[OrderID]])</f>
        <v>107.43</v>
      </c>
      <c r="M298" s="8">
        <f>Orders[[#This Row],[Revenue]]-Orders[[#This Row],[total cost]]</f>
        <v>87.260400000000004</v>
      </c>
      <c r="N298" t="str" cm="1">
        <f t="array" ref="N298">_xlfn.TEXTJOIN("+",,_xlfn._xlws.SORT(_xlfn.UNIQUE(_xlfn._xlws.FILTER(OrderLines[Category],OrderLines[OrderID]=Orders[[#This Row],[OrderID]]))))</f>
        <v>Snack</v>
      </c>
    </row>
    <row r="299" spans="1:14" x14ac:dyDescent="0.3">
      <c r="A299" t="s">
        <v>335</v>
      </c>
      <c r="B299" s="1">
        <v>45881.752106481479</v>
      </c>
      <c r="C299" t="s">
        <v>15</v>
      </c>
      <c r="D299" t="s">
        <v>10</v>
      </c>
      <c r="E299" t="s">
        <v>11</v>
      </c>
      <c r="F299" t="s">
        <v>18</v>
      </c>
      <c r="G299">
        <v>0.04</v>
      </c>
      <c r="H299" s="8">
        <f>SUMIFS(OrderLines[LineNetAmount],OrderLines[OrderID],Orders[[#This Row],[OrderID]])</f>
        <v>246.6336</v>
      </c>
      <c r="I299" t="str">
        <f>IF(COUNTIFS(OrderLines[OrderID],Orders[[#This Row],[OrderID]],OrderLines[Category],"Beverage"),"yes","no")</f>
        <v>no</v>
      </c>
      <c r="J299" t="str">
        <f>IF(AND(COUNTIFS(OrderLines[OrderID],Orders[[#This Row],[OrderID]],OrderLines[Category],"Hot Meal"),Orders[[#This Row],[has beverage]]="yes"),"combo","single")</f>
        <v>single</v>
      </c>
      <c r="K299" s="8" t="str" cm="1">
        <f t="array" ref="K299">IF((SUMPRODUCT(OrderLines[UnitPrice],OrderLines[Qty],--(OrderLines[OrderID]=Orders[[#This Row],[OrderID]]))-Orders[[#This Row],[Revenue]])&gt;40,"high disc","ok")</f>
        <v>ok</v>
      </c>
      <c r="L299">
        <f>SUMIFS(OrderLines[Food Cost],OrderLines[OrderID],Orders[[#This Row],[OrderID]])</f>
        <v>121.24</v>
      </c>
      <c r="M299" s="8">
        <f>Orders[[#This Row],[Revenue]]-Orders[[#This Row],[total cost]]</f>
        <v>125.39360000000001</v>
      </c>
      <c r="N299" t="str" cm="1">
        <f t="array" ref="N299">_xlfn.TEXTJOIN("+",,_xlfn._xlws.SORT(_xlfn.UNIQUE(_xlfn._xlws.FILTER(OrderLines[Category],OrderLines[OrderID]=Orders[[#This Row],[OrderID]]))))</f>
        <v>Hot Meal</v>
      </c>
    </row>
    <row r="300" spans="1:14" x14ac:dyDescent="0.3">
      <c r="A300" t="s">
        <v>336</v>
      </c>
      <c r="B300" s="1">
        <v>45874.580983796302</v>
      </c>
      <c r="C300" t="s">
        <v>15</v>
      </c>
      <c r="D300" t="s">
        <v>16</v>
      </c>
      <c r="E300" t="s">
        <v>21</v>
      </c>
      <c r="F300" t="s">
        <v>22</v>
      </c>
      <c r="G300">
        <v>0.03</v>
      </c>
      <c r="H300" s="8">
        <f>SUMIFS(OrderLines[LineNetAmount],OrderLines[OrderID],Orders[[#This Row],[OrderID]])</f>
        <v>453.73690000000005</v>
      </c>
      <c r="I300" t="str">
        <f>IF(COUNTIFS(OrderLines[OrderID],Orders[[#This Row],[OrderID]],OrderLines[Category],"Beverage"),"yes","no")</f>
        <v>yes</v>
      </c>
      <c r="J300" t="str">
        <f>IF(AND(COUNTIFS(OrderLines[OrderID],Orders[[#This Row],[OrderID]],OrderLines[Category],"Hot Meal"),Orders[[#This Row],[has beverage]]="yes"),"combo","single")</f>
        <v>combo</v>
      </c>
      <c r="K300" s="8" t="str" cm="1">
        <f t="array" ref="K300">IF((SUMPRODUCT(OrderLines[UnitPrice],OrderLines[Qty],--(OrderLines[OrderID]=Orders[[#This Row],[OrderID]]))-Orders[[#This Row],[Revenue]])&gt;40,"high disc","ok")</f>
        <v>ok</v>
      </c>
      <c r="L300">
        <f>SUMIFS(OrderLines[Food Cost],OrderLines[OrderID],Orders[[#This Row],[OrderID]])</f>
        <v>238.36</v>
      </c>
      <c r="M300" s="8">
        <f>Orders[[#This Row],[Revenue]]-Orders[[#This Row],[total cost]]</f>
        <v>215.37690000000003</v>
      </c>
      <c r="N300" t="str" cm="1">
        <f t="array" ref="N300">_xlfn.TEXTJOIN("+",,_xlfn._xlws.SORT(_xlfn.UNIQUE(_xlfn._xlws.FILTER(OrderLines[Category],OrderLines[OrderID]=Orders[[#This Row],[OrderID]]))))</f>
        <v>Beverage+Dessert+Hot Meal+Snack</v>
      </c>
    </row>
    <row r="301" spans="1:14" x14ac:dyDescent="0.3">
      <c r="A301" t="s">
        <v>337</v>
      </c>
      <c r="B301" s="1">
        <v>45872.102187500001</v>
      </c>
      <c r="C301" t="s">
        <v>9</v>
      </c>
      <c r="D301" t="s">
        <v>10</v>
      </c>
      <c r="E301" t="s">
        <v>17</v>
      </c>
      <c r="F301" t="s">
        <v>12</v>
      </c>
      <c r="G301">
        <v>7.0000000000000007E-2</v>
      </c>
      <c r="H301" s="8">
        <f>SUMIFS(OrderLines[LineNetAmount],OrderLines[OrderID],Orders[[#This Row],[OrderID]])</f>
        <v>376.82670000000002</v>
      </c>
      <c r="I301" t="str">
        <f>IF(COUNTIFS(OrderLines[OrderID],Orders[[#This Row],[OrderID]],OrderLines[Category],"Beverage"),"yes","no")</f>
        <v>no</v>
      </c>
      <c r="J301" t="str">
        <f>IF(AND(COUNTIFS(OrderLines[OrderID],Orders[[#This Row],[OrderID]],OrderLines[Category],"Hot Meal"),Orders[[#This Row],[has beverage]]="yes"),"combo","single")</f>
        <v>single</v>
      </c>
      <c r="K301" s="8" t="str" cm="1">
        <f t="array" ref="K301">IF((SUMPRODUCT(OrderLines[UnitPrice],OrderLines[Qty],--(OrderLines[OrderID]=Orders[[#This Row],[OrderID]]))-Orders[[#This Row],[Revenue]])&gt;40,"high disc","ok")</f>
        <v>ok</v>
      </c>
      <c r="L301">
        <f>SUMIFS(OrderLines[Food Cost],OrderLines[OrderID],Orders[[#This Row],[OrderID]])</f>
        <v>185.63</v>
      </c>
      <c r="M301" s="8">
        <f>Orders[[#This Row],[Revenue]]-Orders[[#This Row],[total cost]]</f>
        <v>191.19670000000002</v>
      </c>
      <c r="N301" t="str" cm="1">
        <f t="array" ref="N301">_xlfn.TEXTJOIN("+",,_xlfn._xlws.SORT(_xlfn.UNIQUE(_xlfn._xlws.FILTER(OrderLines[Category],OrderLines[OrderID]=Orders[[#This Row],[OrderID]]))))</f>
        <v>Dessert+Hot Meal+Snack</v>
      </c>
    </row>
    <row r="302" spans="1:14" x14ac:dyDescent="0.3">
      <c r="A302" t="s">
        <v>338</v>
      </c>
      <c r="B302" s="1">
        <v>45845.649398148147</v>
      </c>
      <c r="C302" t="s">
        <v>15</v>
      </c>
      <c r="D302" t="s">
        <v>28</v>
      </c>
      <c r="E302" t="s">
        <v>11</v>
      </c>
      <c r="F302" t="s">
        <v>22</v>
      </c>
      <c r="G302">
        <v>7.0000000000000007E-2</v>
      </c>
      <c r="H302" s="8">
        <f>SUMIFS(OrderLines[LineNetAmount],OrderLines[OrderID],Orders[[#This Row],[OrderID]])</f>
        <v>349.06619999999998</v>
      </c>
      <c r="I302" t="str">
        <f>IF(COUNTIFS(OrderLines[OrderID],Orders[[#This Row],[OrderID]],OrderLines[Category],"Beverage"),"yes","no")</f>
        <v>no</v>
      </c>
      <c r="J302" t="str">
        <f>IF(AND(COUNTIFS(OrderLines[OrderID],Orders[[#This Row],[OrderID]],OrderLines[Category],"Hot Meal"),Orders[[#This Row],[has beverage]]="yes"),"combo","single")</f>
        <v>single</v>
      </c>
      <c r="K302" s="8" t="str" cm="1">
        <f t="array" ref="K302">IF((SUMPRODUCT(OrderLines[UnitPrice],OrderLines[Qty],--(OrderLines[OrderID]=Orders[[#This Row],[OrderID]]))-Orders[[#This Row],[Revenue]])&gt;40,"high disc","ok")</f>
        <v>ok</v>
      </c>
      <c r="L302">
        <f>SUMIFS(OrderLines[Food Cost],OrderLines[OrderID],Orders[[#This Row],[OrderID]])</f>
        <v>164.47</v>
      </c>
      <c r="M302" s="8">
        <f>Orders[[#This Row],[Revenue]]-Orders[[#This Row],[total cost]]</f>
        <v>184.59619999999998</v>
      </c>
      <c r="N302" t="str" cm="1">
        <f t="array" ref="N302">_xlfn.TEXTJOIN("+",,_xlfn._xlws.SORT(_xlfn.UNIQUE(_xlfn._xlws.FILTER(OrderLines[Category],OrderLines[OrderID]=Orders[[#This Row],[OrderID]]))))</f>
        <v>Dessert+Snack</v>
      </c>
    </row>
    <row r="303" spans="1:14" x14ac:dyDescent="0.3">
      <c r="A303" t="s">
        <v>339</v>
      </c>
      <c r="B303" s="1">
        <v>45866.83792824074</v>
      </c>
      <c r="C303" t="s">
        <v>15</v>
      </c>
      <c r="D303" t="s">
        <v>10</v>
      </c>
      <c r="E303" t="s">
        <v>11</v>
      </c>
      <c r="F303" t="s">
        <v>18</v>
      </c>
      <c r="G303">
        <v>0.04</v>
      </c>
      <c r="H303" s="8">
        <f>SUMIFS(OrderLines[LineNetAmount],OrderLines[OrderID],Orders[[#This Row],[OrderID]])</f>
        <v>63.935999999999993</v>
      </c>
      <c r="I303" t="str">
        <f>IF(COUNTIFS(OrderLines[OrderID],Orders[[#This Row],[OrderID]],OrderLines[Category],"Beverage"),"yes","no")</f>
        <v>yes</v>
      </c>
      <c r="J303" t="str">
        <f>IF(AND(COUNTIFS(OrderLines[OrderID],Orders[[#This Row],[OrderID]],OrderLines[Category],"Hot Meal"),Orders[[#This Row],[has beverage]]="yes"),"combo","single")</f>
        <v>single</v>
      </c>
      <c r="K303" s="8" t="str" cm="1">
        <f t="array" ref="K303">IF((SUMPRODUCT(OrderLines[UnitPrice],OrderLines[Qty],--(OrderLines[OrderID]=Orders[[#This Row],[OrderID]]))-Orders[[#This Row],[Revenue]])&gt;40,"high disc","ok")</f>
        <v>ok</v>
      </c>
      <c r="L303">
        <f>SUMIFS(OrderLines[Food Cost],OrderLines[OrderID],Orders[[#This Row],[OrderID]])</f>
        <v>28.14</v>
      </c>
      <c r="M303" s="8">
        <f>Orders[[#This Row],[Revenue]]-Orders[[#This Row],[total cost]]</f>
        <v>35.795999999999992</v>
      </c>
      <c r="N303" t="str" cm="1">
        <f t="array" ref="N303">_xlfn.TEXTJOIN("+",,_xlfn._xlws.SORT(_xlfn.UNIQUE(_xlfn._xlws.FILTER(OrderLines[Category],OrderLines[OrderID]=Orders[[#This Row],[OrderID]]))))</f>
        <v>Beverage</v>
      </c>
    </row>
    <row r="304" spans="1:14" x14ac:dyDescent="0.3">
      <c r="A304" t="s">
        <v>340</v>
      </c>
      <c r="B304" s="1">
        <v>45871.616238425922</v>
      </c>
      <c r="C304" t="s">
        <v>27</v>
      </c>
      <c r="D304" t="s">
        <v>10</v>
      </c>
      <c r="E304" t="s">
        <v>11</v>
      </c>
      <c r="F304" t="s">
        <v>22</v>
      </c>
      <c r="G304">
        <v>0.04</v>
      </c>
      <c r="H304" s="8">
        <f>SUMIFS(OrderLines[LineNetAmount],OrderLines[OrderID],Orders[[#This Row],[OrderID]])</f>
        <v>149.7792</v>
      </c>
      <c r="I304" t="str">
        <f>IF(COUNTIFS(OrderLines[OrderID],Orders[[#This Row],[OrderID]],OrderLines[Category],"Beverage"),"yes","no")</f>
        <v>no</v>
      </c>
      <c r="J304" t="str">
        <f>IF(AND(COUNTIFS(OrderLines[OrderID],Orders[[#This Row],[OrderID]],OrderLines[Category],"Hot Meal"),Orders[[#This Row],[has beverage]]="yes"),"combo","single")</f>
        <v>single</v>
      </c>
      <c r="K304" s="8" t="str" cm="1">
        <f t="array" ref="K304">IF((SUMPRODUCT(OrderLines[UnitPrice],OrderLines[Qty],--(OrderLines[OrderID]=Orders[[#This Row],[OrderID]]))-Orders[[#This Row],[Revenue]])&gt;40,"high disc","ok")</f>
        <v>ok</v>
      </c>
      <c r="L304">
        <f>SUMIFS(OrderLines[Food Cost],OrderLines[OrderID],Orders[[#This Row],[OrderID]])</f>
        <v>70.12</v>
      </c>
      <c r="M304" s="8">
        <f>Orders[[#This Row],[Revenue]]-Orders[[#This Row],[total cost]]</f>
        <v>79.659199999999998</v>
      </c>
      <c r="N304" t="str" cm="1">
        <f t="array" ref="N304">_xlfn.TEXTJOIN("+",,_xlfn._xlws.SORT(_xlfn.UNIQUE(_xlfn._xlws.FILTER(OrderLines[Category],OrderLines[OrderID]=Orders[[#This Row],[OrderID]]))))</f>
        <v>Snack</v>
      </c>
    </row>
    <row r="305" spans="1:14" x14ac:dyDescent="0.3">
      <c r="A305" t="s">
        <v>341</v>
      </c>
      <c r="B305" s="1">
        <v>45873.214224537027</v>
      </c>
      <c r="C305" t="s">
        <v>15</v>
      </c>
      <c r="D305" t="s">
        <v>10</v>
      </c>
      <c r="E305" t="s">
        <v>11</v>
      </c>
      <c r="F305" t="s">
        <v>12</v>
      </c>
      <c r="G305">
        <v>7.0000000000000007E-2</v>
      </c>
      <c r="H305" s="8">
        <f>SUMIFS(OrderLines[LineNetAmount],OrderLines[OrderID],Orders[[#This Row],[OrderID]])</f>
        <v>30.671399999999995</v>
      </c>
      <c r="I305" t="str">
        <f>IF(COUNTIFS(OrderLines[OrderID],Orders[[#This Row],[OrderID]],OrderLines[Category],"Beverage"),"yes","no")</f>
        <v>yes</v>
      </c>
      <c r="J305" t="str">
        <f>IF(AND(COUNTIFS(OrderLines[OrderID],Orders[[#This Row],[OrderID]],OrderLines[Category],"Hot Meal"),Orders[[#This Row],[has beverage]]="yes"),"combo","single")</f>
        <v>single</v>
      </c>
      <c r="K305" s="8" t="str" cm="1">
        <f t="array" ref="K305">IF((SUMPRODUCT(OrderLines[UnitPrice],OrderLines[Qty],--(OrderLines[OrderID]=Orders[[#This Row],[OrderID]]))-Orders[[#This Row],[Revenue]])&gt;40,"high disc","ok")</f>
        <v>ok</v>
      </c>
      <c r="L305">
        <f>SUMIFS(OrderLines[Food Cost],OrderLines[OrderID],Orders[[#This Row],[OrderID]])</f>
        <v>11.84</v>
      </c>
      <c r="M305" s="8">
        <f>Orders[[#This Row],[Revenue]]-Orders[[#This Row],[total cost]]</f>
        <v>18.831399999999995</v>
      </c>
      <c r="N305" t="str" cm="1">
        <f t="array" ref="N305">_xlfn.TEXTJOIN("+",,_xlfn._xlws.SORT(_xlfn.UNIQUE(_xlfn._xlws.FILTER(OrderLines[Category],OrderLines[OrderID]=Orders[[#This Row],[OrderID]]))))</f>
        <v>Beverage</v>
      </c>
    </row>
    <row r="306" spans="1:14" x14ac:dyDescent="0.3">
      <c r="A306" t="s">
        <v>342</v>
      </c>
      <c r="B306" s="1">
        <v>45851.769953703697</v>
      </c>
      <c r="C306" t="s">
        <v>9</v>
      </c>
      <c r="D306" t="s">
        <v>10</v>
      </c>
      <c r="E306" t="s">
        <v>17</v>
      </c>
      <c r="F306" t="s">
        <v>18</v>
      </c>
      <c r="G306">
        <v>0</v>
      </c>
      <c r="H306" s="8">
        <f>SUMIFS(OrderLines[LineNetAmount],OrderLines[OrderID],Orders[[#This Row],[OrderID]])</f>
        <v>572.08000000000004</v>
      </c>
      <c r="I306" t="str">
        <f>IF(COUNTIFS(OrderLines[OrderID],Orders[[#This Row],[OrderID]],OrderLines[Category],"Beverage"),"yes","no")</f>
        <v>no</v>
      </c>
      <c r="J306" t="str">
        <f>IF(AND(COUNTIFS(OrderLines[OrderID],Orders[[#This Row],[OrderID]],OrderLines[Category],"Hot Meal"),Orders[[#This Row],[has beverage]]="yes"),"combo","single")</f>
        <v>single</v>
      </c>
      <c r="K306" s="8" t="str" cm="1">
        <f t="array" ref="K306">IF((SUMPRODUCT(OrderLines[UnitPrice],OrderLines[Qty],--(OrderLines[OrderID]=Orders[[#This Row],[OrderID]]))-Orders[[#This Row],[Revenue]])&gt;40,"high disc","ok")</f>
        <v>ok</v>
      </c>
      <c r="L306">
        <f>SUMIFS(OrderLines[Food Cost],OrderLines[OrderID],Orders[[#This Row],[OrderID]])</f>
        <v>255.18</v>
      </c>
      <c r="M306" s="8">
        <f>Orders[[#This Row],[Revenue]]-Orders[[#This Row],[total cost]]</f>
        <v>316.90000000000003</v>
      </c>
      <c r="N306" t="str" cm="1">
        <f t="array" ref="N306">_xlfn.TEXTJOIN("+",,_xlfn._xlws.SORT(_xlfn.UNIQUE(_xlfn._xlws.FILTER(OrderLines[Category],OrderLines[OrderID]=Orders[[#This Row],[OrderID]]))))</f>
        <v>Hot Meal+Snack</v>
      </c>
    </row>
    <row r="307" spans="1:14" x14ac:dyDescent="0.3">
      <c r="A307" t="s">
        <v>343</v>
      </c>
      <c r="B307" s="1">
        <v>45893.515949074077</v>
      </c>
      <c r="C307" t="s">
        <v>15</v>
      </c>
      <c r="D307" t="s">
        <v>10</v>
      </c>
      <c r="E307" t="s">
        <v>21</v>
      </c>
      <c r="F307" t="s">
        <v>22</v>
      </c>
      <c r="G307">
        <v>0</v>
      </c>
      <c r="H307" s="8">
        <f>SUMIFS(OrderLines[LineNetAmount],OrderLines[OrderID],Orders[[#This Row],[OrderID]])</f>
        <v>680.33</v>
      </c>
      <c r="I307" t="str">
        <f>IF(COUNTIFS(OrderLines[OrderID],Orders[[#This Row],[OrderID]],OrderLines[Category],"Beverage"),"yes","no")</f>
        <v>yes</v>
      </c>
      <c r="J307" t="str">
        <f>IF(AND(COUNTIFS(OrderLines[OrderID],Orders[[#This Row],[OrderID]],OrderLines[Category],"Hot Meal"),Orders[[#This Row],[has beverage]]="yes"),"combo","single")</f>
        <v>combo</v>
      </c>
      <c r="K307" s="8" t="str" cm="1">
        <f t="array" ref="K307">IF((SUMPRODUCT(OrderLines[UnitPrice],OrderLines[Qty],--(OrderLines[OrderID]=Orders[[#This Row],[OrderID]]))-Orders[[#This Row],[Revenue]])&gt;40,"high disc","ok")</f>
        <v>ok</v>
      </c>
      <c r="L307">
        <f>SUMIFS(OrderLines[Food Cost],OrderLines[OrderID],Orders[[#This Row],[OrderID]])</f>
        <v>347.44</v>
      </c>
      <c r="M307" s="8">
        <f>Orders[[#This Row],[Revenue]]-Orders[[#This Row],[total cost]]</f>
        <v>332.89000000000004</v>
      </c>
      <c r="N307" t="str" cm="1">
        <f t="array" ref="N307">_xlfn.TEXTJOIN("+",,_xlfn._xlws.SORT(_xlfn.UNIQUE(_xlfn._xlws.FILTER(OrderLines[Category],OrderLines[OrderID]=Orders[[#This Row],[OrderID]]))))</f>
        <v>Beverage+Hot Meal+Snack</v>
      </c>
    </row>
    <row r="308" spans="1:14" x14ac:dyDescent="0.3">
      <c r="A308" t="s">
        <v>344</v>
      </c>
      <c r="B308" s="1">
        <v>45890.357719907413</v>
      </c>
      <c r="C308" t="s">
        <v>27</v>
      </c>
      <c r="D308" t="s">
        <v>10</v>
      </c>
      <c r="E308" t="s">
        <v>11</v>
      </c>
      <c r="F308" t="s">
        <v>12</v>
      </c>
      <c r="G308">
        <v>0.03</v>
      </c>
      <c r="H308" s="8">
        <f>SUMIFS(OrderLines[LineNetAmount],OrderLines[OrderID],Orders[[#This Row],[OrderID]])</f>
        <v>414.88839999999999</v>
      </c>
      <c r="I308" t="str">
        <f>IF(COUNTIFS(OrderLines[OrderID],Orders[[#This Row],[OrderID]],OrderLines[Category],"Beverage"),"yes","no")</f>
        <v>yes</v>
      </c>
      <c r="J308" t="str">
        <f>IF(AND(COUNTIFS(OrderLines[OrderID],Orders[[#This Row],[OrderID]],OrderLines[Category],"Hot Meal"),Orders[[#This Row],[has beverage]]="yes"),"combo","single")</f>
        <v>combo</v>
      </c>
      <c r="K308" s="8" t="str" cm="1">
        <f t="array" ref="K308">IF((SUMPRODUCT(OrderLines[UnitPrice],OrderLines[Qty],--(OrderLines[OrderID]=Orders[[#This Row],[OrderID]]))-Orders[[#This Row],[Revenue]])&gt;40,"high disc","ok")</f>
        <v>ok</v>
      </c>
      <c r="L308">
        <f>SUMIFS(OrderLines[Food Cost],OrderLines[OrderID],Orders[[#This Row],[OrderID]])</f>
        <v>197.43</v>
      </c>
      <c r="M308" s="8">
        <f>Orders[[#This Row],[Revenue]]-Orders[[#This Row],[total cost]]</f>
        <v>217.45839999999998</v>
      </c>
      <c r="N308" t="str" cm="1">
        <f t="array" ref="N308">_xlfn.TEXTJOIN("+",,_xlfn._xlws.SORT(_xlfn.UNIQUE(_xlfn._xlws.FILTER(OrderLines[Category],OrderLines[OrderID]=Orders[[#This Row],[OrderID]]))))</f>
        <v>Beverage+Dessert+Hot Meal</v>
      </c>
    </row>
    <row r="309" spans="1:14" x14ac:dyDescent="0.3">
      <c r="A309" t="s">
        <v>345</v>
      </c>
      <c r="B309" s="1">
        <v>45888.619328703702</v>
      </c>
      <c r="C309" t="s">
        <v>15</v>
      </c>
      <c r="D309" t="s">
        <v>28</v>
      </c>
      <c r="E309" t="s">
        <v>21</v>
      </c>
      <c r="F309" t="s">
        <v>22</v>
      </c>
      <c r="G309">
        <v>0.05</v>
      </c>
      <c r="H309" s="8">
        <f>SUMIFS(OrderLines[LineNetAmount],OrderLines[OrderID],Orders[[#This Row],[OrderID]])</f>
        <v>977.06549999999993</v>
      </c>
      <c r="I309" t="str">
        <f>IF(COUNTIFS(OrderLines[OrderID],Orders[[#This Row],[OrderID]],OrderLines[Category],"Beverage"),"yes","no")</f>
        <v>no</v>
      </c>
      <c r="J309" t="str">
        <f>IF(AND(COUNTIFS(OrderLines[OrderID],Orders[[#This Row],[OrderID]],OrderLines[Category],"Hot Meal"),Orders[[#This Row],[has beverage]]="yes"),"combo","single")</f>
        <v>single</v>
      </c>
      <c r="K309" s="8" t="str" cm="1">
        <f t="array" ref="K309">IF((SUMPRODUCT(OrderLines[UnitPrice],OrderLines[Qty],--(OrderLines[OrderID]=Orders[[#This Row],[OrderID]]))-Orders[[#This Row],[Revenue]])&gt;40,"high disc","ok")</f>
        <v>high disc</v>
      </c>
      <c r="L309">
        <f>SUMIFS(OrderLines[Food Cost],OrderLines[OrderID],Orders[[#This Row],[OrderID]])</f>
        <v>460.21999999999997</v>
      </c>
      <c r="M309" s="8">
        <f>Orders[[#This Row],[Revenue]]-Orders[[#This Row],[total cost]]</f>
        <v>516.8454999999999</v>
      </c>
      <c r="N309" t="str" cm="1">
        <f t="array" ref="N309">_xlfn.TEXTJOIN("+",,_xlfn._xlws.SORT(_xlfn.UNIQUE(_xlfn._xlws.FILTER(OrderLines[Category],OrderLines[OrderID]=Orders[[#This Row],[OrderID]]))))</f>
        <v>Dessert+Hot Meal</v>
      </c>
    </row>
    <row r="310" spans="1:14" x14ac:dyDescent="0.3">
      <c r="A310" t="s">
        <v>346</v>
      </c>
      <c r="B310" s="1">
        <v>45856.751782407409</v>
      </c>
      <c r="C310" t="s">
        <v>27</v>
      </c>
      <c r="D310" t="s">
        <v>16</v>
      </c>
      <c r="E310" t="s">
        <v>21</v>
      </c>
      <c r="F310" t="s">
        <v>18</v>
      </c>
      <c r="G310">
        <v>7.0000000000000007E-2</v>
      </c>
      <c r="H310" s="8">
        <f>SUMIFS(OrderLines[LineNetAmount],OrderLines[OrderID],Orders[[#This Row],[OrderID]])</f>
        <v>101.46299999999999</v>
      </c>
      <c r="I310" t="str">
        <f>IF(COUNTIFS(OrderLines[OrderID],Orders[[#This Row],[OrderID]],OrderLines[Category],"Beverage"),"yes","no")</f>
        <v>yes</v>
      </c>
      <c r="J310" t="str">
        <f>IF(AND(COUNTIFS(OrderLines[OrderID],Orders[[#This Row],[OrderID]],OrderLines[Category],"Hot Meal"),Orders[[#This Row],[has beverage]]="yes"),"combo","single")</f>
        <v>single</v>
      </c>
      <c r="K310" s="8" t="str" cm="1">
        <f t="array" ref="K310">IF((SUMPRODUCT(OrderLines[UnitPrice],OrderLines[Qty],--(OrderLines[OrderID]=Orders[[#This Row],[OrderID]]))-Orders[[#This Row],[Revenue]])&gt;40,"high disc","ok")</f>
        <v>ok</v>
      </c>
      <c r="L310">
        <f>SUMIFS(OrderLines[Food Cost],OrderLines[OrderID],Orders[[#This Row],[OrderID]])</f>
        <v>50.94</v>
      </c>
      <c r="M310" s="8">
        <f>Orders[[#This Row],[Revenue]]-Orders[[#This Row],[total cost]]</f>
        <v>50.522999999999996</v>
      </c>
      <c r="N310" t="str" cm="1">
        <f t="array" ref="N310">_xlfn.TEXTJOIN("+",,_xlfn._xlws.SORT(_xlfn.UNIQUE(_xlfn._xlws.FILTER(OrderLines[Category],OrderLines[OrderID]=Orders[[#This Row],[OrderID]]))))</f>
        <v>Beverage+Snack</v>
      </c>
    </row>
    <row r="311" spans="1:14" x14ac:dyDescent="0.3">
      <c r="A311" t="s">
        <v>347</v>
      </c>
      <c r="B311" s="1">
        <v>45861.245138888888</v>
      </c>
      <c r="C311" t="s">
        <v>27</v>
      </c>
      <c r="D311" t="s">
        <v>28</v>
      </c>
      <c r="E311" t="s">
        <v>17</v>
      </c>
      <c r="F311" t="s">
        <v>12</v>
      </c>
      <c r="G311">
        <v>0.12</v>
      </c>
      <c r="H311" s="8">
        <f>SUMIFS(OrderLines[LineNetAmount],OrderLines[OrderID],Orders[[#This Row],[OrderID]])</f>
        <v>162.30719999999999</v>
      </c>
      <c r="I311" t="str">
        <f>IF(COUNTIFS(OrderLines[OrderID],Orders[[#This Row],[OrderID]],OrderLines[Category],"Beverage"),"yes","no")</f>
        <v>yes</v>
      </c>
      <c r="J311" t="str">
        <f>IF(AND(COUNTIFS(OrderLines[OrderID],Orders[[#This Row],[OrderID]],OrderLines[Category],"Hot Meal"),Orders[[#This Row],[has beverage]]="yes"),"combo","single")</f>
        <v>single</v>
      </c>
      <c r="K311" s="8" t="str" cm="1">
        <f t="array" ref="K311">IF((SUMPRODUCT(OrderLines[UnitPrice],OrderLines[Qty],--(OrderLines[OrderID]=Orders[[#This Row],[OrderID]]))-Orders[[#This Row],[Revenue]])&gt;40,"high disc","ok")</f>
        <v>ok</v>
      </c>
      <c r="L311">
        <f>SUMIFS(OrderLines[Food Cost],OrderLines[OrderID],Orders[[#This Row],[OrderID]])</f>
        <v>88.89</v>
      </c>
      <c r="M311" s="8">
        <f>Orders[[#This Row],[Revenue]]-Orders[[#This Row],[total cost]]</f>
        <v>73.417199999999994</v>
      </c>
      <c r="N311" t="str" cm="1">
        <f t="array" ref="N311">_xlfn.TEXTJOIN("+",,_xlfn._xlws.SORT(_xlfn.UNIQUE(_xlfn._xlws.FILTER(OrderLines[Category],OrderLines[OrderID]=Orders[[#This Row],[OrderID]]))))</f>
        <v>Beverage+Dessert+Snack</v>
      </c>
    </row>
    <row r="312" spans="1:14" x14ac:dyDescent="0.3">
      <c r="A312" t="s">
        <v>348</v>
      </c>
      <c r="B312" s="1">
        <v>45849.069791666669</v>
      </c>
      <c r="C312" t="s">
        <v>9</v>
      </c>
      <c r="D312" t="s">
        <v>10</v>
      </c>
      <c r="E312" t="s">
        <v>11</v>
      </c>
      <c r="F312" t="s">
        <v>12</v>
      </c>
      <c r="G312">
        <v>0.09</v>
      </c>
      <c r="H312" s="8">
        <f>SUMIFS(OrderLines[LineNetAmount],OrderLines[OrderID],Orders[[#This Row],[OrderID]])</f>
        <v>314.87819999999999</v>
      </c>
      <c r="I312" t="str">
        <f>IF(COUNTIFS(OrderLines[OrderID],Orders[[#This Row],[OrderID]],OrderLines[Category],"Beverage"),"yes","no")</f>
        <v>no</v>
      </c>
      <c r="J312" t="str">
        <f>IF(AND(COUNTIFS(OrderLines[OrderID],Orders[[#This Row],[OrderID]],OrderLines[Category],"Hot Meal"),Orders[[#This Row],[has beverage]]="yes"),"combo","single")</f>
        <v>single</v>
      </c>
      <c r="K312" s="8" t="str" cm="1">
        <f t="array" ref="K312">IF((SUMPRODUCT(OrderLines[UnitPrice],OrderLines[Qty],--(OrderLines[OrderID]=Orders[[#This Row],[OrderID]]))-Orders[[#This Row],[Revenue]])&gt;40,"high disc","ok")</f>
        <v>ok</v>
      </c>
      <c r="L312">
        <f>SUMIFS(OrderLines[Food Cost],OrderLines[OrderID],Orders[[#This Row],[OrderID]])</f>
        <v>164.53</v>
      </c>
      <c r="M312" s="8">
        <f>Orders[[#This Row],[Revenue]]-Orders[[#This Row],[total cost]]</f>
        <v>150.34819999999999</v>
      </c>
      <c r="N312" t="str" cm="1">
        <f t="array" ref="N312">_xlfn.TEXTJOIN("+",,_xlfn._xlws.SORT(_xlfn.UNIQUE(_xlfn._xlws.FILTER(OrderLines[Category],OrderLines[OrderID]=Orders[[#This Row],[OrderID]]))))</f>
        <v>Dessert+Snack</v>
      </c>
    </row>
    <row r="313" spans="1:14" x14ac:dyDescent="0.3">
      <c r="A313" t="s">
        <v>349</v>
      </c>
      <c r="B313" s="1">
        <v>45842.914907407408</v>
      </c>
      <c r="C313" t="s">
        <v>9</v>
      </c>
      <c r="D313" t="s">
        <v>16</v>
      </c>
      <c r="E313" t="s">
        <v>11</v>
      </c>
      <c r="F313" t="s">
        <v>18</v>
      </c>
      <c r="G313">
        <v>0.05</v>
      </c>
      <c r="H313" s="8">
        <f>SUMIFS(OrderLines[LineNetAmount],OrderLines[OrderID],Orders[[#This Row],[OrderID]])</f>
        <v>260.96500000000003</v>
      </c>
      <c r="I313" t="str">
        <f>IF(COUNTIFS(OrderLines[OrderID],Orders[[#This Row],[OrderID]],OrderLines[Category],"Beverage"),"yes","no")</f>
        <v>no</v>
      </c>
      <c r="J313" t="str">
        <f>IF(AND(COUNTIFS(OrderLines[OrderID],Orders[[#This Row],[OrderID]],OrderLines[Category],"Hot Meal"),Orders[[#This Row],[has beverage]]="yes"),"combo","single")</f>
        <v>single</v>
      </c>
      <c r="K313" s="8" t="str" cm="1">
        <f t="array" ref="K313">IF((SUMPRODUCT(OrderLines[UnitPrice],OrderLines[Qty],--(OrderLines[OrderID]=Orders[[#This Row],[OrderID]]))-Orders[[#This Row],[Revenue]])&gt;40,"high disc","ok")</f>
        <v>ok</v>
      </c>
      <c r="L313">
        <f>SUMIFS(OrderLines[Food Cost],OrderLines[OrderID],Orders[[#This Row],[OrderID]])</f>
        <v>138.99</v>
      </c>
      <c r="M313" s="8">
        <f>Orders[[#This Row],[Revenue]]-Orders[[#This Row],[total cost]]</f>
        <v>121.97500000000002</v>
      </c>
      <c r="N313" t="str" cm="1">
        <f t="array" ref="N313">_xlfn.TEXTJOIN("+",,_xlfn._xlws.SORT(_xlfn.UNIQUE(_xlfn._xlws.FILTER(OrderLines[Category],OrderLines[OrderID]=Orders[[#This Row],[OrderID]]))))</f>
        <v>Dessert+Snack</v>
      </c>
    </row>
    <row r="314" spans="1:14" x14ac:dyDescent="0.3">
      <c r="A314" t="s">
        <v>350</v>
      </c>
      <c r="B314" s="1">
        <v>45897.236875000002</v>
      </c>
      <c r="C314" t="s">
        <v>15</v>
      </c>
      <c r="D314" t="s">
        <v>28</v>
      </c>
      <c r="E314" t="s">
        <v>17</v>
      </c>
      <c r="F314" t="s">
        <v>12</v>
      </c>
      <c r="G314">
        <v>0.06</v>
      </c>
      <c r="H314" s="8">
        <f>SUMIFS(OrderLines[LineNetAmount],OrderLines[OrderID],Orders[[#This Row],[OrderID]])</f>
        <v>50.948</v>
      </c>
      <c r="I314" t="str">
        <f>IF(COUNTIFS(OrderLines[OrderID],Orders[[#This Row],[OrderID]],OrderLines[Category],"Beverage"),"yes","no")</f>
        <v>no</v>
      </c>
      <c r="J314" t="str">
        <f>IF(AND(COUNTIFS(OrderLines[OrderID],Orders[[#This Row],[OrderID]],OrderLines[Category],"Hot Meal"),Orders[[#This Row],[has beverage]]="yes"),"combo","single")</f>
        <v>single</v>
      </c>
      <c r="K314" s="8" t="str" cm="1">
        <f t="array" ref="K314">IF((SUMPRODUCT(OrderLines[UnitPrice],OrderLines[Qty],--(OrderLines[OrderID]=Orders[[#This Row],[OrderID]]))-Orders[[#This Row],[Revenue]])&gt;40,"high disc","ok")</f>
        <v>ok</v>
      </c>
      <c r="L314">
        <f>SUMIFS(OrderLines[Food Cost],OrderLines[OrderID],Orders[[#This Row],[OrderID]])</f>
        <v>21.95</v>
      </c>
      <c r="M314" s="8">
        <f>Orders[[#This Row],[Revenue]]-Orders[[#This Row],[total cost]]</f>
        <v>28.998000000000001</v>
      </c>
      <c r="N314" t="str" cm="1">
        <f t="array" ref="N314">_xlfn.TEXTJOIN("+",,_xlfn._xlws.SORT(_xlfn.UNIQUE(_xlfn._xlws.FILTER(OrderLines[Category],OrderLines[OrderID]=Orders[[#This Row],[OrderID]]))))</f>
        <v>Dessert</v>
      </c>
    </row>
    <row r="315" spans="1:14" x14ac:dyDescent="0.3">
      <c r="A315" t="s">
        <v>351</v>
      </c>
      <c r="B315" s="1">
        <v>45855.322256944448</v>
      </c>
      <c r="C315" t="s">
        <v>9</v>
      </c>
      <c r="D315" t="s">
        <v>16</v>
      </c>
      <c r="E315" t="s">
        <v>17</v>
      </c>
      <c r="F315" t="s">
        <v>12</v>
      </c>
      <c r="G315">
        <v>0.02</v>
      </c>
      <c r="H315" s="8">
        <f>SUMIFS(OrderLines[LineNetAmount],OrderLines[OrderID],Orders[[#This Row],[OrderID]])</f>
        <v>32.320399999999999</v>
      </c>
      <c r="I315" t="str">
        <f>IF(COUNTIFS(OrderLines[OrderID],Orders[[#This Row],[OrderID]],OrderLines[Category],"Beverage"),"yes","no")</f>
        <v>yes</v>
      </c>
      <c r="J315" t="str">
        <f>IF(AND(COUNTIFS(OrderLines[OrderID],Orders[[#This Row],[OrderID]],OrderLines[Category],"Hot Meal"),Orders[[#This Row],[has beverage]]="yes"),"combo","single")</f>
        <v>single</v>
      </c>
      <c r="K315" s="8" t="str" cm="1">
        <f t="array" ref="K315">IF((SUMPRODUCT(OrderLines[UnitPrice],OrderLines[Qty],--(OrderLines[OrderID]=Orders[[#This Row],[OrderID]]))-Orders[[#This Row],[Revenue]])&gt;40,"high disc","ok")</f>
        <v>ok</v>
      </c>
      <c r="L315">
        <f>SUMIFS(OrderLines[Food Cost],OrderLines[OrderID],Orders[[#This Row],[OrderID]])</f>
        <v>11.84</v>
      </c>
      <c r="M315" s="8">
        <f>Orders[[#This Row],[Revenue]]-Orders[[#This Row],[total cost]]</f>
        <v>20.480399999999999</v>
      </c>
      <c r="N315" t="str" cm="1">
        <f t="array" ref="N315">_xlfn.TEXTJOIN("+",,_xlfn._xlws.SORT(_xlfn.UNIQUE(_xlfn._xlws.FILTER(OrderLines[Category],OrderLines[OrderID]=Orders[[#This Row],[OrderID]]))))</f>
        <v>Beverage</v>
      </c>
    </row>
    <row r="316" spans="1:14" x14ac:dyDescent="0.3">
      <c r="A316" t="s">
        <v>352</v>
      </c>
      <c r="B316" s="1">
        <v>45874.619953703703</v>
      </c>
      <c r="C316" t="s">
        <v>9</v>
      </c>
      <c r="D316" t="s">
        <v>10</v>
      </c>
      <c r="E316" t="s">
        <v>17</v>
      </c>
      <c r="F316" t="s">
        <v>22</v>
      </c>
      <c r="G316">
        <v>0.06</v>
      </c>
      <c r="H316" s="8">
        <f>SUMIFS(OrderLines[LineNetAmount],OrderLines[OrderID],Orders[[#This Row],[OrderID]])</f>
        <v>325.66299999999995</v>
      </c>
      <c r="I316" t="str">
        <f>IF(COUNTIFS(OrderLines[OrderID],Orders[[#This Row],[OrderID]],OrderLines[Category],"Beverage"),"yes","no")</f>
        <v>no</v>
      </c>
      <c r="J316" t="str">
        <f>IF(AND(COUNTIFS(OrderLines[OrderID],Orders[[#This Row],[OrderID]],OrderLines[Category],"Hot Meal"),Orders[[#This Row],[has beverage]]="yes"),"combo","single")</f>
        <v>single</v>
      </c>
      <c r="K316" s="8" t="str" cm="1">
        <f t="array" ref="K316">IF((SUMPRODUCT(OrderLines[UnitPrice],OrderLines[Qty],--(OrderLines[OrderID]=Orders[[#This Row],[OrderID]]))-Orders[[#This Row],[Revenue]])&gt;40,"high disc","ok")</f>
        <v>ok</v>
      </c>
      <c r="L316">
        <f>SUMIFS(OrderLines[Food Cost],OrderLines[OrderID],Orders[[#This Row],[OrderID]])</f>
        <v>163.66</v>
      </c>
      <c r="M316" s="8">
        <f>Orders[[#This Row],[Revenue]]-Orders[[#This Row],[total cost]]</f>
        <v>162.00299999999996</v>
      </c>
      <c r="N316" t="str" cm="1">
        <f t="array" ref="N316">_xlfn.TEXTJOIN("+",,_xlfn._xlws.SORT(_xlfn.UNIQUE(_xlfn._xlws.FILTER(OrderLines[Category],OrderLines[OrderID]=Orders[[#This Row],[OrderID]]))))</f>
        <v>Dessert</v>
      </c>
    </row>
    <row r="317" spans="1:14" x14ac:dyDescent="0.3">
      <c r="A317" t="s">
        <v>353</v>
      </c>
      <c r="B317" s="1">
        <v>45898.53292824074</v>
      </c>
      <c r="C317" t="s">
        <v>15</v>
      </c>
      <c r="D317" t="s">
        <v>10</v>
      </c>
      <c r="E317" t="s">
        <v>21</v>
      </c>
      <c r="F317" t="s">
        <v>22</v>
      </c>
      <c r="G317">
        <v>0.05</v>
      </c>
      <c r="H317" s="8">
        <f>SUMIFS(OrderLines[LineNetAmount],OrderLines[OrderID],Orders[[#This Row],[OrderID]])</f>
        <v>63.269999999999989</v>
      </c>
      <c r="I317" t="str">
        <f>IF(COUNTIFS(OrderLines[OrderID],Orders[[#This Row],[OrderID]],OrderLines[Category],"Beverage"),"yes","no")</f>
        <v>yes</v>
      </c>
      <c r="J317" t="str">
        <f>IF(AND(COUNTIFS(OrderLines[OrderID],Orders[[#This Row],[OrderID]],OrderLines[Category],"Hot Meal"),Orders[[#This Row],[has beverage]]="yes"),"combo","single")</f>
        <v>single</v>
      </c>
      <c r="K317" s="8" t="str" cm="1">
        <f t="array" ref="K317">IF((SUMPRODUCT(OrderLines[UnitPrice],OrderLines[Qty],--(OrderLines[OrderID]=Orders[[#This Row],[OrderID]]))-Orders[[#This Row],[Revenue]])&gt;40,"high disc","ok")</f>
        <v>ok</v>
      </c>
      <c r="L317">
        <f>SUMIFS(OrderLines[Food Cost],OrderLines[OrderID],Orders[[#This Row],[OrderID]])</f>
        <v>28.14</v>
      </c>
      <c r="M317" s="8">
        <f>Orders[[#This Row],[Revenue]]-Orders[[#This Row],[total cost]]</f>
        <v>35.129999999999988</v>
      </c>
      <c r="N317" t="str" cm="1">
        <f t="array" ref="N317">_xlfn.TEXTJOIN("+",,_xlfn._xlws.SORT(_xlfn.UNIQUE(_xlfn._xlws.FILTER(OrderLines[Category],OrderLines[OrderID]=Orders[[#This Row],[OrderID]]))))</f>
        <v>Beverage</v>
      </c>
    </row>
    <row r="318" spans="1:14" x14ac:dyDescent="0.3">
      <c r="A318" t="s">
        <v>354</v>
      </c>
      <c r="B318" s="1">
        <v>45891.097337962958</v>
      </c>
      <c r="C318" t="s">
        <v>27</v>
      </c>
      <c r="D318" t="s">
        <v>16</v>
      </c>
      <c r="E318" t="s">
        <v>21</v>
      </c>
      <c r="F318" t="s">
        <v>12</v>
      </c>
      <c r="G318">
        <v>7.0000000000000007E-2</v>
      </c>
      <c r="H318" s="8">
        <f>SUMIFS(OrderLines[LineNetAmount],OrderLines[OrderID],Orders[[#This Row],[OrderID]])</f>
        <v>233.709</v>
      </c>
      <c r="I318" t="str">
        <f>IF(COUNTIFS(OrderLines[OrderID],Orders[[#This Row],[OrderID]],OrderLines[Category],"Beverage"),"yes","no")</f>
        <v>no</v>
      </c>
      <c r="J318" t="str">
        <f>IF(AND(COUNTIFS(OrderLines[OrderID],Orders[[#This Row],[OrderID]],OrderLines[Category],"Hot Meal"),Orders[[#This Row],[has beverage]]="yes"),"combo","single")</f>
        <v>single</v>
      </c>
      <c r="K318" s="8" t="str" cm="1">
        <f t="array" ref="K318">IF((SUMPRODUCT(OrderLines[UnitPrice],OrderLines[Qty],--(OrderLines[OrderID]=Orders[[#This Row],[OrderID]]))-Orders[[#This Row],[Revenue]])&gt;40,"high disc","ok")</f>
        <v>ok</v>
      </c>
      <c r="L318">
        <f>SUMIFS(OrderLines[Food Cost],OrderLines[OrderID],Orders[[#This Row],[OrderID]])</f>
        <v>132.52000000000001</v>
      </c>
      <c r="M318" s="8">
        <f>Orders[[#This Row],[Revenue]]-Orders[[#This Row],[total cost]]</f>
        <v>101.18899999999999</v>
      </c>
      <c r="N318" t="str" cm="1">
        <f t="array" ref="N318">_xlfn.TEXTJOIN("+",,_xlfn._xlws.SORT(_xlfn.UNIQUE(_xlfn._xlws.FILTER(OrderLines[Category],OrderLines[OrderID]=Orders[[#This Row],[OrderID]]))))</f>
        <v>Hot Meal+Snack</v>
      </c>
    </row>
    <row r="319" spans="1:14" x14ac:dyDescent="0.3">
      <c r="A319" t="s">
        <v>355</v>
      </c>
      <c r="B319" s="1">
        <v>45874.963807870372</v>
      </c>
      <c r="C319" t="s">
        <v>9</v>
      </c>
      <c r="D319" t="s">
        <v>10</v>
      </c>
      <c r="E319" t="s">
        <v>21</v>
      </c>
      <c r="F319" t="s">
        <v>18</v>
      </c>
      <c r="G319">
        <v>0.03</v>
      </c>
      <c r="H319" s="8">
        <f>SUMIFS(OrderLines[LineNetAmount],OrderLines[OrderID],Orders[[#This Row],[OrderID]])</f>
        <v>386.19579999999996</v>
      </c>
      <c r="I319" t="str">
        <f>IF(COUNTIFS(OrderLines[OrderID],Orders[[#This Row],[OrderID]],OrderLines[Category],"Beverage"),"yes","no")</f>
        <v>yes</v>
      </c>
      <c r="J319" t="str">
        <f>IF(AND(COUNTIFS(OrderLines[OrderID],Orders[[#This Row],[OrderID]],OrderLines[Category],"Hot Meal"),Orders[[#This Row],[has beverage]]="yes"),"combo","single")</f>
        <v>combo</v>
      </c>
      <c r="K319" s="8" t="str" cm="1">
        <f t="array" ref="K319">IF((SUMPRODUCT(OrderLines[UnitPrice],OrderLines[Qty],--(OrderLines[OrderID]=Orders[[#This Row],[OrderID]]))-Orders[[#This Row],[Revenue]])&gt;40,"high disc","ok")</f>
        <v>ok</v>
      </c>
      <c r="L319">
        <f>SUMIFS(OrderLines[Food Cost],OrderLines[OrderID],Orders[[#This Row],[OrderID]])</f>
        <v>179.1</v>
      </c>
      <c r="M319" s="8">
        <f>Orders[[#This Row],[Revenue]]-Orders[[#This Row],[total cost]]</f>
        <v>207.09579999999997</v>
      </c>
      <c r="N319" t="str" cm="1">
        <f t="array" ref="N319">_xlfn.TEXTJOIN("+",,_xlfn._xlws.SORT(_xlfn.UNIQUE(_xlfn._xlws.FILTER(OrderLines[Category],OrderLines[OrderID]=Orders[[#This Row],[OrderID]]))))</f>
        <v>Beverage+Dessert+Hot Meal</v>
      </c>
    </row>
    <row r="320" spans="1:14" x14ac:dyDescent="0.3">
      <c r="A320" t="s">
        <v>356</v>
      </c>
      <c r="B320" s="1">
        <v>45866.607314814813</v>
      </c>
      <c r="C320" t="s">
        <v>15</v>
      </c>
      <c r="D320" t="s">
        <v>10</v>
      </c>
      <c r="E320" t="s">
        <v>11</v>
      </c>
      <c r="F320" t="s">
        <v>22</v>
      </c>
      <c r="G320">
        <v>0.08</v>
      </c>
      <c r="H320" s="8">
        <f>SUMIFS(OrderLines[LineNetAmount],OrderLines[OrderID],Orders[[#This Row],[OrderID]])</f>
        <v>89.506799999999998</v>
      </c>
      <c r="I320" t="str">
        <f>IF(COUNTIFS(OrderLines[OrderID],Orders[[#This Row],[OrderID]],OrderLines[Category],"Beverage"),"yes","no")</f>
        <v>yes</v>
      </c>
      <c r="J320" t="str">
        <f>IF(AND(COUNTIFS(OrderLines[OrderID],Orders[[#This Row],[OrderID]],OrderLines[Category],"Hot Meal"),Orders[[#This Row],[has beverage]]="yes"),"combo","single")</f>
        <v>single</v>
      </c>
      <c r="K320" s="8" t="str" cm="1">
        <f t="array" ref="K320">IF((SUMPRODUCT(OrderLines[UnitPrice],OrderLines[Qty],--(OrderLines[OrderID]=Orders[[#This Row],[OrderID]]))-Orders[[#This Row],[Revenue]])&gt;40,"high disc","ok")</f>
        <v>ok</v>
      </c>
      <c r="L320">
        <f>SUMIFS(OrderLines[Food Cost],OrderLines[OrderID],Orders[[#This Row],[OrderID]])</f>
        <v>45.14</v>
      </c>
      <c r="M320" s="8">
        <f>Orders[[#This Row],[Revenue]]-Orders[[#This Row],[total cost]]</f>
        <v>44.366799999999998</v>
      </c>
      <c r="N320" t="str" cm="1">
        <f t="array" ref="N320">_xlfn.TEXTJOIN("+",,_xlfn._xlws.SORT(_xlfn.UNIQUE(_xlfn._xlws.FILTER(OrderLines[Category],OrderLines[OrderID]=Orders[[#This Row],[OrderID]]))))</f>
        <v>Beverage+Dessert</v>
      </c>
    </row>
    <row r="321" spans="1:14" x14ac:dyDescent="0.3">
      <c r="A321" t="s">
        <v>357</v>
      </c>
      <c r="B321" s="1">
        <v>45854.984282407408</v>
      </c>
      <c r="C321" t="s">
        <v>27</v>
      </c>
      <c r="D321" t="s">
        <v>10</v>
      </c>
      <c r="E321" t="s">
        <v>17</v>
      </c>
      <c r="F321" t="s">
        <v>18</v>
      </c>
      <c r="G321">
        <v>0.12</v>
      </c>
      <c r="H321" s="8">
        <f>SUMIFS(OrderLines[LineNetAmount],OrderLines[OrderID],Orders[[#This Row],[OrderID]])</f>
        <v>300.66080000000005</v>
      </c>
      <c r="I321" t="str">
        <f>IF(COUNTIFS(OrderLines[OrderID],Orders[[#This Row],[OrderID]],OrderLines[Category],"Beverage"),"yes","no")</f>
        <v>no</v>
      </c>
      <c r="J321" t="str">
        <f>IF(AND(COUNTIFS(OrderLines[OrderID],Orders[[#This Row],[OrderID]],OrderLines[Category],"Hot Meal"),Orders[[#This Row],[has beverage]]="yes"),"combo","single")</f>
        <v>single</v>
      </c>
      <c r="K321" s="8" t="str" cm="1">
        <f t="array" ref="K321">IF((SUMPRODUCT(OrderLines[UnitPrice],OrderLines[Qty],--(OrderLines[OrderID]=Orders[[#This Row],[OrderID]]))-Orders[[#This Row],[Revenue]])&gt;40,"high disc","ok")</f>
        <v>high disc</v>
      </c>
      <c r="L321">
        <f>SUMIFS(OrderLines[Food Cost],OrderLines[OrderID],Orders[[#This Row],[OrderID]])</f>
        <v>148.13999999999999</v>
      </c>
      <c r="M321" s="8">
        <f>Orders[[#This Row],[Revenue]]-Orders[[#This Row],[total cost]]</f>
        <v>152.52080000000007</v>
      </c>
      <c r="N321" t="str" cm="1">
        <f t="array" ref="N321">_xlfn.TEXTJOIN("+",,_xlfn._xlws.SORT(_xlfn.UNIQUE(_xlfn._xlws.FILTER(OrderLines[Category],OrderLines[OrderID]=Orders[[#This Row],[OrderID]]))))</f>
        <v>Hot Meal</v>
      </c>
    </row>
    <row r="322" spans="1:14" x14ac:dyDescent="0.3">
      <c r="A322" t="s">
        <v>358</v>
      </c>
      <c r="B322" s="1">
        <v>45844.316145833327</v>
      </c>
      <c r="C322" t="s">
        <v>9</v>
      </c>
      <c r="D322" t="s">
        <v>16</v>
      </c>
      <c r="E322" t="s">
        <v>21</v>
      </c>
      <c r="F322" t="s">
        <v>12</v>
      </c>
      <c r="G322">
        <v>0.06</v>
      </c>
      <c r="H322" s="8">
        <f>SUMIFS(OrderLines[LineNetAmount],OrderLines[OrderID],Orders[[#This Row],[OrderID]])</f>
        <v>592.32219999999995</v>
      </c>
      <c r="I322" t="str">
        <f>IF(COUNTIFS(OrderLines[OrderID],Orders[[#This Row],[OrderID]],OrderLines[Category],"Beverage"),"yes","no")</f>
        <v>yes</v>
      </c>
      <c r="J322" t="str">
        <f>IF(AND(COUNTIFS(OrderLines[OrderID],Orders[[#This Row],[OrderID]],OrderLines[Category],"Hot Meal"),Orders[[#This Row],[has beverage]]="yes"),"combo","single")</f>
        <v>combo</v>
      </c>
      <c r="K322" s="8" t="str" cm="1">
        <f t="array" ref="K322">IF((SUMPRODUCT(OrderLines[UnitPrice],OrderLines[Qty],--(OrderLines[OrderID]=Orders[[#This Row],[OrderID]]))-Orders[[#This Row],[Revenue]])&gt;40,"high disc","ok")</f>
        <v>ok</v>
      </c>
      <c r="L322">
        <f>SUMIFS(OrderLines[Food Cost],OrderLines[OrderID],Orders[[#This Row],[OrderID]])</f>
        <v>293.32</v>
      </c>
      <c r="M322" s="8">
        <f>Orders[[#This Row],[Revenue]]-Orders[[#This Row],[total cost]]</f>
        <v>299.00219999999996</v>
      </c>
      <c r="N322" t="str" cm="1">
        <f t="array" ref="N322">_xlfn.TEXTJOIN("+",,_xlfn._xlws.SORT(_xlfn.UNIQUE(_xlfn._xlws.FILTER(OrderLines[Category],OrderLines[OrderID]=Orders[[#This Row],[OrderID]]))))</f>
        <v>Beverage+Dessert+Hot Meal+Snack</v>
      </c>
    </row>
    <row r="323" spans="1:14" x14ac:dyDescent="0.3">
      <c r="A323" t="s">
        <v>359</v>
      </c>
      <c r="B323" s="1">
        <v>45849.210474537038</v>
      </c>
      <c r="C323" t="s">
        <v>9</v>
      </c>
      <c r="D323" t="s">
        <v>10</v>
      </c>
      <c r="E323" t="s">
        <v>17</v>
      </c>
      <c r="F323" t="s">
        <v>12</v>
      </c>
      <c r="G323">
        <v>0.08</v>
      </c>
      <c r="H323" s="8">
        <f>SUMIFS(OrderLines[LineNetAmount],OrderLines[OrderID],Orders[[#This Row],[OrderID]])</f>
        <v>668.0856</v>
      </c>
      <c r="I323" t="str">
        <f>IF(COUNTIFS(OrderLines[OrderID],Orders[[#This Row],[OrderID]],OrderLines[Category],"Beverage"),"yes","no")</f>
        <v>yes</v>
      </c>
      <c r="J323" t="str">
        <f>IF(AND(COUNTIFS(OrderLines[OrderID],Orders[[#This Row],[OrderID]],OrderLines[Category],"Hot Meal"),Orders[[#This Row],[has beverage]]="yes"),"combo","single")</f>
        <v>combo</v>
      </c>
      <c r="K323" s="8" t="str" cm="1">
        <f t="array" ref="K323">IF((SUMPRODUCT(OrderLines[UnitPrice],OrderLines[Qty],--(OrderLines[OrderID]=Orders[[#This Row],[OrderID]]))-Orders[[#This Row],[Revenue]])&gt;40,"high disc","ok")</f>
        <v>high disc</v>
      </c>
      <c r="L323">
        <f>SUMIFS(OrderLines[Food Cost],OrderLines[OrderID],Orders[[#This Row],[OrderID]])</f>
        <v>319.41999999999996</v>
      </c>
      <c r="M323" s="8">
        <f>Orders[[#This Row],[Revenue]]-Orders[[#This Row],[total cost]]</f>
        <v>348.66560000000004</v>
      </c>
      <c r="N323" t="str" cm="1">
        <f t="array" ref="N323">_xlfn.TEXTJOIN("+",,_xlfn._xlws.SORT(_xlfn.UNIQUE(_xlfn._xlws.FILTER(OrderLines[Category],OrderLines[OrderID]=Orders[[#This Row],[OrderID]]))))</f>
        <v>Beverage+Dessert+Hot Meal</v>
      </c>
    </row>
    <row r="324" spans="1:14" x14ac:dyDescent="0.3">
      <c r="A324" t="s">
        <v>360</v>
      </c>
      <c r="B324" s="1">
        <v>45847.393460648149</v>
      </c>
      <c r="C324" t="s">
        <v>27</v>
      </c>
      <c r="D324" t="s">
        <v>16</v>
      </c>
      <c r="E324" t="s">
        <v>21</v>
      </c>
      <c r="F324" t="s">
        <v>12</v>
      </c>
      <c r="G324">
        <v>0.09</v>
      </c>
      <c r="H324" s="8">
        <f>SUMIFS(OrderLines[LineNetAmount],OrderLines[OrderID],Orders[[#This Row],[OrderID]])</f>
        <v>158.03059999999999</v>
      </c>
      <c r="I324" t="str">
        <f>IF(COUNTIFS(OrderLines[OrderID],Orders[[#This Row],[OrderID]],OrderLines[Category],"Beverage"),"yes","no")</f>
        <v>yes</v>
      </c>
      <c r="J324" t="str">
        <f>IF(AND(COUNTIFS(OrderLines[OrderID],Orders[[#This Row],[OrderID]],OrderLines[Category],"Hot Meal"),Orders[[#This Row],[has beverage]]="yes"),"combo","single")</f>
        <v>single</v>
      </c>
      <c r="K324" s="8" t="str" cm="1">
        <f t="array" ref="K324">IF((SUMPRODUCT(OrderLines[UnitPrice],OrderLines[Qty],--(OrderLines[OrderID]=Orders[[#This Row],[OrderID]]))-Orders[[#This Row],[Revenue]])&gt;40,"high disc","ok")</f>
        <v>ok</v>
      </c>
      <c r="L324">
        <f>SUMIFS(OrderLines[Food Cost],OrderLines[OrderID],Orders[[#This Row],[OrderID]])</f>
        <v>76.75</v>
      </c>
      <c r="M324" s="8">
        <f>Orders[[#This Row],[Revenue]]-Orders[[#This Row],[total cost]]</f>
        <v>81.280599999999993</v>
      </c>
      <c r="N324" t="str" cm="1">
        <f t="array" ref="N324">_xlfn.TEXTJOIN("+",,_xlfn._xlws.SORT(_xlfn.UNIQUE(_xlfn._xlws.FILTER(OrderLines[Category],OrderLines[OrderID]=Orders[[#This Row],[OrderID]]))))</f>
        <v>Beverage+Dessert</v>
      </c>
    </row>
    <row r="325" spans="1:14" x14ac:dyDescent="0.3">
      <c r="A325" t="s">
        <v>361</v>
      </c>
      <c r="B325" s="1">
        <v>45853.556134259263</v>
      </c>
      <c r="C325" t="s">
        <v>15</v>
      </c>
      <c r="D325" t="s">
        <v>28</v>
      </c>
      <c r="E325" t="s">
        <v>17</v>
      </c>
      <c r="F325" t="s">
        <v>22</v>
      </c>
      <c r="G325">
        <v>0.04</v>
      </c>
      <c r="H325" s="8">
        <f>SUMIFS(OrderLines[LineNetAmount],OrderLines[OrderID],Orders[[#This Row],[OrderID]])</f>
        <v>498.4896</v>
      </c>
      <c r="I325" t="str">
        <f>IF(COUNTIFS(OrderLines[OrderID],Orders[[#This Row],[OrderID]],OrderLines[Category],"Beverage"),"yes","no")</f>
        <v>no</v>
      </c>
      <c r="J325" t="str">
        <f>IF(AND(COUNTIFS(OrderLines[OrderID],Orders[[#This Row],[OrderID]],OrderLines[Category],"Hot Meal"),Orders[[#This Row],[has beverage]]="yes"),"combo","single")</f>
        <v>single</v>
      </c>
      <c r="K325" s="8" t="str" cm="1">
        <f t="array" ref="K325">IF((SUMPRODUCT(OrderLines[UnitPrice],OrderLines[Qty],--(OrderLines[OrderID]=Orders[[#This Row],[OrderID]]))-Orders[[#This Row],[Revenue]])&gt;40,"high disc","ok")</f>
        <v>ok</v>
      </c>
      <c r="L325">
        <f>SUMIFS(OrderLines[Food Cost],OrderLines[OrderID],Orders[[#This Row],[OrderID]])</f>
        <v>235.67000000000002</v>
      </c>
      <c r="M325" s="8">
        <f>Orders[[#This Row],[Revenue]]-Orders[[#This Row],[total cost]]</f>
        <v>262.81959999999998</v>
      </c>
      <c r="N325" t="str" cm="1">
        <f t="array" ref="N325">_xlfn.TEXTJOIN("+",,_xlfn._xlws.SORT(_xlfn.UNIQUE(_xlfn._xlws.FILTER(OrderLines[Category],OrderLines[OrderID]=Orders[[#This Row],[OrderID]]))))</f>
        <v>Hot Meal+Snack</v>
      </c>
    </row>
    <row r="326" spans="1:14" x14ac:dyDescent="0.3">
      <c r="A326" t="s">
        <v>362</v>
      </c>
      <c r="B326" s="1">
        <v>45873.191342592603</v>
      </c>
      <c r="C326" t="s">
        <v>27</v>
      </c>
      <c r="D326" t="s">
        <v>16</v>
      </c>
      <c r="E326" t="s">
        <v>17</v>
      </c>
      <c r="F326" t="s">
        <v>12</v>
      </c>
      <c r="G326">
        <v>7.0000000000000007E-2</v>
      </c>
      <c r="H326" s="8">
        <f>SUMIFS(OrderLines[LineNetAmount],OrderLines[OrderID],Orders[[#This Row],[OrderID]])</f>
        <v>46.676699999999997</v>
      </c>
      <c r="I326" t="str">
        <f>IF(COUNTIFS(OrderLines[OrderID],Orders[[#This Row],[OrderID]],OrderLines[Category],"Beverage"),"yes","no")</f>
        <v>no</v>
      </c>
      <c r="J326" t="str">
        <f>IF(AND(COUNTIFS(OrderLines[OrderID],Orders[[#This Row],[OrderID]],OrderLines[Category],"Hot Meal"),Orders[[#This Row],[has beverage]]="yes"),"combo","single")</f>
        <v>single</v>
      </c>
      <c r="K326" s="8" t="str" cm="1">
        <f t="array" ref="K326">IF((SUMPRODUCT(OrderLines[UnitPrice],OrderLines[Qty],--(OrderLines[OrderID]=Orders[[#This Row],[OrderID]]))-Orders[[#This Row],[Revenue]])&gt;40,"high disc","ok")</f>
        <v>ok</v>
      </c>
      <c r="L326">
        <f>SUMIFS(OrderLines[Food Cost],OrderLines[OrderID],Orders[[#This Row],[OrderID]])</f>
        <v>22.61</v>
      </c>
      <c r="M326" s="8">
        <f>Orders[[#This Row],[Revenue]]-Orders[[#This Row],[total cost]]</f>
        <v>24.066699999999997</v>
      </c>
      <c r="N326" t="str" cm="1">
        <f t="array" ref="N326">_xlfn.TEXTJOIN("+",,_xlfn._xlws.SORT(_xlfn.UNIQUE(_xlfn._xlws.FILTER(OrderLines[Category],OrderLines[OrderID]=Orders[[#This Row],[OrderID]]))))</f>
        <v>Snack</v>
      </c>
    </row>
    <row r="327" spans="1:14" x14ac:dyDescent="0.3">
      <c r="A327" t="s">
        <v>363</v>
      </c>
      <c r="B327" s="1">
        <v>45887.990046296298</v>
      </c>
      <c r="C327" t="s">
        <v>15</v>
      </c>
      <c r="D327" t="s">
        <v>28</v>
      </c>
      <c r="E327" t="s">
        <v>21</v>
      </c>
      <c r="F327" t="s">
        <v>18</v>
      </c>
      <c r="G327">
        <v>0.06</v>
      </c>
      <c r="H327" s="8">
        <f>SUMIFS(OrderLines[LineNetAmount],OrderLines[OrderID],Orders[[#This Row],[OrderID]])</f>
        <v>18.903399999999998</v>
      </c>
      <c r="I327" t="str">
        <f>IF(COUNTIFS(OrderLines[OrderID],Orders[[#This Row],[OrderID]],OrderLines[Category],"Beverage"),"yes","no")</f>
        <v>yes</v>
      </c>
      <c r="J327" t="str">
        <f>IF(AND(COUNTIFS(OrderLines[OrderID],Orders[[#This Row],[OrderID]],OrderLines[Category],"Hot Meal"),Orders[[#This Row],[has beverage]]="yes"),"combo","single")</f>
        <v>single</v>
      </c>
      <c r="K327" s="8" t="str" cm="1">
        <f t="array" ref="K327">IF((SUMPRODUCT(OrderLines[UnitPrice],OrderLines[Qty],--(OrderLines[OrderID]=Orders[[#This Row],[OrderID]]))-Orders[[#This Row],[Revenue]])&gt;40,"high disc","ok")</f>
        <v>ok</v>
      </c>
      <c r="L327">
        <f>SUMIFS(OrderLines[Food Cost],OrderLines[OrderID],Orders[[#This Row],[OrderID]])</f>
        <v>8</v>
      </c>
      <c r="M327" s="8">
        <f>Orders[[#This Row],[Revenue]]-Orders[[#This Row],[total cost]]</f>
        <v>10.903399999999998</v>
      </c>
      <c r="N327" t="str" cm="1">
        <f t="array" ref="N327">_xlfn.TEXTJOIN("+",,_xlfn._xlws.SORT(_xlfn.UNIQUE(_xlfn._xlws.FILTER(OrderLines[Category],OrderLines[OrderID]=Orders[[#This Row],[OrderID]]))))</f>
        <v>Beverage</v>
      </c>
    </row>
    <row r="328" spans="1:14" x14ac:dyDescent="0.3">
      <c r="A328" t="s">
        <v>364</v>
      </c>
      <c r="B328" s="1">
        <v>45875.650405092587</v>
      </c>
      <c r="C328" t="s">
        <v>27</v>
      </c>
      <c r="D328" t="s">
        <v>28</v>
      </c>
      <c r="E328" t="s">
        <v>21</v>
      </c>
      <c r="F328" t="s">
        <v>22</v>
      </c>
      <c r="G328">
        <v>0.06</v>
      </c>
      <c r="H328" s="8">
        <f>SUMIFS(OrderLines[LineNetAmount],OrderLines[OrderID],Orders[[#This Row],[OrderID]])</f>
        <v>109.67920000000001</v>
      </c>
      <c r="I328" t="str">
        <f>IF(COUNTIFS(OrderLines[OrderID],Orders[[#This Row],[OrderID]],OrderLines[Category],"Beverage"),"yes","no")</f>
        <v>yes</v>
      </c>
      <c r="J328" t="str">
        <f>IF(AND(COUNTIFS(OrderLines[OrderID],Orders[[#This Row],[OrderID]],OrderLines[Category],"Hot Meal"),Orders[[#This Row],[has beverage]]="yes"),"combo","single")</f>
        <v>single</v>
      </c>
      <c r="K328" s="8" t="str" cm="1">
        <f t="array" ref="K328">IF((SUMPRODUCT(OrderLines[UnitPrice],OrderLines[Qty],--(OrderLines[OrderID]=Orders[[#This Row],[OrderID]]))-Orders[[#This Row],[Revenue]])&gt;40,"high disc","ok")</f>
        <v>ok</v>
      </c>
      <c r="L328">
        <f>SUMIFS(OrderLines[Food Cost],OrderLines[OrderID],Orders[[#This Row],[OrderID]])</f>
        <v>56.05</v>
      </c>
      <c r="M328" s="8">
        <f>Orders[[#This Row],[Revenue]]-Orders[[#This Row],[total cost]]</f>
        <v>53.629200000000012</v>
      </c>
      <c r="N328" t="str" cm="1">
        <f t="array" ref="N328">_xlfn.TEXTJOIN("+",,_xlfn._xlws.SORT(_xlfn.UNIQUE(_xlfn._xlws.FILTER(OrderLines[Category],OrderLines[OrderID]=Orders[[#This Row],[OrderID]]))))</f>
        <v>Beverage+Snack</v>
      </c>
    </row>
    <row r="329" spans="1:14" x14ac:dyDescent="0.3">
      <c r="A329" t="s">
        <v>365</v>
      </c>
      <c r="B329" s="1">
        <v>45871.803460648152</v>
      </c>
      <c r="C329" t="s">
        <v>27</v>
      </c>
      <c r="D329" t="s">
        <v>28</v>
      </c>
      <c r="E329" t="s">
        <v>17</v>
      </c>
      <c r="F329" t="s">
        <v>18</v>
      </c>
      <c r="G329">
        <v>0.03</v>
      </c>
      <c r="H329" s="8">
        <f>SUMIFS(OrderLines[LineNetAmount],OrderLines[OrderID],Orders[[#This Row],[OrderID]])</f>
        <v>284.01600000000002</v>
      </c>
      <c r="I329" t="str">
        <f>IF(COUNTIFS(OrderLines[OrderID],Orders[[#This Row],[OrderID]],OrderLines[Category],"Beverage"),"yes","no")</f>
        <v>no</v>
      </c>
      <c r="J329" t="str">
        <f>IF(AND(COUNTIFS(OrderLines[OrderID],Orders[[#This Row],[OrderID]],OrderLines[Category],"Hot Meal"),Orders[[#This Row],[has beverage]]="yes"),"combo","single")</f>
        <v>single</v>
      </c>
      <c r="K329" s="8" t="str" cm="1">
        <f t="array" ref="K329">IF((SUMPRODUCT(OrderLines[UnitPrice],OrderLines[Qty],--(OrderLines[OrderID]=Orders[[#This Row],[OrderID]]))-Orders[[#This Row],[Revenue]])&gt;40,"high disc","ok")</f>
        <v>ok</v>
      </c>
      <c r="L329">
        <f>SUMIFS(OrderLines[Food Cost],OrderLines[OrderID],Orders[[#This Row],[OrderID]])</f>
        <v>161.84</v>
      </c>
      <c r="M329" s="8">
        <f>Orders[[#This Row],[Revenue]]-Orders[[#This Row],[total cost]]</f>
        <v>122.17600000000002</v>
      </c>
      <c r="N329" t="str" cm="1">
        <f t="array" ref="N329">_xlfn.TEXTJOIN("+",,_xlfn._xlws.SORT(_xlfn.UNIQUE(_xlfn._xlws.FILTER(OrderLines[Category],OrderLines[OrderID]=Orders[[#This Row],[OrderID]]))))</f>
        <v>Hot Meal</v>
      </c>
    </row>
    <row r="330" spans="1:14" x14ac:dyDescent="0.3">
      <c r="A330" t="s">
        <v>366</v>
      </c>
      <c r="B330" s="1">
        <v>45885.120821759258</v>
      </c>
      <c r="C330" t="s">
        <v>9</v>
      </c>
      <c r="D330" t="s">
        <v>28</v>
      </c>
      <c r="E330" t="s">
        <v>11</v>
      </c>
      <c r="F330" t="s">
        <v>12</v>
      </c>
      <c r="G330">
        <v>0.06</v>
      </c>
      <c r="H330" s="8">
        <f>SUMIFS(OrderLines[LineNetAmount],OrderLines[OrderID],Orders[[#This Row],[OrderID]])</f>
        <v>513.09899999999993</v>
      </c>
      <c r="I330" t="str">
        <f>IF(COUNTIFS(OrderLines[OrderID],Orders[[#This Row],[OrderID]],OrderLines[Category],"Beverage"),"yes","no")</f>
        <v>no</v>
      </c>
      <c r="J330" t="str">
        <f>IF(AND(COUNTIFS(OrderLines[OrderID],Orders[[#This Row],[OrderID]],OrderLines[Category],"Hot Meal"),Orders[[#This Row],[has beverage]]="yes"),"combo","single")</f>
        <v>single</v>
      </c>
      <c r="K330" s="8" t="str" cm="1">
        <f t="array" ref="K330">IF((SUMPRODUCT(OrderLines[UnitPrice],OrderLines[Qty],--(OrderLines[OrderID]=Orders[[#This Row],[OrderID]]))-Orders[[#This Row],[Revenue]])&gt;40,"high disc","ok")</f>
        <v>ok</v>
      </c>
      <c r="L330">
        <f>SUMIFS(OrderLines[Food Cost],OrderLines[OrderID],Orders[[#This Row],[OrderID]])</f>
        <v>290.51</v>
      </c>
      <c r="M330" s="8">
        <f>Orders[[#This Row],[Revenue]]-Orders[[#This Row],[total cost]]</f>
        <v>222.58899999999994</v>
      </c>
      <c r="N330" t="str" cm="1">
        <f t="array" ref="N330">_xlfn.TEXTJOIN("+",,_xlfn._xlws.SORT(_xlfn.UNIQUE(_xlfn._xlws.FILTER(OrderLines[Category],OrderLines[OrderID]=Orders[[#This Row],[OrderID]]))))</f>
        <v>Dessert+Hot Meal+Snack</v>
      </c>
    </row>
    <row r="331" spans="1:14" x14ac:dyDescent="0.3">
      <c r="A331" t="s">
        <v>367</v>
      </c>
      <c r="B331" s="1">
        <v>45882.804872685178</v>
      </c>
      <c r="C331" t="s">
        <v>9</v>
      </c>
      <c r="D331" t="s">
        <v>28</v>
      </c>
      <c r="E331" t="s">
        <v>17</v>
      </c>
      <c r="F331" t="s">
        <v>18</v>
      </c>
      <c r="G331">
        <v>0.08</v>
      </c>
      <c r="H331" s="8">
        <f>SUMIFS(OrderLines[LineNetAmount],OrderLines[OrderID],Orders[[#This Row],[OrderID]])</f>
        <v>666.88040000000012</v>
      </c>
      <c r="I331" t="str">
        <f>IF(COUNTIFS(OrderLines[OrderID],Orders[[#This Row],[OrderID]],OrderLines[Category],"Beverage"),"yes","no")</f>
        <v>yes</v>
      </c>
      <c r="J331" t="str">
        <f>IF(AND(COUNTIFS(OrderLines[OrderID],Orders[[#This Row],[OrderID]],OrderLines[Category],"Hot Meal"),Orders[[#This Row],[has beverage]]="yes"),"combo","single")</f>
        <v>combo</v>
      </c>
      <c r="K331" s="8" t="str" cm="1">
        <f t="array" ref="K331">IF((SUMPRODUCT(OrderLines[UnitPrice],OrderLines[Qty],--(OrderLines[OrderID]=Orders[[#This Row],[OrderID]]))-Orders[[#This Row],[Revenue]])&gt;40,"high disc","ok")</f>
        <v>high disc</v>
      </c>
      <c r="L331">
        <f>SUMIFS(OrderLines[Food Cost],OrderLines[OrderID],Orders[[#This Row],[OrderID]])</f>
        <v>332.54999999999995</v>
      </c>
      <c r="M331" s="8">
        <f>Orders[[#This Row],[Revenue]]-Orders[[#This Row],[total cost]]</f>
        <v>334.33040000000017</v>
      </c>
      <c r="N331" t="str" cm="1">
        <f t="array" ref="N331">_xlfn.TEXTJOIN("+",,_xlfn._xlws.SORT(_xlfn.UNIQUE(_xlfn._xlws.FILTER(OrderLines[Category],OrderLines[OrderID]=Orders[[#This Row],[OrderID]]))))</f>
        <v>Beverage+Hot Meal</v>
      </c>
    </row>
    <row r="332" spans="1:14" x14ac:dyDescent="0.3">
      <c r="A332" t="s">
        <v>368</v>
      </c>
      <c r="B332" s="1">
        <v>45864.097743055558</v>
      </c>
      <c r="C332" t="s">
        <v>27</v>
      </c>
      <c r="D332" t="s">
        <v>28</v>
      </c>
      <c r="E332" t="s">
        <v>11</v>
      </c>
      <c r="F332" t="s">
        <v>12</v>
      </c>
      <c r="G332">
        <v>0.12</v>
      </c>
      <c r="H332" s="8">
        <f>SUMIFS(OrderLines[LineNetAmount],OrderLines[OrderID],Orders[[#This Row],[OrderID]])</f>
        <v>404.07840000000004</v>
      </c>
      <c r="I332" t="str">
        <f>IF(COUNTIFS(OrderLines[OrderID],Orders[[#This Row],[OrderID]],OrderLines[Category],"Beverage"),"yes","no")</f>
        <v>no</v>
      </c>
      <c r="J332" t="str">
        <f>IF(AND(COUNTIFS(OrderLines[OrderID],Orders[[#This Row],[OrderID]],OrderLines[Category],"Hot Meal"),Orders[[#This Row],[has beverage]]="yes"),"combo","single")</f>
        <v>single</v>
      </c>
      <c r="K332" s="8" t="str" cm="1">
        <f t="array" ref="K332">IF((SUMPRODUCT(OrderLines[UnitPrice],OrderLines[Qty],--(OrderLines[OrderID]=Orders[[#This Row],[OrderID]]))-Orders[[#This Row],[Revenue]])&gt;40,"high disc","ok")</f>
        <v>high disc</v>
      </c>
      <c r="L332">
        <f>SUMIFS(OrderLines[Food Cost],OrderLines[OrderID],Orders[[#This Row],[OrderID]])</f>
        <v>211.34000000000003</v>
      </c>
      <c r="M332" s="8">
        <f>Orders[[#This Row],[Revenue]]-Orders[[#This Row],[total cost]]</f>
        <v>192.73840000000001</v>
      </c>
      <c r="N332" t="str" cm="1">
        <f t="array" ref="N332">_xlfn.TEXTJOIN("+",,_xlfn._xlws.SORT(_xlfn.UNIQUE(_xlfn._xlws.FILTER(OrderLines[Category],OrderLines[OrderID]=Orders[[#This Row],[OrderID]]))))</f>
        <v>Dessert+Hot Meal+Snack</v>
      </c>
    </row>
    <row r="333" spans="1:14" x14ac:dyDescent="0.3">
      <c r="A333" t="s">
        <v>369</v>
      </c>
      <c r="B333" s="1">
        <v>45880.343958333331</v>
      </c>
      <c r="C333" t="s">
        <v>27</v>
      </c>
      <c r="D333" t="s">
        <v>16</v>
      </c>
      <c r="E333" t="s">
        <v>17</v>
      </c>
      <c r="F333" t="s">
        <v>12</v>
      </c>
      <c r="G333">
        <v>0.1</v>
      </c>
      <c r="H333" s="8">
        <f>SUMIFS(OrderLines[LineNetAmount],OrderLines[OrderID],Orders[[#This Row],[OrderID]])</f>
        <v>197.39699999999999</v>
      </c>
      <c r="I333" t="str">
        <f>IF(COUNTIFS(OrderLines[OrderID],Orders[[#This Row],[OrderID]],OrderLines[Category],"Beverage"),"yes","no")</f>
        <v>yes</v>
      </c>
      <c r="J333" t="str">
        <f>IF(AND(COUNTIFS(OrderLines[OrderID],Orders[[#This Row],[OrderID]],OrderLines[Category],"Hot Meal"),Orders[[#This Row],[has beverage]]="yes"),"combo","single")</f>
        <v>single</v>
      </c>
      <c r="K333" s="8" t="str" cm="1">
        <f t="array" ref="K333">IF((SUMPRODUCT(OrderLines[UnitPrice],OrderLines[Qty],--(OrderLines[OrderID]=Orders[[#This Row],[OrderID]]))-Orders[[#This Row],[Revenue]])&gt;40,"high disc","ok")</f>
        <v>ok</v>
      </c>
      <c r="L333">
        <f>SUMIFS(OrderLines[Food Cost],OrderLines[OrderID],Orders[[#This Row],[OrderID]])</f>
        <v>99.13000000000001</v>
      </c>
      <c r="M333" s="8">
        <f>Orders[[#This Row],[Revenue]]-Orders[[#This Row],[total cost]]</f>
        <v>98.266999999999982</v>
      </c>
      <c r="N333" t="str" cm="1">
        <f t="array" ref="N333">_xlfn.TEXTJOIN("+",,_xlfn._xlws.SORT(_xlfn.UNIQUE(_xlfn._xlws.FILTER(OrderLines[Category],OrderLines[OrderID]=Orders[[#This Row],[OrderID]]))))</f>
        <v>Beverage+Dessert+Snack</v>
      </c>
    </row>
    <row r="334" spans="1:14" x14ac:dyDescent="0.3">
      <c r="A334" t="s">
        <v>370</v>
      </c>
      <c r="B334" s="1">
        <v>45851.080300925933</v>
      </c>
      <c r="C334" t="s">
        <v>27</v>
      </c>
      <c r="D334" t="s">
        <v>28</v>
      </c>
      <c r="E334" t="s">
        <v>21</v>
      </c>
      <c r="F334" t="s">
        <v>12</v>
      </c>
      <c r="G334">
        <v>0.15</v>
      </c>
      <c r="H334" s="8">
        <f>SUMIFS(OrderLines[LineNetAmount],OrderLines[OrderID],Orders[[#This Row],[OrderID]])</f>
        <v>147.2285</v>
      </c>
      <c r="I334" t="str">
        <f>IF(COUNTIFS(OrderLines[OrderID],Orders[[#This Row],[OrderID]],OrderLines[Category],"Beverage"),"yes","no")</f>
        <v>yes</v>
      </c>
      <c r="J334" t="str">
        <f>IF(AND(COUNTIFS(OrderLines[OrderID],Orders[[#This Row],[OrderID]],OrderLines[Category],"Hot Meal"),Orders[[#This Row],[has beverage]]="yes"),"combo","single")</f>
        <v>single</v>
      </c>
      <c r="K334" s="8" t="str" cm="1">
        <f t="array" ref="K334">IF((SUMPRODUCT(OrderLines[UnitPrice],OrderLines[Qty],--(OrderLines[OrderID]=Orders[[#This Row],[OrderID]]))-Orders[[#This Row],[Revenue]])&gt;40,"high disc","ok")</f>
        <v>ok</v>
      </c>
      <c r="L334">
        <f>SUMIFS(OrderLines[Food Cost],OrderLines[OrderID],Orders[[#This Row],[OrderID]])</f>
        <v>84.46</v>
      </c>
      <c r="M334" s="8">
        <f>Orders[[#This Row],[Revenue]]-Orders[[#This Row],[total cost]]</f>
        <v>62.768500000000003</v>
      </c>
      <c r="N334" t="str" cm="1">
        <f t="array" ref="N334">_xlfn.TEXTJOIN("+",,_xlfn._xlws.SORT(_xlfn.UNIQUE(_xlfn._xlws.FILTER(OrderLines[Category],OrderLines[OrderID]=Orders[[#This Row],[OrderID]]))))</f>
        <v>Beverage+Dessert</v>
      </c>
    </row>
    <row r="335" spans="1:14" x14ac:dyDescent="0.3">
      <c r="A335" t="s">
        <v>371</v>
      </c>
      <c r="B335" s="1">
        <v>45845.347962962973</v>
      </c>
      <c r="C335" t="s">
        <v>27</v>
      </c>
      <c r="D335" t="s">
        <v>16</v>
      </c>
      <c r="E335" t="s">
        <v>11</v>
      </c>
      <c r="F335" t="s">
        <v>12</v>
      </c>
      <c r="G335">
        <v>0.03</v>
      </c>
      <c r="H335" s="8">
        <f>SUMIFS(OrderLines[LineNetAmount],OrderLines[OrderID],Orders[[#This Row],[OrderID]])</f>
        <v>655.48719999999992</v>
      </c>
      <c r="I335" t="str">
        <f>IF(COUNTIFS(OrderLines[OrderID],Orders[[#This Row],[OrderID]],OrderLines[Category],"Beverage"),"yes","no")</f>
        <v>yes</v>
      </c>
      <c r="J335" t="str">
        <f>IF(AND(COUNTIFS(OrderLines[OrderID],Orders[[#This Row],[OrderID]],OrderLines[Category],"Hot Meal"),Orders[[#This Row],[has beverage]]="yes"),"combo","single")</f>
        <v>combo</v>
      </c>
      <c r="K335" s="8" t="str" cm="1">
        <f t="array" ref="K335">IF((SUMPRODUCT(OrderLines[UnitPrice],OrderLines[Qty],--(OrderLines[OrderID]=Orders[[#This Row],[OrderID]]))-Orders[[#This Row],[Revenue]])&gt;40,"high disc","ok")</f>
        <v>ok</v>
      </c>
      <c r="L335">
        <f>SUMIFS(OrderLines[Food Cost],OrderLines[OrderID],Orders[[#This Row],[OrderID]])</f>
        <v>283.29000000000002</v>
      </c>
      <c r="M335" s="8">
        <f>Orders[[#This Row],[Revenue]]-Orders[[#This Row],[total cost]]</f>
        <v>372.1971999999999</v>
      </c>
      <c r="N335" t="str" cm="1">
        <f t="array" ref="N335">_xlfn.TEXTJOIN("+",,_xlfn._xlws.SORT(_xlfn.UNIQUE(_xlfn._xlws.FILTER(OrderLines[Category],OrderLines[OrderID]=Orders[[#This Row],[OrderID]]))))</f>
        <v>Beverage+Dessert+Hot Meal+Snack</v>
      </c>
    </row>
    <row r="336" spans="1:14" x14ac:dyDescent="0.3">
      <c r="A336" t="s">
        <v>372</v>
      </c>
      <c r="B336" s="1">
        <v>45840.845706018517</v>
      </c>
      <c r="C336" t="s">
        <v>9</v>
      </c>
      <c r="D336" t="s">
        <v>10</v>
      </c>
      <c r="E336" t="s">
        <v>11</v>
      </c>
      <c r="F336" t="s">
        <v>18</v>
      </c>
      <c r="G336">
        <v>0.09</v>
      </c>
      <c r="H336" s="8">
        <f>SUMIFS(OrderLines[LineNetAmount],OrderLines[OrderID],Orders[[#This Row],[OrderID]])</f>
        <v>656.71060000000011</v>
      </c>
      <c r="I336" t="str">
        <f>IF(COUNTIFS(OrderLines[OrderID],Orders[[#This Row],[OrderID]],OrderLines[Category],"Beverage"),"yes","no")</f>
        <v>no</v>
      </c>
      <c r="J336" t="str">
        <f>IF(AND(COUNTIFS(OrderLines[OrderID],Orders[[#This Row],[OrderID]],OrderLines[Category],"Hot Meal"),Orders[[#This Row],[has beverage]]="yes"),"combo","single")</f>
        <v>single</v>
      </c>
      <c r="K336" s="8" t="str" cm="1">
        <f t="array" ref="K336">IF((SUMPRODUCT(OrderLines[UnitPrice],OrderLines[Qty],--(OrderLines[OrderID]=Orders[[#This Row],[OrderID]]))-Orders[[#This Row],[Revenue]])&gt;40,"high disc","ok")</f>
        <v>high disc</v>
      </c>
      <c r="L336">
        <f>SUMIFS(OrderLines[Food Cost],OrderLines[OrderID],Orders[[#This Row],[OrderID]])</f>
        <v>327</v>
      </c>
      <c r="M336" s="8">
        <f>Orders[[#This Row],[Revenue]]-Orders[[#This Row],[total cost]]</f>
        <v>329.71060000000011</v>
      </c>
      <c r="N336" t="str" cm="1">
        <f t="array" ref="N336">_xlfn.TEXTJOIN("+",,_xlfn._xlws.SORT(_xlfn.UNIQUE(_xlfn._xlws.FILTER(OrderLines[Category],OrderLines[OrderID]=Orders[[#This Row],[OrderID]]))))</f>
        <v>Dessert+Hot Meal</v>
      </c>
    </row>
    <row r="337" spans="1:14" x14ac:dyDescent="0.3">
      <c r="A337" t="s">
        <v>373</v>
      </c>
      <c r="B337" s="1">
        <v>45853.189918981479</v>
      </c>
      <c r="C337" t="s">
        <v>15</v>
      </c>
      <c r="D337" t="s">
        <v>16</v>
      </c>
      <c r="E337" t="s">
        <v>17</v>
      </c>
      <c r="F337" t="s">
        <v>12</v>
      </c>
      <c r="G337">
        <v>7.0000000000000007E-2</v>
      </c>
      <c r="H337" s="8">
        <f>SUMIFS(OrderLines[LineNetAmount],OrderLines[OrderID],Orders[[#This Row],[OrderID]])</f>
        <v>199.50360000000001</v>
      </c>
      <c r="I337" t="str">
        <f>IF(COUNTIFS(OrderLines[OrderID],Orders[[#This Row],[OrderID]],OrderLines[Category],"Beverage"),"yes","no")</f>
        <v>no</v>
      </c>
      <c r="J337" t="str">
        <f>IF(AND(COUNTIFS(OrderLines[OrderID],Orders[[#This Row],[OrderID]],OrderLines[Category],"Hot Meal"),Orders[[#This Row],[has beverage]]="yes"),"combo","single")</f>
        <v>single</v>
      </c>
      <c r="K337" s="8" t="str" cm="1">
        <f t="array" ref="K337">IF((SUMPRODUCT(OrderLines[UnitPrice],OrderLines[Qty],--(OrderLines[OrderID]=Orders[[#This Row],[OrderID]]))-Orders[[#This Row],[Revenue]])&gt;40,"high disc","ok")</f>
        <v>ok</v>
      </c>
      <c r="L337">
        <f>SUMIFS(OrderLines[Food Cost],OrderLines[OrderID],Orders[[#This Row],[OrderID]])</f>
        <v>103.5</v>
      </c>
      <c r="M337" s="8">
        <f>Orders[[#This Row],[Revenue]]-Orders[[#This Row],[total cost]]</f>
        <v>96.003600000000006</v>
      </c>
      <c r="N337" t="str" cm="1">
        <f t="array" ref="N337">_xlfn.TEXTJOIN("+",,_xlfn._xlws.SORT(_xlfn.UNIQUE(_xlfn._xlws.FILTER(OrderLines[Category],OrderLines[OrderID]=Orders[[#This Row],[OrderID]]))))</f>
        <v>Dessert+Snack</v>
      </c>
    </row>
    <row r="338" spans="1:14" x14ac:dyDescent="0.3">
      <c r="A338" t="s">
        <v>374</v>
      </c>
      <c r="B338" s="1">
        <v>45862.606469907398</v>
      </c>
      <c r="C338" t="s">
        <v>9</v>
      </c>
      <c r="D338" t="s">
        <v>16</v>
      </c>
      <c r="E338" t="s">
        <v>17</v>
      </c>
      <c r="F338" t="s">
        <v>22</v>
      </c>
      <c r="G338">
        <v>0.15</v>
      </c>
      <c r="H338" s="8">
        <f>SUMIFS(OrderLines[LineNetAmount],OrderLines[OrderID],Orders[[#This Row],[OrderID]])</f>
        <v>124.44</v>
      </c>
      <c r="I338" t="str">
        <f>IF(COUNTIFS(OrderLines[OrderID],Orders[[#This Row],[OrderID]],OrderLines[Category],"Beverage"),"yes","no")</f>
        <v>no</v>
      </c>
      <c r="J338" t="str">
        <f>IF(AND(COUNTIFS(OrderLines[OrderID],Orders[[#This Row],[OrderID]],OrderLines[Category],"Hot Meal"),Orders[[#This Row],[has beverage]]="yes"),"combo","single")</f>
        <v>single</v>
      </c>
      <c r="K338" s="8" t="str" cm="1">
        <f t="array" ref="K338">IF((SUMPRODUCT(OrderLines[UnitPrice],OrderLines[Qty],--(OrderLines[OrderID]=Orders[[#This Row],[OrderID]]))-Orders[[#This Row],[Revenue]])&gt;40,"high disc","ok")</f>
        <v>ok</v>
      </c>
      <c r="L338">
        <f>SUMIFS(OrderLines[Food Cost],OrderLines[OrderID],Orders[[#This Row],[OrderID]])</f>
        <v>80.92</v>
      </c>
      <c r="M338" s="8">
        <f>Orders[[#This Row],[Revenue]]-Orders[[#This Row],[total cost]]</f>
        <v>43.519999999999996</v>
      </c>
      <c r="N338" t="str" cm="1">
        <f t="array" ref="N338">_xlfn.TEXTJOIN("+",,_xlfn._xlws.SORT(_xlfn.UNIQUE(_xlfn._xlws.FILTER(OrderLines[Category],OrderLines[OrderID]=Orders[[#This Row],[OrderID]]))))</f>
        <v>Hot Meal</v>
      </c>
    </row>
    <row r="339" spans="1:14" x14ac:dyDescent="0.3">
      <c r="A339" t="s">
        <v>375</v>
      </c>
      <c r="B339" s="1">
        <v>45890.075300925928</v>
      </c>
      <c r="C339" t="s">
        <v>15</v>
      </c>
      <c r="D339" t="s">
        <v>28</v>
      </c>
      <c r="E339" t="s">
        <v>11</v>
      </c>
      <c r="F339" t="s">
        <v>12</v>
      </c>
      <c r="G339">
        <v>0.03</v>
      </c>
      <c r="H339" s="8">
        <f>SUMIFS(OrderLines[LineNetAmount],OrderLines[OrderID],Orders[[#This Row],[OrderID]])</f>
        <v>152.9787</v>
      </c>
      <c r="I339" t="str">
        <f>IF(COUNTIFS(OrderLines[OrderID],Orders[[#This Row],[OrderID]],OrderLines[Category],"Beverage"),"yes","no")</f>
        <v>yes</v>
      </c>
      <c r="J339" t="str">
        <f>IF(AND(COUNTIFS(OrderLines[OrderID],Orders[[#This Row],[OrderID]],OrderLines[Category],"Hot Meal"),Orders[[#This Row],[has beverage]]="yes"),"combo","single")</f>
        <v>single</v>
      </c>
      <c r="K339" s="8" t="str" cm="1">
        <f t="array" ref="K339">IF((SUMPRODUCT(OrderLines[UnitPrice],OrderLines[Qty],--(OrderLines[OrderID]=Orders[[#This Row],[OrderID]]))-Orders[[#This Row],[Revenue]])&gt;40,"high disc","ok")</f>
        <v>ok</v>
      </c>
      <c r="L339">
        <f>SUMIFS(OrderLines[Food Cost],OrderLines[OrderID],Orders[[#This Row],[OrderID]])</f>
        <v>63.589999999999996</v>
      </c>
      <c r="M339" s="8">
        <f>Orders[[#This Row],[Revenue]]-Orders[[#This Row],[total cost]]</f>
        <v>89.3887</v>
      </c>
      <c r="N339" t="str" cm="1">
        <f t="array" ref="N339">_xlfn.TEXTJOIN("+",,_xlfn._xlws.SORT(_xlfn.UNIQUE(_xlfn._xlws.FILTER(OrderLines[Category],OrderLines[OrderID]=Orders[[#This Row],[OrderID]]))))</f>
        <v>Beverage</v>
      </c>
    </row>
    <row r="340" spans="1:14" x14ac:dyDescent="0.3">
      <c r="A340" t="s">
        <v>376</v>
      </c>
      <c r="B340" s="1">
        <v>45888.506631944438</v>
      </c>
      <c r="C340" t="s">
        <v>9</v>
      </c>
      <c r="D340" t="s">
        <v>10</v>
      </c>
      <c r="E340" t="s">
        <v>17</v>
      </c>
      <c r="F340" t="s">
        <v>22</v>
      </c>
      <c r="G340">
        <v>0.03</v>
      </c>
      <c r="H340" s="8">
        <f>SUMIFS(OrderLines[LineNetAmount],OrderLines[OrderID],Orders[[#This Row],[OrderID]])</f>
        <v>392.66570000000002</v>
      </c>
      <c r="I340" t="str">
        <f>IF(COUNTIFS(OrderLines[OrderID],Orders[[#This Row],[OrderID]],OrderLines[Category],"Beverage"),"yes","no")</f>
        <v>no</v>
      </c>
      <c r="J340" t="str">
        <f>IF(AND(COUNTIFS(OrderLines[OrderID],Orders[[#This Row],[OrderID]],OrderLines[Category],"Hot Meal"),Orders[[#This Row],[has beverage]]="yes"),"combo","single")</f>
        <v>single</v>
      </c>
      <c r="K340" s="8" t="str" cm="1">
        <f t="array" ref="K340">IF((SUMPRODUCT(OrderLines[UnitPrice],OrderLines[Qty],--(OrderLines[OrderID]=Orders[[#This Row],[OrderID]]))-Orders[[#This Row],[Revenue]])&gt;40,"high disc","ok")</f>
        <v>ok</v>
      </c>
      <c r="L340">
        <f>SUMIFS(OrderLines[Food Cost],OrderLines[OrderID],Orders[[#This Row],[OrderID]])</f>
        <v>185.36</v>
      </c>
      <c r="M340" s="8">
        <f>Orders[[#This Row],[Revenue]]-Orders[[#This Row],[total cost]]</f>
        <v>207.3057</v>
      </c>
      <c r="N340" t="str" cm="1">
        <f t="array" ref="N340">_xlfn.TEXTJOIN("+",,_xlfn._xlws.SORT(_xlfn.UNIQUE(_xlfn._xlws.FILTER(OrderLines[Category],OrderLines[OrderID]=Orders[[#This Row],[OrderID]]))))</f>
        <v>Dessert</v>
      </c>
    </row>
    <row r="341" spans="1:14" x14ac:dyDescent="0.3">
      <c r="A341" t="s">
        <v>377</v>
      </c>
      <c r="B341" s="1">
        <v>45884.895578703698</v>
      </c>
      <c r="C341" t="s">
        <v>27</v>
      </c>
      <c r="D341" t="s">
        <v>10</v>
      </c>
      <c r="E341" t="s">
        <v>21</v>
      </c>
      <c r="F341" t="s">
        <v>18</v>
      </c>
      <c r="G341">
        <v>0.04</v>
      </c>
      <c r="H341" s="8">
        <f>SUMIFS(OrderLines[LineNetAmount],OrderLines[OrderID],Orders[[#This Row],[OrderID]])</f>
        <v>263.87520000000001</v>
      </c>
      <c r="I341" t="str">
        <f>IF(COUNTIFS(OrderLines[OrderID],Orders[[#This Row],[OrderID]],OrderLines[Category],"Beverage"),"yes","no")</f>
        <v>yes</v>
      </c>
      <c r="J341" t="str">
        <f>IF(AND(COUNTIFS(OrderLines[OrderID],Orders[[#This Row],[OrderID]],OrderLines[Category],"Hot Meal"),Orders[[#This Row],[has beverage]]="yes"),"combo","single")</f>
        <v>single</v>
      </c>
      <c r="K341" s="8" t="str" cm="1">
        <f t="array" ref="K341">IF((SUMPRODUCT(OrderLines[UnitPrice],OrderLines[Qty],--(OrderLines[OrderID]=Orders[[#This Row],[OrderID]]))-Orders[[#This Row],[Revenue]])&gt;40,"high disc","ok")</f>
        <v>ok</v>
      </c>
      <c r="L341">
        <f>SUMIFS(OrderLines[Food Cost],OrderLines[OrderID],Orders[[#This Row],[OrderID]])</f>
        <v>125.37</v>
      </c>
      <c r="M341" s="8">
        <f>Orders[[#This Row],[Revenue]]-Orders[[#This Row],[total cost]]</f>
        <v>138.5052</v>
      </c>
      <c r="N341" t="str" cm="1">
        <f t="array" ref="N341">_xlfn.TEXTJOIN("+",,_xlfn._xlws.SORT(_xlfn.UNIQUE(_xlfn._xlws.FILTER(OrderLines[Category],OrderLines[OrderID]=Orders[[#This Row],[OrderID]]))))</f>
        <v>Beverage+Dessert+Snack</v>
      </c>
    </row>
    <row r="342" spans="1:14" x14ac:dyDescent="0.3">
      <c r="A342" t="s">
        <v>378</v>
      </c>
      <c r="B342" s="1">
        <v>45863.87699074074</v>
      </c>
      <c r="C342" t="s">
        <v>9</v>
      </c>
      <c r="D342" t="s">
        <v>28</v>
      </c>
      <c r="E342" t="s">
        <v>21</v>
      </c>
      <c r="F342" t="s">
        <v>18</v>
      </c>
      <c r="G342">
        <v>0</v>
      </c>
      <c r="H342" s="8">
        <f>SUMIFS(OrderLines[LineNetAmount],OrderLines[OrderID],Orders[[#This Row],[OrderID]])</f>
        <v>416</v>
      </c>
      <c r="I342" t="str">
        <f>IF(COUNTIFS(OrderLines[OrderID],Orders[[#This Row],[OrderID]],OrderLines[Category],"Beverage"),"yes","no")</f>
        <v>no</v>
      </c>
      <c r="J342" t="str">
        <f>IF(AND(COUNTIFS(OrderLines[OrderID],Orders[[#This Row],[OrderID]],OrderLines[Category],"Hot Meal"),Orders[[#This Row],[has beverage]]="yes"),"combo","single")</f>
        <v>single</v>
      </c>
      <c r="K342" s="8" t="str" cm="1">
        <f t="array" ref="K342">IF((SUMPRODUCT(OrderLines[UnitPrice],OrderLines[Qty],--(OrderLines[OrderID]=Orders[[#This Row],[OrderID]]))-Orders[[#This Row],[Revenue]])&gt;40,"high disc","ok")</f>
        <v>ok</v>
      </c>
      <c r="L342">
        <f>SUMIFS(OrderLines[Food Cost],OrderLines[OrderID],Orders[[#This Row],[OrderID]])</f>
        <v>211.12</v>
      </c>
      <c r="M342" s="8">
        <f>Orders[[#This Row],[Revenue]]-Orders[[#This Row],[total cost]]</f>
        <v>204.88</v>
      </c>
      <c r="N342" t="str" cm="1">
        <f t="array" ref="N342">_xlfn.TEXTJOIN("+",,_xlfn._xlws.SORT(_xlfn.UNIQUE(_xlfn._xlws.FILTER(OrderLines[Category],OrderLines[OrderID]=Orders[[#This Row],[OrderID]]))))</f>
        <v>Dessert+Hot Meal+Snack</v>
      </c>
    </row>
    <row r="343" spans="1:14" x14ac:dyDescent="0.3">
      <c r="A343" t="s">
        <v>379</v>
      </c>
      <c r="B343" s="1">
        <v>45872.726990740739</v>
      </c>
      <c r="C343" t="s">
        <v>27</v>
      </c>
      <c r="D343" t="s">
        <v>10</v>
      </c>
      <c r="E343" t="s">
        <v>11</v>
      </c>
      <c r="F343" t="s">
        <v>18</v>
      </c>
      <c r="G343">
        <v>0.04</v>
      </c>
      <c r="H343" s="8">
        <f>SUMIFS(OrderLines[LineNetAmount],OrderLines[OrderID],Orders[[#This Row],[OrderID]])</f>
        <v>104.9376</v>
      </c>
      <c r="I343" t="str">
        <f>IF(COUNTIFS(OrderLines[OrderID],Orders[[#This Row],[OrderID]],OrderLines[Category],"Beverage"),"yes","no")</f>
        <v>yes</v>
      </c>
      <c r="J343" t="str">
        <f>IF(AND(COUNTIFS(OrderLines[OrderID],Orders[[#This Row],[OrderID]],OrderLines[Category],"Hot Meal"),Orders[[#This Row],[has beverage]]="yes"),"combo","single")</f>
        <v>single</v>
      </c>
      <c r="K343" s="8" t="str" cm="1">
        <f t="array" ref="K343">IF((SUMPRODUCT(OrderLines[UnitPrice],OrderLines[Qty],--(OrderLines[OrderID]=Orders[[#This Row],[OrderID]]))-Orders[[#This Row],[Revenue]])&gt;40,"high disc","ok")</f>
        <v>ok</v>
      </c>
      <c r="L343">
        <f>SUMIFS(OrderLines[Food Cost],OrderLines[OrderID],Orders[[#This Row],[OrderID]])</f>
        <v>53.58</v>
      </c>
      <c r="M343" s="8">
        <f>Orders[[#This Row],[Revenue]]-Orders[[#This Row],[total cost]]</f>
        <v>51.357600000000005</v>
      </c>
      <c r="N343" t="str" cm="1">
        <f t="array" ref="N343">_xlfn.TEXTJOIN("+",,_xlfn._xlws.SORT(_xlfn.UNIQUE(_xlfn._xlws.FILTER(OrderLines[Category],OrderLines[OrderID]=Orders[[#This Row],[OrderID]]))))</f>
        <v>Beverage+Snack</v>
      </c>
    </row>
    <row r="344" spans="1:14" x14ac:dyDescent="0.3">
      <c r="A344" t="s">
        <v>380</v>
      </c>
      <c r="B344" s="1">
        <v>45895.747199074067</v>
      </c>
      <c r="C344" t="s">
        <v>9</v>
      </c>
      <c r="D344" t="s">
        <v>16</v>
      </c>
      <c r="E344" t="s">
        <v>17</v>
      </c>
      <c r="F344" t="s">
        <v>18</v>
      </c>
      <c r="G344">
        <v>0.03</v>
      </c>
      <c r="H344" s="8">
        <f>SUMIFS(OrderLines[LineNetAmount],OrderLines[OrderID],Orders[[#This Row],[OrderID]])</f>
        <v>105.148</v>
      </c>
      <c r="I344" t="str">
        <f>IF(COUNTIFS(OrderLines[OrderID],Orders[[#This Row],[OrderID]],OrderLines[Category],"Beverage"),"yes","no")</f>
        <v>no</v>
      </c>
      <c r="J344" t="str">
        <f>IF(AND(COUNTIFS(OrderLines[OrderID],Orders[[#This Row],[OrderID]],OrderLines[Category],"Hot Meal"),Orders[[#This Row],[has beverage]]="yes"),"combo","single")</f>
        <v>single</v>
      </c>
      <c r="K344" s="8" t="str" cm="1">
        <f t="array" ref="K344">IF((SUMPRODUCT(OrderLines[UnitPrice],OrderLines[Qty],--(OrderLines[OrderID]=Orders[[#This Row],[OrderID]]))-Orders[[#This Row],[Revenue]])&gt;40,"high disc","ok")</f>
        <v>ok</v>
      </c>
      <c r="L344">
        <f>SUMIFS(OrderLines[Food Cost],OrderLines[OrderID],Orders[[#This Row],[OrderID]])</f>
        <v>43.9</v>
      </c>
      <c r="M344" s="8">
        <f>Orders[[#This Row],[Revenue]]-Orders[[#This Row],[total cost]]</f>
        <v>61.247999999999998</v>
      </c>
      <c r="N344" t="str" cm="1">
        <f t="array" ref="N344">_xlfn.TEXTJOIN("+",,_xlfn._xlws.SORT(_xlfn.UNIQUE(_xlfn._xlws.FILTER(OrderLines[Category],OrderLines[OrderID]=Orders[[#This Row],[OrderID]]))))</f>
        <v>Dessert</v>
      </c>
    </row>
    <row r="345" spans="1:14" x14ac:dyDescent="0.3">
      <c r="A345" t="s">
        <v>381</v>
      </c>
      <c r="B345" s="1">
        <v>45873.454837962963</v>
      </c>
      <c r="C345" t="s">
        <v>9</v>
      </c>
      <c r="D345" t="s">
        <v>16</v>
      </c>
      <c r="E345" t="s">
        <v>11</v>
      </c>
      <c r="F345" t="s">
        <v>12</v>
      </c>
      <c r="G345">
        <v>7.0000000000000007E-2</v>
      </c>
      <c r="H345" s="8">
        <f>SUMIFS(OrderLines[LineNetAmount],OrderLines[OrderID],Orders[[#This Row],[OrderID]])</f>
        <v>214.55099999999999</v>
      </c>
      <c r="I345" t="str">
        <f>IF(COUNTIFS(OrderLines[OrderID],Orders[[#This Row],[OrderID]],OrderLines[Category],"Beverage"),"yes","no")</f>
        <v>no</v>
      </c>
      <c r="J345" t="str">
        <f>IF(AND(COUNTIFS(OrderLines[OrderID],Orders[[#This Row],[OrderID]],OrderLines[Category],"Hot Meal"),Orders[[#This Row],[has beverage]]="yes"),"combo","single")</f>
        <v>single</v>
      </c>
      <c r="K345" s="8" t="str" cm="1">
        <f t="array" ref="K345">IF((SUMPRODUCT(OrderLines[UnitPrice],OrderLines[Qty],--(OrderLines[OrderID]=Orders[[#This Row],[OrderID]]))-Orders[[#This Row],[Revenue]])&gt;40,"high disc","ok")</f>
        <v>ok</v>
      </c>
      <c r="L345">
        <f>SUMIFS(OrderLines[Food Cost],OrderLines[OrderID],Orders[[#This Row],[OrderID]])</f>
        <v>106.27</v>
      </c>
      <c r="M345" s="8">
        <f>Orders[[#This Row],[Revenue]]-Orders[[#This Row],[total cost]]</f>
        <v>108.28099999999999</v>
      </c>
      <c r="N345" t="str" cm="1">
        <f t="array" ref="N345">_xlfn.TEXTJOIN("+",,_xlfn._xlws.SORT(_xlfn.UNIQUE(_xlfn._xlws.FILTER(OrderLines[Category],OrderLines[OrderID]=Orders[[#This Row],[OrderID]]))))</f>
        <v>Dessert+Snack</v>
      </c>
    </row>
    <row r="346" spans="1:14" x14ac:dyDescent="0.3">
      <c r="A346" t="s">
        <v>382</v>
      </c>
      <c r="B346" s="1">
        <v>45884.360405092593</v>
      </c>
      <c r="C346" t="s">
        <v>9</v>
      </c>
      <c r="D346" t="s">
        <v>16</v>
      </c>
      <c r="E346" t="s">
        <v>11</v>
      </c>
      <c r="F346" t="s">
        <v>12</v>
      </c>
      <c r="G346">
        <v>7.0000000000000007E-2</v>
      </c>
      <c r="H346" s="8">
        <f>SUMIFS(OrderLines[LineNetAmount],OrderLines[OrderID],Orders[[#This Row],[OrderID]])</f>
        <v>595.21860000000004</v>
      </c>
      <c r="I346" t="str">
        <f>IF(COUNTIFS(OrderLines[OrderID],Orders[[#This Row],[OrderID]],OrderLines[Category],"Beverage"),"yes","no")</f>
        <v>yes</v>
      </c>
      <c r="J346" t="str">
        <f>IF(AND(COUNTIFS(OrderLines[OrderID],Orders[[#This Row],[OrderID]],OrderLines[Category],"Hot Meal"),Orders[[#This Row],[has beverage]]="yes"),"combo","single")</f>
        <v>combo</v>
      </c>
      <c r="K346" s="8" t="str" cm="1">
        <f t="array" ref="K346">IF((SUMPRODUCT(OrderLines[UnitPrice],OrderLines[Qty],--(OrderLines[OrderID]=Orders[[#This Row],[OrderID]]))-Orders[[#This Row],[Revenue]])&gt;40,"high disc","ok")</f>
        <v>high disc</v>
      </c>
      <c r="L346">
        <f>SUMIFS(OrderLines[Food Cost],OrderLines[OrderID],Orders[[#This Row],[OrderID]])</f>
        <v>267.66999999999996</v>
      </c>
      <c r="M346" s="8">
        <f>Orders[[#This Row],[Revenue]]-Orders[[#This Row],[total cost]]</f>
        <v>327.54860000000008</v>
      </c>
      <c r="N346" t="str" cm="1">
        <f t="array" ref="N346">_xlfn.TEXTJOIN("+",,_xlfn._xlws.SORT(_xlfn.UNIQUE(_xlfn._xlws.FILTER(OrderLines[Category],OrderLines[OrderID]=Orders[[#This Row],[OrderID]]))))</f>
        <v>Beverage+Dessert+Hot Meal</v>
      </c>
    </row>
    <row r="347" spans="1:14" x14ac:dyDescent="0.3">
      <c r="A347" t="s">
        <v>383</v>
      </c>
      <c r="B347" s="1">
        <v>45852.342881944453</v>
      </c>
      <c r="C347" t="s">
        <v>27</v>
      </c>
      <c r="D347" t="s">
        <v>10</v>
      </c>
      <c r="E347" t="s">
        <v>21</v>
      </c>
      <c r="F347" t="s">
        <v>12</v>
      </c>
      <c r="G347">
        <v>0.14000000000000001</v>
      </c>
      <c r="H347" s="8">
        <f>SUMIFS(OrderLines[LineNetAmount],OrderLines[OrderID],Orders[[#This Row],[OrderID]])</f>
        <v>66.194199999999995</v>
      </c>
      <c r="I347" t="str">
        <f>IF(COUNTIFS(OrderLines[OrderID],Orders[[#This Row],[OrderID]],OrderLines[Category],"Beverage"),"yes","no")</f>
        <v>yes</v>
      </c>
      <c r="J347" t="str">
        <f>IF(AND(COUNTIFS(OrderLines[OrderID],Orders[[#This Row],[OrderID]],OrderLines[Category],"Hot Meal"),Orders[[#This Row],[has beverage]]="yes"),"combo","single")</f>
        <v>single</v>
      </c>
      <c r="K347" s="8" t="str" cm="1">
        <f t="array" ref="K347">IF((SUMPRODUCT(OrderLines[UnitPrice],OrderLines[Qty],--(OrderLines[OrderID]=Orders[[#This Row],[OrderID]]))-Orders[[#This Row],[Revenue]])&gt;40,"high disc","ok")</f>
        <v>ok</v>
      </c>
      <c r="L347">
        <f>SUMIFS(OrderLines[Food Cost],OrderLines[OrderID],Orders[[#This Row],[OrderID]])</f>
        <v>35.78</v>
      </c>
      <c r="M347" s="8">
        <f>Orders[[#This Row],[Revenue]]-Orders[[#This Row],[total cost]]</f>
        <v>30.414199999999994</v>
      </c>
      <c r="N347" t="str" cm="1">
        <f t="array" ref="N347">_xlfn.TEXTJOIN("+",,_xlfn._xlws.SORT(_xlfn.UNIQUE(_xlfn._xlws.FILTER(OrderLines[Category],OrderLines[OrderID]=Orders[[#This Row],[OrderID]]))))</f>
        <v>Beverage</v>
      </c>
    </row>
    <row r="348" spans="1:14" x14ac:dyDescent="0.3">
      <c r="A348" t="s">
        <v>384</v>
      </c>
      <c r="B348" s="1">
        <v>45867.740439814806</v>
      </c>
      <c r="C348" t="s">
        <v>27</v>
      </c>
      <c r="D348" t="s">
        <v>28</v>
      </c>
      <c r="E348" t="s">
        <v>17</v>
      </c>
      <c r="F348" t="s">
        <v>18</v>
      </c>
      <c r="G348">
        <v>0.1</v>
      </c>
      <c r="H348" s="8">
        <f>SUMIFS(OrderLines[LineNetAmount],OrderLines[OrderID],Orders[[#This Row],[OrderID]])</f>
        <v>494.73900000000003</v>
      </c>
      <c r="I348" t="str">
        <f>IF(COUNTIFS(OrderLines[OrderID],Orders[[#This Row],[OrderID]],OrderLines[Category],"Beverage"),"yes","no")</f>
        <v>no</v>
      </c>
      <c r="J348" t="str">
        <f>IF(AND(COUNTIFS(OrderLines[OrderID],Orders[[#This Row],[OrderID]],OrderLines[Category],"Hot Meal"),Orders[[#This Row],[has beverage]]="yes"),"combo","single")</f>
        <v>single</v>
      </c>
      <c r="K348" s="8" t="str" cm="1">
        <f t="array" ref="K348">IF((SUMPRODUCT(OrderLines[UnitPrice],OrderLines[Qty],--(OrderLines[OrderID]=Orders[[#This Row],[OrderID]]))-Orders[[#This Row],[Revenue]])&gt;40,"high disc","ok")</f>
        <v>high disc</v>
      </c>
      <c r="L348">
        <f>SUMIFS(OrderLines[Food Cost],OrderLines[OrderID],Orders[[#This Row],[OrderID]])</f>
        <v>283.08</v>
      </c>
      <c r="M348" s="8">
        <f>Orders[[#This Row],[Revenue]]-Orders[[#This Row],[total cost]]</f>
        <v>211.65900000000005</v>
      </c>
      <c r="N348" t="str" cm="1">
        <f t="array" ref="N348">_xlfn.TEXTJOIN("+",,_xlfn._xlws.SORT(_xlfn.UNIQUE(_xlfn._xlws.FILTER(OrderLines[Category],OrderLines[OrderID]=Orders[[#This Row],[OrderID]]))))</f>
        <v>Hot Meal</v>
      </c>
    </row>
    <row r="349" spans="1:14" x14ac:dyDescent="0.3">
      <c r="A349" t="s">
        <v>385</v>
      </c>
      <c r="B349" s="1">
        <v>45869.89130787037</v>
      </c>
      <c r="C349" t="s">
        <v>15</v>
      </c>
      <c r="D349" t="s">
        <v>10</v>
      </c>
      <c r="E349" t="s">
        <v>21</v>
      </c>
      <c r="F349" t="s">
        <v>18</v>
      </c>
      <c r="G349">
        <v>0.04</v>
      </c>
      <c r="H349" s="8">
        <f>SUMIFS(OrderLines[LineNetAmount],OrderLines[OrderID],Orders[[#This Row],[OrderID]])</f>
        <v>1245.1872000000001</v>
      </c>
      <c r="I349" t="str">
        <f>IF(COUNTIFS(OrderLines[OrderID],Orders[[#This Row],[OrderID]],OrderLines[Category],"Beverage"),"yes","no")</f>
        <v>no</v>
      </c>
      <c r="J349" t="str">
        <f>IF(AND(COUNTIFS(OrderLines[OrderID],Orders[[#This Row],[OrderID]],OrderLines[Category],"Hot Meal"),Orders[[#This Row],[has beverage]]="yes"),"combo","single")</f>
        <v>single</v>
      </c>
      <c r="K349" s="8" t="str" cm="1">
        <f t="array" ref="K349">IF((SUMPRODUCT(OrderLines[UnitPrice],OrderLines[Qty],--(OrderLines[OrderID]=Orders[[#This Row],[OrderID]]))-Orders[[#This Row],[Revenue]])&gt;40,"high disc","ok")</f>
        <v>high disc</v>
      </c>
      <c r="L349">
        <f>SUMIFS(OrderLines[Food Cost],OrderLines[OrderID],Orders[[#This Row],[OrderID]])</f>
        <v>605.94999999999993</v>
      </c>
      <c r="M349" s="8">
        <f>Orders[[#This Row],[Revenue]]-Orders[[#This Row],[total cost]]</f>
        <v>639.23720000000014</v>
      </c>
      <c r="N349" t="str" cm="1">
        <f t="array" ref="N349">_xlfn.TEXTJOIN("+",,_xlfn._xlws.SORT(_xlfn.UNIQUE(_xlfn._xlws.FILTER(OrderLines[Category],OrderLines[OrderID]=Orders[[#This Row],[OrderID]]))))</f>
        <v>Dessert+Hot Meal+Snack</v>
      </c>
    </row>
    <row r="350" spans="1:14" x14ac:dyDescent="0.3">
      <c r="A350" t="s">
        <v>386</v>
      </c>
      <c r="B350" s="1">
        <v>45885.212557870371</v>
      </c>
      <c r="C350" t="s">
        <v>15</v>
      </c>
      <c r="D350" t="s">
        <v>28</v>
      </c>
      <c r="E350" t="s">
        <v>11</v>
      </c>
      <c r="F350" t="s">
        <v>12</v>
      </c>
      <c r="G350">
        <v>0.02</v>
      </c>
      <c r="H350" s="8">
        <f>SUMIFS(OrderLines[LineNetAmount],OrderLines[OrderID],Orders[[#This Row],[OrderID]])</f>
        <v>915.51600000000008</v>
      </c>
      <c r="I350" t="str">
        <f>IF(COUNTIFS(OrderLines[OrderID],Orders[[#This Row],[OrderID]],OrderLines[Category],"Beverage"),"yes","no")</f>
        <v>no</v>
      </c>
      <c r="J350" t="str">
        <f>IF(AND(COUNTIFS(OrderLines[OrderID],Orders[[#This Row],[OrderID]],OrderLines[Category],"Hot Meal"),Orders[[#This Row],[has beverage]]="yes"),"combo","single")</f>
        <v>single</v>
      </c>
      <c r="K350" s="8" t="str" cm="1">
        <f t="array" ref="K350">IF((SUMPRODUCT(OrderLines[UnitPrice],OrderLines[Qty],--(OrderLines[OrderID]=Orders[[#This Row],[OrderID]]))-Orders[[#This Row],[Revenue]])&gt;40,"high disc","ok")</f>
        <v>ok</v>
      </c>
      <c r="L350">
        <f>SUMIFS(OrderLines[Food Cost],OrderLines[OrderID],Orders[[#This Row],[OrderID]])</f>
        <v>423.88</v>
      </c>
      <c r="M350" s="8">
        <f>Orders[[#This Row],[Revenue]]-Orders[[#This Row],[total cost]]</f>
        <v>491.63600000000008</v>
      </c>
      <c r="N350" t="str" cm="1">
        <f t="array" ref="N350">_xlfn.TEXTJOIN("+",,_xlfn._xlws.SORT(_xlfn.UNIQUE(_xlfn._xlws.FILTER(OrderLines[Category],OrderLines[OrderID]=Orders[[#This Row],[OrderID]]))))</f>
        <v>Dessert+Hot Meal</v>
      </c>
    </row>
    <row r="351" spans="1:14" x14ac:dyDescent="0.3">
      <c r="A351" t="s">
        <v>387</v>
      </c>
      <c r="B351" s="1">
        <v>45867.028611111113</v>
      </c>
      <c r="C351" t="s">
        <v>15</v>
      </c>
      <c r="D351" t="s">
        <v>28</v>
      </c>
      <c r="E351" t="s">
        <v>11</v>
      </c>
      <c r="F351" t="s">
        <v>12</v>
      </c>
      <c r="G351">
        <v>0.08</v>
      </c>
      <c r="H351" s="8">
        <f>SUMIFS(OrderLines[LineNetAmount],OrderLines[OrderID],Orders[[#This Row],[OrderID]])</f>
        <v>356.21480000000003</v>
      </c>
      <c r="I351" t="str">
        <f>IF(COUNTIFS(OrderLines[OrderID],Orders[[#This Row],[OrderID]],OrderLines[Category],"Beverage"),"yes","no")</f>
        <v>yes</v>
      </c>
      <c r="J351" t="str">
        <f>IF(AND(COUNTIFS(OrderLines[OrderID],Orders[[#This Row],[OrderID]],OrderLines[Category],"Hot Meal"),Orders[[#This Row],[has beverage]]="yes"),"combo","single")</f>
        <v>combo</v>
      </c>
      <c r="K351" s="8" t="str" cm="1">
        <f t="array" ref="K351">IF((SUMPRODUCT(OrderLines[UnitPrice],OrderLines[Qty],--(OrderLines[OrderID]=Orders[[#This Row],[OrderID]]))-Orders[[#This Row],[Revenue]])&gt;40,"high disc","ok")</f>
        <v>ok</v>
      </c>
      <c r="L351">
        <f>SUMIFS(OrderLines[Food Cost],OrderLines[OrderID],Orders[[#This Row],[OrderID]])</f>
        <v>199.41000000000003</v>
      </c>
      <c r="M351" s="8">
        <f>Orders[[#This Row],[Revenue]]-Orders[[#This Row],[total cost]]</f>
        <v>156.8048</v>
      </c>
      <c r="N351" t="str" cm="1">
        <f t="array" ref="N351">_xlfn.TEXTJOIN("+",,_xlfn._xlws.SORT(_xlfn.UNIQUE(_xlfn._xlws.FILTER(OrderLines[Category],OrderLines[OrderID]=Orders[[#This Row],[OrderID]]))))</f>
        <v>Beverage+Hot Meal</v>
      </c>
    </row>
    <row r="352" spans="1:14" x14ac:dyDescent="0.3">
      <c r="A352" t="s">
        <v>388</v>
      </c>
      <c r="B352" s="1">
        <v>45865.776701388888</v>
      </c>
      <c r="C352" t="s">
        <v>27</v>
      </c>
      <c r="D352" t="s">
        <v>16</v>
      </c>
      <c r="E352" t="s">
        <v>21</v>
      </c>
      <c r="F352" t="s">
        <v>18</v>
      </c>
      <c r="G352">
        <v>0.01</v>
      </c>
      <c r="H352" s="8">
        <f>SUMIFS(OrderLines[LineNetAmount],OrderLines[OrderID],Orders[[#This Row],[OrderID]])</f>
        <v>60.0732</v>
      </c>
      <c r="I352" t="str">
        <f>IF(COUNTIFS(OrderLines[OrderID],Orders[[#This Row],[OrderID]],OrderLines[Category],"Beverage"),"yes","no")</f>
        <v>yes</v>
      </c>
      <c r="J352" t="str">
        <f>IF(AND(COUNTIFS(OrderLines[OrderID],Orders[[#This Row],[OrderID]],OrderLines[Category],"Hot Meal"),Orders[[#This Row],[has beverage]]="yes"),"combo","single")</f>
        <v>single</v>
      </c>
      <c r="K352" s="8" t="str" cm="1">
        <f t="array" ref="K352">IF((SUMPRODUCT(OrderLines[UnitPrice],OrderLines[Qty],--(OrderLines[OrderID]=Orders[[#This Row],[OrderID]]))-Orders[[#This Row],[Revenue]])&gt;40,"high disc","ok")</f>
        <v>ok</v>
      </c>
      <c r="L352">
        <f>SUMIFS(OrderLines[Food Cost],OrderLines[OrderID],Orders[[#This Row],[OrderID]])</f>
        <v>28.36</v>
      </c>
      <c r="M352" s="8">
        <f>Orders[[#This Row],[Revenue]]-Orders[[#This Row],[total cost]]</f>
        <v>31.713200000000001</v>
      </c>
      <c r="N352" t="str" cm="1">
        <f t="array" ref="N352">_xlfn.TEXTJOIN("+",,_xlfn._xlws.SORT(_xlfn.UNIQUE(_xlfn._xlws.FILTER(OrderLines[Category],OrderLines[OrderID]=Orders[[#This Row],[OrderID]]))))</f>
        <v>Beverage</v>
      </c>
    </row>
    <row r="353" spans="1:14" x14ac:dyDescent="0.3">
      <c r="A353" t="s">
        <v>389</v>
      </c>
      <c r="B353" s="1">
        <v>45881.944189814807</v>
      </c>
      <c r="C353" t="s">
        <v>15</v>
      </c>
      <c r="D353" t="s">
        <v>16</v>
      </c>
      <c r="E353" t="s">
        <v>17</v>
      </c>
      <c r="F353" t="s">
        <v>18</v>
      </c>
      <c r="G353">
        <v>0.13</v>
      </c>
      <c r="H353" s="8">
        <f>SUMIFS(OrderLines[LineNetAmount],OrderLines[OrderID],Orders[[#This Row],[OrderID]])</f>
        <v>204.4239</v>
      </c>
      <c r="I353" t="str">
        <f>IF(COUNTIFS(OrderLines[OrderID],Orders[[#This Row],[OrderID]],OrderLines[Category],"Beverage"),"yes","no")</f>
        <v>yes</v>
      </c>
      <c r="J353" t="str">
        <f>IF(AND(COUNTIFS(OrderLines[OrderID],Orders[[#This Row],[OrderID]],OrderLines[Category],"Hot Meal"),Orders[[#This Row],[has beverage]]="yes"),"combo","single")</f>
        <v>single</v>
      </c>
      <c r="K353" s="8" t="str" cm="1">
        <f t="array" ref="K353">IF((SUMPRODUCT(OrderLines[UnitPrice],OrderLines[Qty],--(OrderLines[OrderID]=Orders[[#This Row],[OrderID]]))-Orders[[#This Row],[Revenue]])&gt;40,"high disc","ok")</f>
        <v>ok</v>
      </c>
      <c r="L353">
        <f>SUMIFS(OrderLines[Food Cost],OrderLines[OrderID],Orders[[#This Row],[OrderID]])</f>
        <v>105.18</v>
      </c>
      <c r="M353" s="8">
        <f>Orders[[#This Row],[Revenue]]-Orders[[#This Row],[total cost]]</f>
        <v>99.243899999999996</v>
      </c>
      <c r="N353" t="str" cm="1">
        <f t="array" ref="N353">_xlfn.TEXTJOIN("+",,_xlfn._xlws.SORT(_xlfn.UNIQUE(_xlfn._xlws.FILTER(OrderLines[Category],OrderLines[OrderID]=Orders[[#This Row],[OrderID]]))))</f>
        <v>Beverage+Dessert+Snack</v>
      </c>
    </row>
    <row r="354" spans="1:14" x14ac:dyDescent="0.3">
      <c r="A354" t="s">
        <v>390</v>
      </c>
      <c r="B354" s="1">
        <v>45887.554722222223</v>
      </c>
      <c r="C354" t="s">
        <v>15</v>
      </c>
      <c r="D354" t="s">
        <v>10</v>
      </c>
      <c r="E354" t="s">
        <v>21</v>
      </c>
      <c r="F354" t="s">
        <v>22</v>
      </c>
      <c r="G354">
        <v>0.11</v>
      </c>
      <c r="H354" s="8">
        <f>SUMIFS(OrderLines[LineNetAmount],OrderLines[OrderID],Orders[[#This Row],[OrderID]])</f>
        <v>204.38849999999999</v>
      </c>
      <c r="I354" t="str">
        <f>IF(COUNTIFS(OrderLines[OrderID],Orders[[#This Row],[OrderID]],OrderLines[Category],"Beverage"),"yes","no")</f>
        <v>no</v>
      </c>
      <c r="J354" t="str">
        <f>IF(AND(COUNTIFS(OrderLines[OrderID],Orders[[#This Row],[OrderID]],OrderLines[Category],"Hot Meal"),Orders[[#This Row],[has beverage]]="yes"),"combo","single")</f>
        <v>single</v>
      </c>
      <c r="K354" s="8" t="str" cm="1">
        <f t="array" ref="K354">IF((SUMPRODUCT(OrderLines[UnitPrice],OrderLines[Qty],--(OrderLines[OrderID]=Orders[[#This Row],[OrderID]]))-Orders[[#This Row],[Revenue]])&gt;40,"high disc","ok")</f>
        <v>ok</v>
      </c>
      <c r="L354">
        <f>SUMIFS(OrderLines[Food Cost],OrderLines[OrderID],Orders[[#This Row],[OrderID]])</f>
        <v>114.69</v>
      </c>
      <c r="M354" s="8">
        <f>Orders[[#This Row],[Revenue]]-Orders[[#This Row],[total cost]]</f>
        <v>89.698499999999996</v>
      </c>
      <c r="N354" t="str" cm="1">
        <f t="array" ref="N354">_xlfn.TEXTJOIN("+",,_xlfn._xlws.SORT(_xlfn.UNIQUE(_xlfn._xlws.FILTER(OrderLines[Category],OrderLines[OrderID]=Orders[[#This Row],[OrderID]]))))</f>
        <v>Dessert</v>
      </c>
    </row>
    <row r="355" spans="1:14" x14ac:dyDescent="0.3">
      <c r="A355" t="s">
        <v>391</v>
      </c>
      <c r="B355" s="1">
        <v>45880.464826388888</v>
      </c>
      <c r="C355" t="s">
        <v>27</v>
      </c>
      <c r="D355" t="s">
        <v>16</v>
      </c>
      <c r="E355" t="s">
        <v>11</v>
      </c>
      <c r="F355" t="s">
        <v>22</v>
      </c>
      <c r="G355">
        <v>0.04</v>
      </c>
      <c r="H355" s="8">
        <f>SUMIFS(OrderLines[LineNetAmount],OrderLines[OrderID],Orders[[#This Row],[OrderID]])</f>
        <v>183.5136</v>
      </c>
      <c r="I355" t="str">
        <f>IF(COUNTIFS(OrderLines[OrderID],Orders[[#This Row],[OrderID]],OrderLines[Category],"Beverage"),"yes","no")</f>
        <v>no</v>
      </c>
      <c r="J355" t="str">
        <f>IF(AND(COUNTIFS(OrderLines[OrderID],Orders[[#This Row],[OrderID]],OrderLines[Category],"Hot Meal"),Orders[[#This Row],[has beverage]]="yes"),"combo","single")</f>
        <v>single</v>
      </c>
      <c r="K355" s="8" t="str" cm="1">
        <f t="array" ref="K355">IF((SUMPRODUCT(OrderLines[UnitPrice],OrderLines[Qty],--(OrderLines[OrderID]=Orders[[#This Row],[OrderID]]))-Orders[[#This Row],[Revenue]])&gt;40,"high disc","ok")</f>
        <v>ok</v>
      </c>
      <c r="L355">
        <f>SUMIFS(OrderLines[Food Cost],OrderLines[OrderID],Orders[[#This Row],[OrderID]])</f>
        <v>96.009999999999991</v>
      </c>
      <c r="M355" s="8">
        <f>Orders[[#This Row],[Revenue]]-Orders[[#This Row],[total cost]]</f>
        <v>87.503600000000006</v>
      </c>
      <c r="N355" t="str" cm="1">
        <f t="array" ref="N355">_xlfn.TEXTJOIN("+",,_xlfn._xlws.SORT(_xlfn.UNIQUE(_xlfn._xlws.FILTER(OrderLines[Category],OrderLines[OrderID]=Orders[[#This Row],[OrderID]]))))</f>
        <v>Dessert+Snack</v>
      </c>
    </row>
    <row r="356" spans="1:14" x14ac:dyDescent="0.3">
      <c r="A356" t="s">
        <v>392</v>
      </c>
      <c r="B356" s="1">
        <v>45892.210300925923</v>
      </c>
      <c r="C356" t="s">
        <v>15</v>
      </c>
      <c r="D356" t="s">
        <v>16</v>
      </c>
      <c r="E356" t="s">
        <v>17</v>
      </c>
      <c r="F356" t="s">
        <v>12</v>
      </c>
      <c r="G356">
        <v>0</v>
      </c>
      <c r="H356" s="8">
        <f>SUMIFS(OrderLines[LineNetAmount],OrderLines[OrderID],Orders[[#This Row],[OrderID]])</f>
        <v>87.41</v>
      </c>
      <c r="I356" t="str">
        <f>IF(COUNTIFS(OrderLines[OrderID],Orders[[#This Row],[OrderID]],OrderLines[Category],"Beverage"),"yes","no")</f>
        <v>yes</v>
      </c>
      <c r="J356" t="str">
        <f>IF(AND(COUNTIFS(OrderLines[OrderID],Orders[[#This Row],[OrderID]],OrderLines[Category],"Hot Meal"),Orders[[#This Row],[has beverage]]="yes"),"combo","single")</f>
        <v>single</v>
      </c>
      <c r="K356" s="8" t="str" cm="1">
        <f t="array" ref="K356">IF((SUMPRODUCT(OrderLines[UnitPrice],OrderLines[Qty],--(OrderLines[OrderID]=Orders[[#This Row],[OrderID]]))-Orders[[#This Row],[Revenue]])&gt;40,"high disc","ok")</f>
        <v>ok</v>
      </c>
      <c r="L356">
        <f>SUMIFS(OrderLines[Food Cost],OrderLines[OrderID],Orders[[#This Row],[OrderID]])</f>
        <v>43.32</v>
      </c>
      <c r="M356" s="8">
        <f>Orders[[#This Row],[Revenue]]-Orders[[#This Row],[total cost]]</f>
        <v>44.089999999999996</v>
      </c>
      <c r="N356" t="str" cm="1">
        <f t="array" ref="N356">_xlfn.TEXTJOIN("+",,_xlfn._xlws.SORT(_xlfn.UNIQUE(_xlfn._xlws.FILTER(OrderLines[Category],OrderLines[OrderID]=Orders[[#This Row],[OrderID]]))))</f>
        <v>Beverage+Dessert</v>
      </c>
    </row>
    <row r="357" spans="1:14" x14ac:dyDescent="0.3">
      <c r="A357" t="s">
        <v>393</v>
      </c>
      <c r="B357" s="1">
        <v>45871.087858796287</v>
      </c>
      <c r="C357" t="s">
        <v>9</v>
      </c>
      <c r="D357" t="s">
        <v>16</v>
      </c>
      <c r="E357" t="s">
        <v>21</v>
      </c>
      <c r="F357" t="s">
        <v>12</v>
      </c>
      <c r="G357">
        <v>0.11</v>
      </c>
      <c r="H357" s="8">
        <f>SUMIFS(OrderLines[LineNetAmount],OrderLines[OrderID],Orders[[#This Row],[OrderID]])</f>
        <v>700.52790000000005</v>
      </c>
      <c r="I357" t="str">
        <f>IF(COUNTIFS(OrderLines[OrderID],Orders[[#This Row],[OrderID]],OrderLines[Category],"Beverage"),"yes","no")</f>
        <v>yes</v>
      </c>
      <c r="J357" t="str">
        <f>IF(AND(COUNTIFS(OrderLines[OrderID],Orders[[#This Row],[OrderID]],OrderLines[Category],"Hot Meal"),Orders[[#This Row],[has beverage]]="yes"),"combo","single")</f>
        <v>combo</v>
      </c>
      <c r="K357" s="8" t="str" cm="1">
        <f t="array" ref="K357">IF((SUMPRODUCT(OrderLines[UnitPrice],OrderLines[Qty],--(OrderLines[OrderID]=Orders[[#This Row],[OrderID]]))-Orders[[#This Row],[Revenue]])&gt;40,"high disc","ok")</f>
        <v>high disc</v>
      </c>
      <c r="L357">
        <f>SUMIFS(OrderLines[Food Cost],OrderLines[OrderID],Orders[[#This Row],[OrderID]])</f>
        <v>340.09000000000003</v>
      </c>
      <c r="M357" s="8">
        <f>Orders[[#This Row],[Revenue]]-Orders[[#This Row],[total cost]]</f>
        <v>360.43790000000001</v>
      </c>
      <c r="N357" t="str" cm="1">
        <f t="array" ref="N357">_xlfn.TEXTJOIN("+",,_xlfn._xlws.SORT(_xlfn.UNIQUE(_xlfn._xlws.FILTER(OrderLines[Category],OrderLines[OrderID]=Orders[[#This Row],[OrderID]]))))</f>
        <v>Beverage+Hot Meal+Snack</v>
      </c>
    </row>
    <row r="358" spans="1:14" x14ac:dyDescent="0.3">
      <c r="A358" t="s">
        <v>394</v>
      </c>
      <c r="B358" s="1">
        <v>45897.758750000001</v>
      </c>
      <c r="C358" t="s">
        <v>9</v>
      </c>
      <c r="D358" t="s">
        <v>16</v>
      </c>
      <c r="E358" t="s">
        <v>17</v>
      </c>
      <c r="F358" t="s">
        <v>18</v>
      </c>
      <c r="G358">
        <v>0.06</v>
      </c>
      <c r="H358" s="8">
        <f>SUMIFS(OrderLines[LineNetAmount],OrderLines[OrderID],Orders[[#This Row],[OrderID]])</f>
        <v>93.417199999999994</v>
      </c>
      <c r="I358" t="str">
        <f>IF(COUNTIFS(OrderLines[OrderID],Orders[[#This Row],[OrderID]],OrderLines[Category],"Beverage"),"yes","no")</f>
        <v>yes</v>
      </c>
      <c r="J358" t="str">
        <f>IF(AND(COUNTIFS(OrderLines[OrderID],Orders[[#This Row],[OrderID]],OrderLines[Category],"Hot Meal"),Orders[[#This Row],[has beverage]]="yes"),"combo","single")</f>
        <v>single</v>
      </c>
      <c r="K358" s="8" t="str" cm="1">
        <f t="array" ref="K358">IF((SUMPRODUCT(OrderLines[UnitPrice],OrderLines[Qty],--(OrderLines[OrderID]=Orders[[#This Row],[OrderID]]))-Orders[[#This Row],[Revenue]])&gt;40,"high disc","ok")</f>
        <v>ok</v>
      </c>
      <c r="L358">
        <f>SUMIFS(OrderLines[Food Cost],OrderLines[OrderID],Orders[[#This Row],[OrderID]])</f>
        <v>46.52</v>
      </c>
      <c r="M358" s="8">
        <f>Orders[[#This Row],[Revenue]]-Orders[[#This Row],[total cost]]</f>
        <v>46.897199999999991</v>
      </c>
      <c r="N358" t="str" cm="1">
        <f t="array" ref="N358">_xlfn.TEXTJOIN("+",,_xlfn._xlws.SORT(_xlfn.UNIQUE(_xlfn._xlws.FILTER(OrderLines[Category],OrderLines[OrderID]=Orders[[#This Row],[OrderID]]))))</f>
        <v>Beverage+Dessert</v>
      </c>
    </row>
    <row r="359" spans="1:14" x14ac:dyDescent="0.3">
      <c r="A359" t="s">
        <v>395</v>
      </c>
      <c r="B359" s="1">
        <v>45873.38181712963</v>
      </c>
      <c r="C359" t="s">
        <v>15</v>
      </c>
      <c r="D359" t="s">
        <v>28</v>
      </c>
      <c r="E359" t="s">
        <v>11</v>
      </c>
      <c r="F359" t="s">
        <v>12</v>
      </c>
      <c r="G359">
        <v>0.11</v>
      </c>
      <c r="H359" s="8">
        <f>SUMIFS(OrderLines[LineNetAmount],OrderLines[OrderID],Orders[[#This Row],[OrderID]])</f>
        <v>89.783200000000008</v>
      </c>
      <c r="I359" t="str">
        <f>IF(COUNTIFS(OrderLines[OrderID],Orders[[#This Row],[OrderID]],OrderLines[Category],"Beverage"),"yes","no")</f>
        <v>yes</v>
      </c>
      <c r="J359" t="str">
        <f>IF(AND(COUNTIFS(OrderLines[OrderID],Orders[[#This Row],[OrderID]],OrderLines[Category],"Hot Meal"),Orders[[#This Row],[has beverage]]="yes"),"combo","single")</f>
        <v>single</v>
      </c>
      <c r="K359" s="8" t="str" cm="1">
        <f t="array" ref="K359">IF((SUMPRODUCT(OrderLines[UnitPrice],OrderLines[Qty],--(OrderLines[OrderID]=Orders[[#This Row],[OrderID]]))-Orders[[#This Row],[Revenue]])&gt;40,"high disc","ok")</f>
        <v>ok</v>
      </c>
      <c r="L359">
        <f>SUMIFS(OrderLines[Food Cost],OrderLines[OrderID],Orders[[#This Row],[OrderID]])</f>
        <v>49.99</v>
      </c>
      <c r="M359" s="8">
        <f>Orders[[#This Row],[Revenue]]-Orders[[#This Row],[total cost]]</f>
        <v>39.793200000000006</v>
      </c>
      <c r="N359" t="str" cm="1">
        <f t="array" ref="N359">_xlfn.TEXTJOIN("+",,_xlfn._xlws.SORT(_xlfn.UNIQUE(_xlfn._xlws.FILTER(OrderLines[Category],OrderLines[OrderID]=Orders[[#This Row],[OrderID]]))))</f>
        <v>Beverage+Snack</v>
      </c>
    </row>
    <row r="360" spans="1:14" x14ac:dyDescent="0.3">
      <c r="A360" t="s">
        <v>396</v>
      </c>
      <c r="B360" s="1">
        <v>45881.478530092587</v>
      </c>
      <c r="C360" t="s">
        <v>15</v>
      </c>
      <c r="D360" t="s">
        <v>10</v>
      </c>
      <c r="E360" t="s">
        <v>17</v>
      </c>
      <c r="F360" t="s">
        <v>22</v>
      </c>
      <c r="G360">
        <v>0</v>
      </c>
      <c r="H360" s="8">
        <f>SUMIFS(OrderLines[LineNetAmount],OrderLines[OrderID],Orders[[#This Row],[OrderID]])</f>
        <v>455.22</v>
      </c>
      <c r="I360" t="str">
        <f>IF(COUNTIFS(OrderLines[OrderID],Orders[[#This Row],[OrderID]],OrderLines[Category],"Beverage"),"yes","no")</f>
        <v>no</v>
      </c>
      <c r="J360" t="str">
        <f>IF(AND(COUNTIFS(OrderLines[OrderID],Orders[[#This Row],[OrderID]],OrderLines[Category],"Hot Meal"),Orders[[#This Row],[has beverage]]="yes"),"combo","single")</f>
        <v>single</v>
      </c>
      <c r="K360" s="8" t="str" cm="1">
        <f t="array" ref="K360">IF((SUMPRODUCT(OrderLines[UnitPrice],OrderLines[Qty],--(OrderLines[OrderID]=Orders[[#This Row],[OrderID]]))-Orders[[#This Row],[Revenue]])&gt;40,"high disc","ok")</f>
        <v>ok</v>
      </c>
      <c r="L360">
        <f>SUMIFS(OrderLines[Food Cost],OrderLines[OrderID],Orders[[#This Row],[OrderID]])</f>
        <v>192.44</v>
      </c>
      <c r="M360" s="8">
        <f>Orders[[#This Row],[Revenue]]-Orders[[#This Row],[total cost]]</f>
        <v>262.78000000000003</v>
      </c>
      <c r="N360" t="str" cm="1">
        <f t="array" ref="N360">_xlfn.TEXTJOIN("+",,_xlfn._xlws.SORT(_xlfn.UNIQUE(_xlfn._xlws.FILTER(OrderLines[Category],OrderLines[OrderID]=Orders[[#This Row],[OrderID]]))))</f>
        <v>Hot Meal</v>
      </c>
    </row>
    <row r="361" spans="1:14" x14ac:dyDescent="0.3">
      <c r="A361" t="s">
        <v>397</v>
      </c>
      <c r="B361" s="1">
        <v>45878.689097222217</v>
      </c>
      <c r="C361" t="s">
        <v>15</v>
      </c>
      <c r="D361" t="s">
        <v>10</v>
      </c>
      <c r="E361" t="s">
        <v>11</v>
      </c>
      <c r="F361" t="s">
        <v>18</v>
      </c>
      <c r="G361">
        <v>0.04</v>
      </c>
      <c r="H361" s="8">
        <f>SUMIFS(OrderLines[LineNetAmount],OrderLines[OrderID],Orders[[#This Row],[OrderID]])</f>
        <v>962.15039999999999</v>
      </c>
      <c r="I361" t="str">
        <f>IF(COUNTIFS(OrderLines[OrderID],Orders[[#This Row],[OrderID]],OrderLines[Category],"Beverage"),"yes","no")</f>
        <v>yes</v>
      </c>
      <c r="J361" t="str">
        <f>IF(AND(COUNTIFS(OrderLines[OrderID],Orders[[#This Row],[OrderID]],OrderLines[Category],"Hot Meal"),Orders[[#This Row],[has beverage]]="yes"),"combo","single")</f>
        <v>combo</v>
      </c>
      <c r="K361" s="8" t="str" cm="1">
        <f t="array" ref="K361">IF((SUMPRODUCT(OrderLines[UnitPrice],OrderLines[Qty],--(OrderLines[OrderID]=Orders[[#This Row],[OrderID]]))-Orders[[#This Row],[Revenue]])&gt;40,"high disc","ok")</f>
        <v>high disc</v>
      </c>
      <c r="L361">
        <f>SUMIFS(OrderLines[Food Cost],OrderLines[OrderID],Orders[[#This Row],[OrderID]])</f>
        <v>466.15</v>
      </c>
      <c r="M361" s="8">
        <f>Orders[[#This Row],[Revenue]]-Orders[[#This Row],[total cost]]</f>
        <v>496.00040000000001</v>
      </c>
      <c r="N361" t="str" cm="1">
        <f t="array" ref="N361">_xlfn.TEXTJOIN("+",,_xlfn._xlws.SORT(_xlfn.UNIQUE(_xlfn._xlws.FILTER(OrderLines[Category],OrderLines[OrderID]=Orders[[#This Row],[OrderID]]))))</f>
        <v>Beverage+Hot Meal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483B-F151-4913-BEE4-0CA1F5500088}">
  <dimension ref="A1:Q925"/>
  <sheetViews>
    <sheetView zoomScale="92" workbookViewId="0">
      <pane ySplit="1" topLeftCell="A396" activePane="bottomLeft" state="frozen"/>
      <selection pane="bottomLeft" activeCell="G21" sqref="G21:G860"/>
    </sheetView>
  </sheetViews>
  <sheetFormatPr defaultRowHeight="14.4" x14ac:dyDescent="0.3"/>
  <cols>
    <col min="1" max="1" width="12" bestFit="1" customWidth="1"/>
    <col min="2" max="2" width="8.6640625" bestFit="1" customWidth="1"/>
    <col min="3" max="3" width="8.44140625" bestFit="1" customWidth="1"/>
    <col min="4" max="4" width="13.109375" bestFit="1" customWidth="1"/>
    <col min="5" max="5" width="12.6640625" bestFit="1" customWidth="1"/>
    <col min="6" max="6" width="12.6640625" customWidth="1"/>
    <col min="7" max="7" width="31" bestFit="1" customWidth="1"/>
    <col min="8" max="8" width="20.109375" customWidth="1"/>
    <col min="9" max="9" width="16.33203125" customWidth="1"/>
    <col min="10" max="10" width="15.44140625" bestFit="1" customWidth="1"/>
    <col min="11" max="11" width="9" customWidth="1"/>
    <col min="12" max="12" width="10.88671875" customWidth="1"/>
    <col min="13" max="13" width="10.109375" customWidth="1"/>
    <col min="14" max="14" width="9.77734375" customWidth="1"/>
    <col min="15" max="15" width="12.44140625" customWidth="1"/>
    <col min="16" max="16" width="13.77734375" bestFit="1" customWidth="1"/>
    <col min="17" max="17" width="15.88671875" bestFit="1" customWidth="1"/>
  </cols>
  <sheetData>
    <row r="1" spans="1:17" x14ac:dyDescent="0.3">
      <c r="A1" s="3" t="s">
        <v>0</v>
      </c>
      <c r="B1" s="3" t="s">
        <v>398</v>
      </c>
      <c r="C1" s="3" t="s">
        <v>399</v>
      </c>
      <c r="D1" s="4" t="s">
        <v>400</v>
      </c>
      <c r="E1" s="4" t="s">
        <v>423</v>
      </c>
      <c r="F1" s="4" t="s">
        <v>421</v>
      </c>
      <c r="G1" s="4" t="s">
        <v>563</v>
      </c>
      <c r="H1" s="4" t="s">
        <v>1</v>
      </c>
      <c r="I1" s="4" t="s">
        <v>2</v>
      </c>
      <c r="J1" s="4" t="s">
        <v>7</v>
      </c>
      <c r="K1" s="4" t="s">
        <v>4</v>
      </c>
      <c r="L1" s="4" t="s">
        <v>5</v>
      </c>
      <c r="M1" s="5" t="s">
        <v>522</v>
      </c>
      <c r="N1" s="10" t="s">
        <v>528</v>
      </c>
      <c r="O1" s="10" t="s">
        <v>527</v>
      </c>
      <c r="P1" s="10" t="s">
        <v>533</v>
      </c>
      <c r="Q1" s="10" t="s">
        <v>548</v>
      </c>
    </row>
    <row r="2" spans="1:17" x14ac:dyDescent="0.3">
      <c r="A2" t="s">
        <v>8</v>
      </c>
      <c r="B2" t="s">
        <v>401</v>
      </c>
      <c r="C2">
        <v>3</v>
      </c>
      <c r="D2" cm="1">
        <f t="array" ref="D2">VLOOKUP(OrderLines[[#This Row],[SKU]:[SKU]],Menu[],MATCH(OrderLines[[#Headers],[UnitPrice]],Menu[#Headers],0),FALSE)</f>
        <v>52.45</v>
      </c>
      <c r="E2" cm="1">
        <f t="array" ref="E2">VLOOKUP(OrderLines[[#This Row],[SKU]:[SKU]],Menu[],MATCH(OrderLines[[#Headers],[UnitCost]],Menu[#Headers],0),FALSE)</f>
        <v>25.8</v>
      </c>
      <c r="F2" t="str" cm="1">
        <f t="array" ref="F2">VLOOKUP(OrderLines[[#This Row],[SKU]:[SKU]],Menu[],MATCH(OrderLines[[#Headers],[Category]],Menu[#Headers],0),FALSE)</f>
        <v>Snack</v>
      </c>
      <c r="G2" t="str" cm="1">
        <f t="array" ref="G2">_xlfn.TEXTJOIN("+",TRUE,_xlfn._xlws.SORT(_xlfn.UNIQUE(_xlfn._xlws.FILTER(OrderLines[Category],OrderLines[OrderID]=OrderLines[[#This Row],[OrderID]]))))</f>
        <v>Snack</v>
      </c>
      <c r="H2" s="2" cm="1">
        <f t="array" ref="H2">INT(VLOOKUP(OrderLines[[#This Row],[OrderID]:[OrderID]],Orders[],MATCH(OrderLines[[#Headers],[OrderDateTime]],Orders[#Headers],0),FALSE))</f>
        <v>45852</v>
      </c>
      <c r="I2" t="str" cm="1">
        <f t="array" ref="I2">VLOOKUP(OrderLines[[#This Row],[OrderID]:[OrderID]],Orders[],MATCH(OrderLines[[#Headers],[Branch]],Orders[#Headers],0),FALSE)</f>
        <v>Head Office Café</v>
      </c>
      <c r="J2" cm="1">
        <f t="array" ref="J2">VLOOKUP(OrderLines[[#This Row],[OrderID]:[OrderID]],Orders[],MATCH(OrderLines[[#Headers],[DiscountPct]],Orders[#Headers],0),FALSE)</f>
        <v>0.06</v>
      </c>
      <c r="K2" t="str" cm="1">
        <f t="array" ref="K2">VLOOKUP(OrderLines[[#This Row],[OrderID]:[OrderID]],Orders[],MATCH(OrderLines[[#Headers],[PaymentType]],Orders[#Headers],0),FALSE)</f>
        <v>UPI</v>
      </c>
      <c r="L2" t="str" cm="1">
        <f t="array" ref="L2">VLOOKUP(OrderLines[[#This Row],[OrderID]:[OrderID]],Orders[],MATCH(OrderLines[[#Headers],[Shift]],Orders[#Headers],0),FALSE)</f>
        <v>Breakfast</v>
      </c>
      <c r="M2" s="8">
        <f>(OrderLines[[#This Row],[Qty]]*OrderLines[[#This Row],[UnitPrice]])*(1-OrderLines[[#This Row],[DiscountPct]])</f>
        <v>147.90900000000002</v>
      </c>
      <c r="N2" t="str">
        <f>IF(AND(COUNTIFS(OrderLines[OrderID],OrderLines[[#This Row],[OrderID]],OrderLines[Category],"Hot Meal"),COUNTIFS(OrderLines[OrderID],OrderLines[[#This Row],[OrderID]],OrderLines[Category],"Beverage")),"Combo","Single")</f>
        <v>Single</v>
      </c>
      <c r="O2" s="8" t="str" cm="1">
        <f t="array" ref="O2">IF(SUMPRODUCT(OrderLines[UnitPrice],OrderLines[Qty],OrderLines[DiscountPct],--(OrderLines[OrderID] = OrderLines[[#This Row],[OrderID]]))&gt;40,"High Discount","Ok")</f>
        <v>Ok</v>
      </c>
      <c r="P2">
        <f>OrderLines[[#This Row],[UnitCost]]*OrderLines[[#This Row],[Qty]]</f>
        <v>77.400000000000006</v>
      </c>
      <c r="Q2" s="8">
        <f>OrderLines[[#This Row],[LineNetAmount]]-OrderLines[[#This Row],[Food Cost]]</f>
        <v>70.509000000000015</v>
      </c>
    </row>
    <row r="3" spans="1:17" x14ac:dyDescent="0.3">
      <c r="A3" t="s">
        <v>14</v>
      </c>
      <c r="B3" t="s">
        <v>402</v>
      </c>
      <c r="C3">
        <v>1</v>
      </c>
      <c r="D3" cm="1">
        <f t="array" ref="D3">VLOOKUP(OrderLines[[#This Row],[SKU]:[SKU]],Menu[],MATCH(OrderLines[[#Headers],[UnitPrice]],Menu[#Headers],0),FALSE)</f>
        <v>30.34</v>
      </c>
      <c r="E3" cm="1">
        <f t="array" ref="E3">VLOOKUP(OrderLines[[#This Row],[SKU]:[SKU]],Menu[],MATCH(OrderLines[[#Headers],[UnitCost]],Menu[#Headers],0),FALSE)</f>
        <v>14.18</v>
      </c>
      <c r="F3" t="str" cm="1">
        <f t="array" ref="F3">VLOOKUP(OrderLines[[#This Row],[SKU]:[SKU]],Menu[],MATCH(OrderLines[[#Headers],[Category]],Menu[#Headers],0),FALSE)</f>
        <v>Beverage</v>
      </c>
      <c r="G3" t="str" cm="1">
        <f t="array" ref="G3">_xlfn.TEXTJOIN("+",TRUE,_xlfn._xlws.SORT(_xlfn.UNIQUE(_xlfn._xlws.FILTER(OrderLines[Category],OrderLines[OrderID]=OrderLines[[#This Row],[OrderID]]))))</f>
        <v>Beverage+Dessert</v>
      </c>
      <c r="H3" s="2" cm="1">
        <f t="array" ref="H3">INT(VLOOKUP(OrderLines[[#This Row],[OrderID]:[OrderID]],Orders[],MATCH(OrderLines[[#Headers],[OrderDateTime]],Orders[#Headers],0),FALSE))</f>
        <v>45862</v>
      </c>
      <c r="I3" t="str" cm="1">
        <f t="array" ref="I3">VLOOKUP(OrderLines[[#This Row],[OrderID]:[OrderID]],Orders[],MATCH(OrderLines[[#Headers],[Branch]],Orders[#Headers],0),FALSE)</f>
        <v>Plant 2 Canteen</v>
      </c>
      <c r="J3" cm="1">
        <f t="array" ref="J3">VLOOKUP(OrderLines[[#This Row],[OrderID]:[OrderID]],Orders[],MATCH(OrderLines[[#Headers],[DiscountPct]],Orders[#Headers],0),FALSE)</f>
        <v>0.05</v>
      </c>
      <c r="K3" t="str" cm="1">
        <f t="array" ref="K3">VLOOKUP(OrderLines[[#This Row],[OrderID]:[OrderID]],Orders[],MATCH(OrderLines[[#Headers],[PaymentType]],Orders[#Headers],0),FALSE)</f>
        <v>Cash</v>
      </c>
      <c r="L3" t="str" cm="1">
        <f t="array" ref="L3">VLOOKUP(OrderLines[[#This Row],[OrderID]:[OrderID]],Orders[],MATCH(OrderLines[[#Headers],[Shift]],Orders[#Headers],0),FALSE)</f>
        <v>Dinner</v>
      </c>
      <c r="M3" s="8">
        <f>(OrderLines[[#This Row],[Qty]]*OrderLines[[#This Row],[UnitPrice]])*(1-OrderLines[[#This Row],[DiscountPct]])</f>
        <v>28.822999999999997</v>
      </c>
      <c r="N3" t="str">
        <f>IF(AND(COUNTIFS(OrderLines[OrderID],OrderLines[[#This Row],[OrderID]],OrderLines[Category],"Hot Meal"),COUNTIFS(OrderLines[OrderID],OrderLines[[#This Row],[OrderID]],OrderLines[Category],"Beverage")),"Combo","Single")</f>
        <v>Single</v>
      </c>
      <c r="O3" s="8" t="str" cm="1">
        <f t="array" ref="O3">IF(SUMPRODUCT(OrderLines[UnitPrice],OrderLines[Qty],OrderLines[DiscountPct],--(OrderLines[OrderID] = OrderLines[[#This Row],[OrderID]]))&gt;40,"High Discount","Ok")</f>
        <v>Ok</v>
      </c>
      <c r="P3">
        <f>OrderLines[[#This Row],[UnitCost]]*OrderLines[[#This Row],[Qty]]</f>
        <v>14.18</v>
      </c>
      <c r="Q3" s="8">
        <f>OrderLines[[#This Row],[LineNetAmount]]-OrderLines[[#This Row],[Food Cost]]</f>
        <v>14.642999999999997</v>
      </c>
    </row>
    <row r="4" spans="1:17" x14ac:dyDescent="0.3">
      <c r="A4" t="s">
        <v>14</v>
      </c>
      <c r="B4" t="s">
        <v>403</v>
      </c>
      <c r="C4">
        <v>1</v>
      </c>
      <c r="D4" cm="1">
        <f t="array" ref="D4">VLOOKUP(OrderLines[[#This Row],[SKU]:[SKU]],Menu[],MATCH(OrderLines[[#Headers],[UnitPrice]],Menu[#Headers],0),FALSE)</f>
        <v>76.55</v>
      </c>
      <c r="E4" cm="1">
        <f t="array" ref="E4">VLOOKUP(OrderLines[[#This Row],[SKU]:[SKU]],Menu[],MATCH(OrderLines[[#Headers],[UnitCost]],Menu[#Headers],0),FALSE)</f>
        <v>38.229999999999997</v>
      </c>
      <c r="F4" t="str" cm="1">
        <f t="array" ref="F4">VLOOKUP(OrderLines[[#This Row],[SKU]:[SKU]],Menu[],MATCH(OrderLines[[#Headers],[Category]],Menu[#Headers],0),FALSE)</f>
        <v>Dessert</v>
      </c>
      <c r="G4" t="str" cm="1">
        <f t="array" ref="G4">_xlfn.TEXTJOIN("+",TRUE,_xlfn._xlws.SORT(_xlfn.UNIQUE(_xlfn._xlws.FILTER(OrderLines[Category],OrderLines[OrderID]=OrderLines[[#This Row],[OrderID]]))))</f>
        <v>Beverage+Dessert</v>
      </c>
      <c r="H4" s="2" cm="1">
        <f t="array" ref="H4">INT(VLOOKUP(OrderLines[[#This Row],[OrderID]:[OrderID]],Orders[],MATCH(OrderLines[[#Headers],[OrderDateTime]],Orders[#Headers],0),FALSE))</f>
        <v>45862</v>
      </c>
      <c r="I4" t="str" cm="1">
        <f t="array" ref="I4">VLOOKUP(OrderLines[[#This Row],[OrderID]:[OrderID]],Orders[],MATCH(OrderLines[[#Headers],[Branch]],Orders[#Headers],0),FALSE)</f>
        <v>Plant 2 Canteen</v>
      </c>
      <c r="J4" cm="1">
        <f t="array" ref="J4">VLOOKUP(OrderLines[[#This Row],[OrderID]:[OrderID]],Orders[],MATCH(OrderLines[[#Headers],[DiscountPct]],Orders[#Headers],0),FALSE)</f>
        <v>0.05</v>
      </c>
      <c r="K4" t="str" cm="1">
        <f t="array" ref="K4">VLOOKUP(OrderLines[[#This Row],[OrderID]:[OrderID]],Orders[],MATCH(OrderLines[[#Headers],[PaymentType]],Orders[#Headers],0),FALSE)</f>
        <v>Cash</v>
      </c>
      <c r="L4" t="str" cm="1">
        <f t="array" ref="L4">VLOOKUP(OrderLines[[#This Row],[OrderID]:[OrderID]],Orders[],MATCH(OrderLines[[#Headers],[Shift]],Orders[#Headers],0),FALSE)</f>
        <v>Dinner</v>
      </c>
      <c r="M4" s="8">
        <f>(OrderLines[[#This Row],[Qty]]*OrderLines[[#This Row],[UnitPrice]])*(1-OrderLines[[#This Row],[DiscountPct]])</f>
        <v>72.722499999999997</v>
      </c>
      <c r="N4" t="str">
        <f>IF(AND(COUNTIFS(OrderLines[OrderID],OrderLines[[#This Row],[OrderID]],OrderLines[Category],"Hot Meal"),COUNTIFS(OrderLines[OrderID],OrderLines[[#This Row],[OrderID]],OrderLines[Category],"Beverage")),"Combo","Single")</f>
        <v>Single</v>
      </c>
      <c r="O4" s="8" t="str" cm="1">
        <f t="array" ref="O4">IF(SUMPRODUCT(OrderLines[UnitPrice],OrderLines[Qty],OrderLines[DiscountPct],--(OrderLines[OrderID] = OrderLines[[#This Row],[OrderID]]))&gt;40,"High Discount","Ok")</f>
        <v>Ok</v>
      </c>
      <c r="P4">
        <f>OrderLines[[#This Row],[UnitCost]]*OrderLines[[#This Row],[Qty]]</f>
        <v>38.229999999999997</v>
      </c>
      <c r="Q4" s="8">
        <f>OrderLines[[#This Row],[LineNetAmount]]-OrderLines[[#This Row],[Food Cost]]</f>
        <v>34.4925</v>
      </c>
    </row>
    <row r="5" spans="1:17" x14ac:dyDescent="0.3">
      <c r="A5" t="s">
        <v>20</v>
      </c>
      <c r="B5" t="s">
        <v>404</v>
      </c>
      <c r="C5">
        <v>2</v>
      </c>
      <c r="D5" cm="1">
        <f t="array" ref="D5">VLOOKUP(OrderLines[[#This Row],[SKU]:[SKU]],Menu[],MATCH(OrderLines[[#Headers],[UnitPrice]],Menu[#Headers],0),FALSE)</f>
        <v>32.979999999999997</v>
      </c>
      <c r="E5" cm="1">
        <f t="array" ref="E5">VLOOKUP(OrderLines[[#This Row],[SKU]:[SKU]],Menu[],MATCH(OrderLines[[#Headers],[UnitCost]],Menu[#Headers],0),FALSE)</f>
        <v>11.84</v>
      </c>
      <c r="F5" t="str" cm="1">
        <f t="array" ref="F5">VLOOKUP(OrderLines[[#This Row],[SKU]:[SKU]],Menu[],MATCH(OrderLines[[#Headers],[Category]],Menu[#Headers],0),FALSE)</f>
        <v>Beverage</v>
      </c>
      <c r="G5" t="str" cm="1">
        <f t="array" ref="G5">_xlfn.TEXTJOIN("+",TRUE,_xlfn._xlws.SORT(_xlfn.UNIQUE(_xlfn._xlws.FILTER(OrderLines[Category],OrderLines[OrderID]=OrderLines[[#This Row],[OrderID]]))))</f>
        <v>Beverage+Hot Meal+Snack</v>
      </c>
      <c r="H5" s="2" cm="1">
        <f t="array" ref="H5">INT(VLOOKUP(OrderLines[[#This Row],[OrderID]:[OrderID]],Orders[],MATCH(OrderLines[[#Headers],[OrderDateTime]],Orders[#Headers],0),FALSE))</f>
        <v>45848</v>
      </c>
      <c r="I5" t="str" cm="1">
        <f t="array" ref="I5">VLOOKUP(OrderLines[[#This Row],[OrderID]:[OrderID]],Orders[],MATCH(OrderLines[[#Headers],[Branch]],Orders[#Headers],0),FALSE)</f>
        <v>Head Office Café</v>
      </c>
      <c r="J5" cm="1">
        <f t="array" ref="J5">VLOOKUP(OrderLines[[#This Row],[OrderID]:[OrderID]],Orders[],MATCH(OrderLines[[#Headers],[DiscountPct]],Orders[#Headers],0),FALSE)</f>
        <v>0</v>
      </c>
      <c r="K5" t="str" cm="1">
        <f t="array" ref="K5">VLOOKUP(OrderLines[[#This Row],[OrderID]:[OrderID]],Orders[],MATCH(OrderLines[[#Headers],[PaymentType]],Orders[#Headers],0),FALSE)</f>
        <v>Card</v>
      </c>
      <c r="L5" t="str" cm="1">
        <f t="array" ref="L5">VLOOKUP(OrderLines[[#This Row],[OrderID]:[OrderID]],Orders[],MATCH(OrderLines[[#Headers],[Shift]],Orders[#Headers],0),FALSE)</f>
        <v>Lunch</v>
      </c>
      <c r="M5" s="8">
        <f>(OrderLines[[#This Row],[Qty]]*OrderLines[[#This Row],[UnitPrice]])*(1-OrderLines[[#This Row],[DiscountPct]])</f>
        <v>65.959999999999994</v>
      </c>
      <c r="N5" t="str">
        <f>IF(AND(COUNTIFS(OrderLines[OrderID],OrderLines[[#This Row],[OrderID]],OrderLines[Category],"Hot Meal"),COUNTIFS(OrderLines[OrderID],OrderLines[[#This Row],[OrderID]],OrderLines[Category],"Beverage")),"Combo","Single")</f>
        <v>Combo</v>
      </c>
      <c r="O5" s="8" t="str" cm="1">
        <f t="array" ref="O5">IF(SUMPRODUCT(OrderLines[UnitPrice],OrderLines[Qty],OrderLines[DiscountPct],--(OrderLines[OrderID] = OrderLines[[#This Row],[OrderID]]))&gt;40,"High Discount","Ok")</f>
        <v>Ok</v>
      </c>
      <c r="P5">
        <f>OrderLines[[#This Row],[UnitCost]]*OrderLines[[#This Row],[Qty]]</f>
        <v>23.68</v>
      </c>
      <c r="Q5" s="8">
        <f>OrderLines[[#This Row],[LineNetAmount]]-OrderLines[[#This Row],[Food Cost]]</f>
        <v>42.279999999999994</v>
      </c>
    </row>
    <row r="6" spans="1:17" x14ac:dyDescent="0.3">
      <c r="A6" t="s">
        <v>20</v>
      </c>
      <c r="B6" t="s">
        <v>401</v>
      </c>
      <c r="C6">
        <v>1</v>
      </c>
      <c r="D6" cm="1">
        <f t="array" ref="D6">VLOOKUP(OrderLines[[#This Row],[SKU]:[SKU]],Menu[],MATCH(OrderLines[[#Headers],[UnitPrice]],Menu[#Headers],0),FALSE)</f>
        <v>52.45</v>
      </c>
      <c r="E6" cm="1">
        <f t="array" ref="E6">VLOOKUP(OrderLines[[#This Row],[SKU]:[SKU]],Menu[],MATCH(OrderLines[[#Headers],[UnitCost]],Menu[#Headers],0),FALSE)</f>
        <v>25.8</v>
      </c>
      <c r="F6" t="str" cm="1">
        <f t="array" ref="F6">VLOOKUP(OrderLines[[#This Row],[SKU]:[SKU]],Menu[],MATCH(OrderLines[[#Headers],[Category]],Menu[#Headers],0),FALSE)</f>
        <v>Snack</v>
      </c>
      <c r="G6" t="str" cm="1">
        <f t="array" ref="G6">_xlfn.TEXTJOIN("+",TRUE,_xlfn._xlws.SORT(_xlfn.UNIQUE(_xlfn._xlws.FILTER(OrderLines[Category],OrderLines[OrderID]=OrderLines[[#This Row],[OrderID]]))))</f>
        <v>Beverage+Hot Meal+Snack</v>
      </c>
      <c r="H6" s="2" cm="1">
        <f t="array" ref="H6">INT(VLOOKUP(OrderLines[[#This Row],[OrderID]:[OrderID]],Orders[],MATCH(OrderLines[[#Headers],[OrderDateTime]],Orders[#Headers],0),FALSE))</f>
        <v>45848</v>
      </c>
      <c r="I6" t="str" cm="1">
        <f t="array" ref="I6">VLOOKUP(OrderLines[[#This Row],[OrderID]:[OrderID]],Orders[],MATCH(OrderLines[[#Headers],[Branch]],Orders[#Headers],0),FALSE)</f>
        <v>Head Office Café</v>
      </c>
      <c r="J6" cm="1">
        <f t="array" ref="J6">VLOOKUP(OrderLines[[#This Row],[OrderID]:[OrderID]],Orders[],MATCH(OrderLines[[#Headers],[DiscountPct]],Orders[#Headers],0),FALSE)</f>
        <v>0</v>
      </c>
      <c r="K6" t="str" cm="1">
        <f t="array" ref="K6">VLOOKUP(OrderLines[[#This Row],[OrderID]:[OrderID]],Orders[],MATCH(OrderLines[[#Headers],[PaymentType]],Orders[#Headers],0),FALSE)</f>
        <v>Card</v>
      </c>
      <c r="L6" t="str" cm="1">
        <f t="array" ref="L6">VLOOKUP(OrderLines[[#This Row],[OrderID]:[OrderID]],Orders[],MATCH(OrderLines[[#Headers],[Shift]],Orders[#Headers],0),FALSE)</f>
        <v>Lunch</v>
      </c>
      <c r="M6" s="8">
        <f>(OrderLines[[#This Row],[Qty]]*OrderLines[[#This Row],[UnitPrice]])*(1-OrderLines[[#This Row],[DiscountPct]])</f>
        <v>52.45</v>
      </c>
      <c r="N6" t="str">
        <f>IF(AND(COUNTIFS(OrderLines[OrderID],OrderLines[[#This Row],[OrderID]],OrderLines[Category],"Hot Meal"),COUNTIFS(OrderLines[OrderID],OrderLines[[#This Row],[OrderID]],OrderLines[Category],"Beverage")),"Combo","Single")</f>
        <v>Combo</v>
      </c>
      <c r="O6" s="8" t="str" cm="1">
        <f t="array" ref="O6">IF(SUMPRODUCT(OrderLines[UnitPrice],OrderLines[Qty],OrderLines[DiscountPct],--(OrderLines[OrderID] = OrderLines[[#This Row],[OrderID]]))&gt;40,"High Discount","Ok")</f>
        <v>Ok</v>
      </c>
      <c r="P6">
        <f>OrderLines[[#This Row],[UnitCost]]*OrderLines[[#This Row],[Qty]]</f>
        <v>25.8</v>
      </c>
      <c r="Q6" s="8">
        <f>OrderLines[[#This Row],[LineNetAmount]]-OrderLines[[#This Row],[Food Cost]]</f>
        <v>26.650000000000002</v>
      </c>
    </row>
    <row r="7" spans="1:17" x14ac:dyDescent="0.3">
      <c r="A7" t="s">
        <v>20</v>
      </c>
      <c r="B7" t="s">
        <v>405</v>
      </c>
      <c r="C7">
        <v>3</v>
      </c>
      <c r="D7" cm="1">
        <f t="array" ref="D7">VLOOKUP(OrderLines[[#This Row],[SKU]:[SKU]],Menu[],MATCH(OrderLines[[#Headers],[UnitPrice]],Menu[#Headers],0),FALSE)</f>
        <v>170.83</v>
      </c>
      <c r="E7" cm="1">
        <f t="array" ref="E7">VLOOKUP(OrderLines[[#This Row],[SKU]:[SKU]],Menu[],MATCH(OrderLines[[#Headers],[UnitCost]],Menu[#Headers],0),FALSE)</f>
        <v>74.069999999999993</v>
      </c>
      <c r="F7" t="str" cm="1">
        <f t="array" ref="F7">VLOOKUP(OrderLines[[#This Row],[SKU]:[SKU]],Menu[],MATCH(OrderLines[[#Headers],[Category]],Menu[#Headers],0),FALSE)</f>
        <v>Hot Meal</v>
      </c>
      <c r="G7" t="str" cm="1">
        <f t="array" ref="G7">_xlfn.TEXTJOIN("+",TRUE,_xlfn._xlws.SORT(_xlfn.UNIQUE(_xlfn._xlws.FILTER(OrderLines[Category],OrderLines[OrderID]=OrderLines[[#This Row],[OrderID]]))))</f>
        <v>Beverage+Hot Meal+Snack</v>
      </c>
      <c r="H7" s="2" cm="1">
        <f t="array" ref="H7">INT(VLOOKUP(OrderLines[[#This Row],[OrderID]:[OrderID]],Orders[],MATCH(OrderLines[[#Headers],[OrderDateTime]],Orders[#Headers],0),FALSE))</f>
        <v>45848</v>
      </c>
      <c r="I7" t="str" cm="1">
        <f t="array" ref="I7">VLOOKUP(OrderLines[[#This Row],[OrderID]:[OrderID]],Orders[],MATCH(OrderLines[[#Headers],[Branch]],Orders[#Headers],0),FALSE)</f>
        <v>Head Office Café</v>
      </c>
      <c r="J7" cm="1">
        <f t="array" ref="J7">VLOOKUP(OrderLines[[#This Row],[OrderID]:[OrderID]],Orders[],MATCH(OrderLines[[#Headers],[DiscountPct]],Orders[#Headers],0),FALSE)</f>
        <v>0</v>
      </c>
      <c r="K7" t="str" cm="1">
        <f t="array" ref="K7">VLOOKUP(OrderLines[[#This Row],[OrderID]:[OrderID]],Orders[],MATCH(OrderLines[[#Headers],[PaymentType]],Orders[#Headers],0),FALSE)</f>
        <v>Card</v>
      </c>
      <c r="L7" t="str" cm="1">
        <f t="array" ref="L7">VLOOKUP(OrderLines[[#This Row],[OrderID]:[OrderID]],Orders[],MATCH(OrderLines[[#Headers],[Shift]],Orders[#Headers],0),FALSE)</f>
        <v>Lunch</v>
      </c>
      <c r="M7" s="8">
        <f>(OrderLines[[#This Row],[Qty]]*OrderLines[[#This Row],[UnitPrice]])*(1-OrderLines[[#This Row],[DiscountPct]])</f>
        <v>512.49</v>
      </c>
      <c r="N7" t="str">
        <f>IF(AND(COUNTIFS(OrderLines[OrderID],OrderLines[[#This Row],[OrderID]],OrderLines[Category],"Hot Meal"),COUNTIFS(OrderLines[OrderID],OrderLines[[#This Row],[OrderID]],OrderLines[Category],"Beverage")),"Combo","Single")</f>
        <v>Combo</v>
      </c>
      <c r="O7" s="8" t="str" cm="1">
        <f t="array" ref="O7">IF(SUMPRODUCT(OrderLines[UnitPrice],OrderLines[Qty],OrderLines[DiscountPct],--(OrderLines[OrderID] = OrderLines[[#This Row],[OrderID]]))&gt;40,"High Discount","Ok")</f>
        <v>Ok</v>
      </c>
      <c r="P7">
        <f>OrderLines[[#This Row],[UnitCost]]*OrderLines[[#This Row],[Qty]]</f>
        <v>222.20999999999998</v>
      </c>
      <c r="Q7" s="8">
        <f>OrderLines[[#This Row],[LineNetAmount]]-OrderLines[[#This Row],[Food Cost]]</f>
        <v>290.28000000000003</v>
      </c>
    </row>
    <row r="8" spans="1:17" x14ac:dyDescent="0.3">
      <c r="A8" t="s">
        <v>20</v>
      </c>
      <c r="B8" t="s">
        <v>406</v>
      </c>
      <c r="C8">
        <v>1</v>
      </c>
      <c r="D8" cm="1">
        <f t="array" ref="D8">VLOOKUP(OrderLines[[#This Row],[SKU]:[SKU]],Menu[],MATCH(OrderLines[[#Headers],[UnitPrice]],Menu[#Headers],0),FALSE)</f>
        <v>38.06</v>
      </c>
      <c r="E8" cm="1">
        <f t="array" ref="E8">VLOOKUP(OrderLines[[#This Row],[SKU]:[SKU]],Menu[],MATCH(OrderLines[[#Headers],[UnitCost]],Menu[#Headers],0),FALSE)</f>
        <v>19.55</v>
      </c>
      <c r="F8" t="str" cm="1">
        <f t="array" ref="F8">VLOOKUP(OrderLines[[#This Row],[SKU]:[SKU]],Menu[],MATCH(OrderLines[[#Headers],[Category]],Menu[#Headers],0),FALSE)</f>
        <v>Snack</v>
      </c>
      <c r="G8" t="str" cm="1">
        <f t="array" ref="G8">_xlfn.TEXTJOIN("+",TRUE,_xlfn._xlws.SORT(_xlfn.UNIQUE(_xlfn._xlws.FILTER(OrderLines[Category],OrderLines[OrderID]=OrderLines[[#This Row],[OrderID]]))))</f>
        <v>Beverage+Hot Meal+Snack</v>
      </c>
      <c r="H8" s="2" cm="1">
        <f t="array" ref="H8">INT(VLOOKUP(OrderLines[[#This Row],[OrderID]:[OrderID]],Orders[],MATCH(OrderLines[[#Headers],[OrderDateTime]],Orders[#Headers],0),FALSE))</f>
        <v>45848</v>
      </c>
      <c r="I8" t="str" cm="1">
        <f t="array" ref="I8">VLOOKUP(OrderLines[[#This Row],[OrderID]:[OrderID]],Orders[],MATCH(OrderLines[[#Headers],[Branch]],Orders[#Headers],0),FALSE)</f>
        <v>Head Office Café</v>
      </c>
      <c r="J8" cm="1">
        <f t="array" ref="J8">VLOOKUP(OrderLines[[#This Row],[OrderID]:[OrderID]],Orders[],MATCH(OrderLines[[#Headers],[DiscountPct]],Orders[#Headers],0),FALSE)</f>
        <v>0</v>
      </c>
      <c r="K8" t="str" cm="1">
        <f t="array" ref="K8">VLOOKUP(OrderLines[[#This Row],[OrderID]:[OrderID]],Orders[],MATCH(OrderLines[[#Headers],[PaymentType]],Orders[#Headers],0),FALSE)</f>
        <v>Card</v>
      </c>
      <c r="L8" t="str" cm="1">
        <f t="array" ref="L8">VLOOKUP(OrderLines[[#This Row],[OrderID]:[OrderID]],Orders[],MATCH(OrderLines[[#Headers],[Shift]],Orders[#Headers],0),FALSE)</f>
        <v>Lunch</v>
      </c>
      <c r="M8" s="8">
        <f>(OrderLines[[#This Row],[Qty]]*OrderLines[[#This Row],[UnitPrice]])*(1-OrderLines[[#This Row],[DiscountPct]])</f>
        <v>38.06</v>
      </c>
      <c r="N8" t="str">
        <f>IF(AND(COUNTIFS(OrderLines[OrderID],OrderLines[[#This Row],[OrderID]],OrderLines[Category],"Hot Meal"),COUNTIFS(OrderLines[OrderID],OrderLines[[#This Row],[OrderID]],OrderLines[Category],"Beverage")),"Combo","Single")</f>
        <v>Combo</v>
      </c>
      <c r="O8" s="8" t="str" cm="1">
        <f t="array" ref="O8">IF(SUMPRODUCT(OrderLines[UnitPrice],OrderLines[Qty],OrderLines[DiscountPct],--(OrderLines[OrderID] = OrderLines[[#This Row],[OrderID]]))&gt;40,"High Discount","Ok")</f>
        <v>Ok</v>
      </c>
      <c r="P8">
        <f>OrderLines[[#This Row],[UnitCost]]*OrderLines[[#This Row],[Qty]]</f>
        <v>19.55</v>
      </c>
      <c r="Q8" s="8">
        <f>OrderLines[[#This Row],[LineNetAmount]]-OrderLines[[#This Row],[Food Cost]]</f>
        <v>18.510000000000002</v>
      </c>
    </row>
    <row r="9" spans="1:17" x14ac:dyDescent="0.3">
      <c r="A9" t="s">
        <v>24</v>
      </c>
      <c r="B9" t="s">
        <v>407</v>
      </c>
      <c r="C9">
        <v>2</v>
      </c>
      <c r="D9" cm="1">
        <f t="array" ref="D9">VLOOKUP(OrderLines[[#This Row],[SKU]:[SKU]],Menu[],MATCH(OrderLines[[#Headers],[UnitPrice]],Menu[#Headers],0),FALSE)</f>
        <v>246.09</v>
      </c>
      <c r="E9" cm="1">
        <f t="array" ref="E9">VLOOKUP(OrderLines[[#This Row],[SKU]:[SKU]],Menu[],MATCH(OrderLines[[#Headers],[UnitCost]],Menu[#Headers],0),FALSE)</f>
        <v>112.08</v>
      </c>
      <c r="F9" t="str" cm="1">
        <f t="array" ref="F9">VLOOKUP(OrderLines[[#This Row],[SKU]:[SKU]],Menu[],MATCH(OrderLines[[#Headers],[Category]],Menu[#Headers],0),FALSE)</f>
        <v>Hot Meal</v>
      </c>
      <c r="G9" t="str" cm="1">
        <f t="array" ref="G9">_xlfn.TEXTJOIN("+",TRUE,_xlfn._xlws.SORT(_xlfn.UNIQUE(_xlfn._xlws.FILTER(OrderLines[Category],OrderLines[OrderID]=OrderLines[[#This Row],[OrderID]]))))</f>
        <v>Hot Meal</v>
      </c>
      <c r="H9" s="2" cm="1">
        <f t="array" ref="H9">INT(VLOOKUP(OrderLines[[#This Row],[OrderID]:[OrderID]],Orders[],MATCH(OrderLines[[#Headers],[OrderDateTime]],Orders[#Headers],0),FALSE))</f>
        <v>45879</v>
      </c>
      <c r="I9" t="str" cm="1">
        <f t="array" ref="I9">VLOOKUP(OrderLines[[#This Row],[OrderID]:[OrderID]],Orders[],MATCH(OrderLines[[#Headers],[Branch]],Orders[#Headers],0),FALSE)</f>
        <v>Plant 2 Canteen</v>
      </c>
      <c r="J9" cm="1">
        <f t="array" ref="J9">VLOOKUP(OrderLines[[#This Row],[OrderID]:[OrderID]],Orders[],MATCH(OrderLines[[#Headers],[DiscountPct]],Orders[#Headers],0),FALSE)</f>
        <v>0.03</v>
      </c>
      <c r="K9" t="str" cm="1">
        <f t="array" ref="K9">VLOOKUP(OrderLines[[#This Row],[OrderID]:[OrderID]],Orders[],MATCH(OrderLines[[#Headers],[PaymentType]],Orders[#Headers],0),FALSE)</f>
        <v>Cash</v>
      </c>
      <c r="L9" t="str" cm="1">
        <f t="array" ref="L9">VLOOKUP(OrderLines[[#This Row],[OrderID]:[OrderID]],Orders[],MATCH(OrderLines[[#Headers],[Shift]],Orders[#Headers],0),FALSE)</f>
        <v>Breakfast</v>
      </c>
      <c r="M9" s="8">
        <f>(OrderLines[[#This Row],[Qty]]*OrderLines[[#This Row],[UnitPrice]])*(1-OrderLines[[#This Row],[DiscountPct]])</f>
        <v>477.41460000000001</v>
      </c>
      <c r="N9" t="str">
        <f>IF(AND(COUNTIFS(OrderLines[OrderID],OrderLines[[#This Row],[OrderID]],OrderLines[Category],"Hot Meal"),COUNTIFS(OrderLines[OrderID],OrderLines[[#This Row],[OrderID]],OrderLines[Category],"Beverage")),"Combo","Single")</f>
        <v>Single</v>
      </c>
      <c r="O9" s="8" t="str" cm="1">
        <f t="array" ref="O9">IF(SUMPRODUCT(OrderLines[UnitPrice],OrderLines[Qty],OrderLines[DiscountPct],--(OrderLines[OrderID] = OrderLines[[#This Row],[OrderID]]))&gt;40,"High Discount","Ok")</f>
        <v>Ok</v>
      </c>
      <c r="P9">
        <f>OrderLines[[#This Row],[UnitCost]]*OrderLines[[#This Row],[Qty]]</f>
        <v>224.16</v>
      </c>
      <c r="Q9" s="8">
        <f>OrderLines[[#This Row],[LineNetAmount]]-OrderLines[[#This Row],[Food Cost]]</f>
        <v>253.25460000000001</v>
      </c>
    </row>
    <row r="10" spans="1:17" x14ac:dyDescent="0.3">
      <c r="A10" t="s">
        <v>25</v>
      </c>
      <c r="B10" t="s">
        <v>408</v>
      </c>
      <c r="C10">
        <v>1</v>
      </c>
      <c r="D10" cm="1">
        <f t="array" ref="D10">VLOOKUP(OrderLines[[#This Row],[SKU]:[SKU]],Menu[],MATCH(OrderLines[[#Headers],[UnitPrice]],Menu[#Headers],0),FALSE)</f>
        <v>70.540000000000006</v>
      </c>
      <c r="E10" cm="1">
        <f t="array" ref="E10">VLOOKUP(OrderLines[[#This Row],[SKU]:[SKU]],Menu[],MATCH(OrderLines[[#Headers],[UnitCost]],Menu[#Headers],0),FALSE)</f>
        <v>35.81</v>
      </c>
      <c r="F10" t="str" cm="1">
        <f t="array" ref="F10">VLOOKUP(OrderLines[[#This Row],[SKU]:[SKU]],Menu[],MATCH(OrderLines[[#Headers],[Category]],Menu[#Headers],0),FALSE)</f>
        <v>Snack</v>
      </c>
      <c r="G10" t="str" cm="1">
        <f t="array" ref="G10">_xlfn.TEXTJOIN("+",TRUE,_xlfn._xlws.SORT(_xlfn.UNIQUE(_xlfn._xlws.FILTER(OrderLines[Category],OrderLines[OrderID]=OrderLines[[#This Row],[OrderID]]))))</f>
        <v>Beverage+Snack</v>
      </c>
      <c r="H10" s="2" cm="1">
        <f t="array" ref="H10">INT(VLOOKUP(OrderLines[[#This Row],[OrderID]:[OrderID]],Orders[],MATCH(OrderLines[[#Headers],[OrderDateTime]],Orders[#Headers],0),FALSE))</f>
        <v>45845</v>
      </c>
      <c r="I10" t="str" cm="1">
        <f t="array" ref="I10">VLOOKUP(OrderLines[[#This Row],[OrderID]:[OrderID]],Orders[],MATCH(OrderLines[[#Headers],[Branch]],Orders[#Headers],0),FALSE)</f>
        <v>Plant 2 Canteen</v>
      </c>
      <c r="J10" cm="1">
        <f t="array" ref="J10">VLOOKUP(OrderLines[[#This Row],[OrderID]:[OrderID]],Orders[],MATCH(OrderLines[[#Headers],[DiscountPct]],Orders[#Headers],0),FALSE)</f>
        <v>0.04</v>
      </c>
      <c r="K10" t="str" cm="1">
        <f t="array" ref="K10">VLOOKUP(OrderLines[[#This Row],[OrderID]:[OrderID]],Orders[],MATCH(OrderLines[[#Headers],[PaymentType]],Orders[#Headers],0),FALSE)</f>
        <v>Card</v>
      </c>
      <c r="L10" t="str" cm="1">
        <f t="array" ref="L10">VLOOKUP(OrderLines[[#This Row],[OrderID]:[OrderID]],Orders[],MATCH(OrderLines[[#Headers],[Shift]],Orders[#Headers],0),FALSE)</f>
        <v>Breakfast</v>
      </c>
      <c r="M10" s="8">
        <f>(OrderLines[[#This Row],[Qty]]*OrderLines[[#This Row],[UnitPrice]])*(1-OrderLines[[#This Row],[DiscountPct]])</f>
        <v>67.718400000000003</v>
      </c>
      <c r="N10" t="str">
        <f>IF(AND(COUNTIFS(OrderLines[OrderID],OrderLines[[#This Row],[OrderID]],OrderLines[Category],"Hot Meal"),COUNTIFS(OrderLines[OrderID],OrderLines[[#This Row],[OrderID]],OrderLines[Category],"Beverage")),"Combo","Single")</f>
        <v>Single</v>
      </c>
      <c r="O10" s="8" t="str" cm="1">
        <f t="array" ref="O10">IF(SUMPRODUCT(OrderLines[UnitPrice],OrderLines[Qty],OrderLines[DiscountPct],--(OrderLines[OrderID] = OrderLines[[#This Row],[OrderID]]))&gt;40,"High Discount","Ok")</f>
        <v>Ok</v>
      </c>
      <c r="P10">
        <f>OrderLines[[#This Row],[UnitCost]]*OrderLines[[#This Row],[Qty]]</f>
        <v>35.81</v>
      </c>
      <c r="Q10" s="8">
        <f>OrderLines[[#This Row],[LineNetAmount]]-OrderLines[[#This Row],[Food Cost]]</f>
        <v>31.9084</v>
      </c>
    </row>
    <row r="11" spans="1:17" x14ac:dyDescent="0.3">
      <c r="A11" t="s">
        <v>25</v>
      </c>
      <c r="B11" t="s">
        <v>409</v>
      </c>
      <c r="C11">
        <v>1</v>
      </c>
      <c r="D11" cm="1">
        <f t="array" ref="D11">VLOOKUP(OrderLines[[#This Row],[SKU]:[SKU]],Menu[],MATCH(OrderLines[[#Headers],[UnitPrice]],Menu[#Headers],0),FALSE)</f>
        <v>28.43</v>
      </c>
      <c r="E11" cm="1">
        <f t="array" ref="E11">VLOOKUP(OrderLines[[#This Row],[SKU]:[SKU]],Menu[],MATCH(OrderLines[[#Headers],[UnitCost]],Menu[#Headers],0),FALSE)</f>
        <v>13.89</v>
      </c>
      <c r="F11" t="str" cm="1">
        <f t="array" ref="F11">VLOOKUP(OrderLines[[#This Row],[SKU]:[SKU]],Menu[],MATCH(OrderLines[[#Headers],[Category]],Menu[#Headers],0),FALSE)</f>
        <v>Beverage</v>
      </c>
      <c r="G11" t="str" cm="1">
        <f t="array" ref="G11">_xlfn.TEXTJOIN("+",TRUE,_xlfn._xlws.SORT(_xlfn.UNIQUE(_xlfn._xlws.FILTER(OrderLines[Category],OrderLines[OrderID]=OrderLines[[#This Row],[OrderID]]))))</f>
        <v>Beverage+Snack</v>
      </c>
      <c r="H11" s="2" cm="1">
        <f t="array" ref="H11">INT(VLOOKUP(OrderLines[[#This Row],[OrderID]:[OrderID]],Orders[],MATCH(OrderLines[[#Headers],[OrderDateTime]],Orders[#Headers],0),FALSE))</f>
        <v>45845</v>
      </c>
      <c r="I11" t="str" cm="1">
        <f t="array" ref="I11">VLOOKUP(OrderLines[[#This Row],[OrderID]:[OrderID]],Orders[],MATCH(OrderLines[[#Headers],[Branch]],Orders[#Headers],0),FALSE)</f>
        <v>Plant 2 Canteen</v>
      </c>
      <c r="J11" cm="1">
        <f t="array" ref="J11">VLOOKUP(OrderLines[[#This Row],[OrderID]:[OrderID]],Orders[],MATCH(OrderLines[[#Headers],[DiscountPct]],Orders[#Headers],0),FALSE)</f>
        <v>0.04</v>
      </c>
      <c r="K11" t="str" cm="1">
        <f t="array" ref="K11">VLOOKUP(OrderLines[[#This Row],[OrderID]:[OrderID]],Orders[],MATCH(OrderLines[[#Headers],[PaymentType]],Orders[#Headers],0),FALSE)</f>
        <v>Card</v>
      </c>
      <c r="L11" t="str" cm="1">
        <f t="array" ref="L11">VLOOKUP(OrderLines[[#This Row],[OrderID]:[OrderID]],Orders[],MATCH(OrderLines[[#Headers],[Shift]],Orders[#Headers],0),FALSE)</f>
        <v>Breakfast</v>
      </c>
      <c r="M11" s="8">
        <f>(OrderLines[[#This Row],[Qty]]*OrderLines[[#This Row],[UnitPrice]])*(1-OrderLines[[#This Row],[DiscountPct]])</f>
        <v>27.2928</v>
      </c>
      <c r="N11" t="str">
        <f>IF(AND(COUNTIFS(OrderLines[OrderID],OrderLines[[#This Row],[OrderID]],OrderLines[Category],"Hot Meal"),COUNTIFS(OrderLines[OrderID],OrderLines[[#This Row],[OrderID]],OrderLines[Category],"Beverage")),"Combo","Single")</f>
        <v>Single</v>
      </c>
      <c r="O11" s="8" t="str" cm="1">
        <f t="array" ref="O11">IF(SUMPRODUCT(OrderLines[UnitPrice],OrderLines[Qty],OrderLines[DiscountPct],--(OrderLines[OrderID] = OrderLines[[#This Row],[OrderID]]))&gt;40,"High Discount","Ok")</f>
        <v>Ok</v>
      </c>
      <c r="P11">
        <f>OrderLines[[#This Row],[UnitCost]]*OrderLines[[#This Row],[Qty]]</f>
        <v>13.89</v>
      </c>
      <c r="Q11" s="8">
        <f>OrderLines[[#This Row],[LineNetAmount]]-OrderLines[[#This Row],[Food Cost]]</f>
        <v>13.402799999999999</v>
      </c>
    </row>
    <row r="12" spans="1:17" x14ac:dyDescent="0.3">
      <c r="A12" t="s">
        <v>26</v>
      </c>
      <c r="B12" t="s">
        <v>410</v>
      </c>
      <c r="C12">
        <v>3</v>
      </c>
      <c r="D12" cm="1">
        <f t="array" ref="D12">VLOOKUP(OrderLines[[#This Row],[SKU]:[SKU]],Menu[],MATCH(OrderLines[[#Headers],[UnitPrice]],Menu[#Headers],0),FALSE)</f>
        <v>20.11</v>
      </c>
      <c r="E12" cm="1">
        <f t="array" ref="E12">VLOOKUP(OrderLines[[#This Row],[SKU]:[SKU]],Menu[],MATCH(OrderLines[[#Headers],[UnitCost]],Menu[#Headers],0),FALSE)</f>
        <v>8</v>
      </c>
      <c r="F12" t="str" cm="1">
        <f t="array" ref="F12">VLOOKUP(OrderLines[[#This Row],[SKU]:[SKU]],Menu[],MATCH(OrderLines[[#Headers],[Category]],Menu[#Headers],0),FALSE)</f>
        <v>Beverage</v>
      </c>
      <c r="G12" t="str" cm="1">
        <f t="array" ref="G12">_xlfn.TEXTJOIN("+",TRUE,_xlfn._xlws.SORT(_xlfn.UNIQUE(_xlfn._xlws.FILTER(OrderLines[Category],OrderLines[OrderID]=OrderLines[[#This Row],[OrderID]]))))</f>
        <v>Beverage</v>
      </c>
      <c r="H12" s="2" cm="1">
        <f t="array" ref="H12">INT(VLOOKUP(OrderLines[[#This Row],[OrderID]:[OrderID]],Orders[],MATCH(OrderLines[[#Headers],[OrderDateTime]],Orders[#Headers],0),FALSE))</f>
        <v>45863</v>
      </c>
      <c r="I12" t="str" cm="1">
        <f t="array" ref="I12">VLOOKUP(OrderLines[[#This Row],[OrderID]:[OrderID]],Orders[],MATCH(OrderLines[[#Headers],[Branch]],Orders[#Headers],0),FALSE)</f>
        <v>Plant 1 Canteen</v>
      </c>
      <c r="J12" cm="1">
        <f t="array" ref="J12">VLOOKUP(OrderLines[[#This Row],[OrderID]:[OrderID]],Orders[],MATCH(OrderLines[[#Headers],[DiscountPct]],Orders[#Headers],0),FALSE)</f>
        <v>0.1</v>
      </c>
      <c r="K12" t="str" cm="1">
        <f t="array" ref="K12">VLOOKUP(OrderLines[[#This Row],[OrderID]:[OrderID]],Orders[],MATCH(OrderLines[[#Headers],[PaymentType]],Orders[#Headers],0),FALSE)</f>
        <v>UPI</v>
      </c>
      <c r="L12" t="str" cm="1">
        <f t="array" ref="L12">VLOOKUP(OrderLines[[#This Row],[OrderID]:[OrderID]],Orders[],MATCH(OrderLines[[#Headers],[Shift]],Orders[#Headers],0),FALSE)</f>
        <v>Breakfast</v>
      </c>
      <c r="M12" s="8">
        <f>(OrderLines[[#This Row],[Qty]]*OrderLines[[#This Row],[UnitPrice]])*(1-OrderLines[[#This Row],[DiscountPct]])</f>
        <v>54.296999999999997</v>
      </c>
      <c r="N12" t="str">
        <f>IF(AND(COUNTIFS(OrderLines[OrderID],OrderLines[[#This Row],[OrderID]],OrderLines[Category],"Hot Meal"),COUNTIFS(OrderLines[OrderID],OrderLines[[#This Row],[OrderID]],OrderLines[Category],"Beverage")),"Combo","Single")</f>
        <v>Single</v>
      </c>
      <c r="O12" s="8" t="str" cm="1">
        <f t="array" ref="O12">IF(SUMPRODUCT(OrderLines[UnitPrice],OrderLines[Qty],OrderLines[DiscountPct],--(OrderLines[OrderID] = OrderLines[[#This Row],[OrderID]]))&gt;40,"High Discount","Ok")</f>
        <v>Ok</v>
      </c>
      <c r="P12">
        <f>OrderLines[[#This Row],[UnitCost]]*OrderLines[[#This Row],[Qty]]</f>
        <v>24</v>
      </c>
      <c r="Q12" s="8">
        <f>OrderLines[[#This Row],[LineNetAmount]]-OrderLines[[#This Row],[Food Cost]]</f>
        <v>30.296999999999997</v>
      </c>
    </row>
    <row r="13" spans="1:17" x14ac:dyDescent="0.3">
      <c r="A13" t="s">
        <v>30</v>
      </c>
      <c r="B13" t="s">
        <v>404</v>
      </c>
      <c r="C13">
        <v>1</v>
      </c>
      <c r="D13" cm="1">
        <f t="array" ref="D13">VLOOKUP(OrderLines[[#This Row],[SKU]:[SKU]],Menu[],MATCH(OrderLines[[#Headers],[UnitPrice]],Menu[#Headers],0),FALSE)</f>
        <v>32.979999999999997</v>
      </c>
      <c r="E13" cm="1">
        <f t="array" ref="E13">VLOOKUP(OrderLines[[#This Row],[SKU]:[SKU]],Menu[],MATCH(OrderLines[[#Headers],[UnitCost]],Menu[#Headers],0),FALSE)</f>
        <v>11.84</v>
      </c>
      <c r="F13" t="str" cm="1">
        <f t="array" ref="F13">VLOOKUP(OrderLines[[#This Row],[SKU]:[SKU]],Menu[],MATCH(OrderLines[[#Headers],[Category]],Menu[#Headers],0),FALSE)</f>
        <v>Beverage</v>
      </c>
      <c r="G13" t="str" cm="1">
        <f t="array" ref="G13">_xlfn.TEXTJOIN("+",TRUE,_xlfn._xlws.SORT(_xlfn.UNIQUE(_xlfn._xlws.FILTER(OrderLines[Category],OrderLines[OrderID]=OrderLines[[#This Row],[OrderID]]))))</f>
        <v>Beverage+Hot Meal</v>
      </c>
      <c r="H13" s="2" cm="1">
        <f t="array" ref="H13">INT(VLOOKUP(OrderLines[[#This Row],[OrderID]:[OrderID]],Orders[],MATCH(OrderLines[[#Headers],[OrderDateTime]],Orders[#Headers],0),FALSE))</f>
        <v>45852</v>
      </c>
      <c r="I13" t="str" cm="1">
        <f t="array" ref="I13">VLOOKUP(OrderLines[[#This Row],[OrderID]:[OrderID]],Orders[],MATCH(OrderLines[[#Headers],[Branch]],Orders[#Headers],0),FALSE)</f>
        <v>Plant 2 Canteen</v>
      </c>
      <c r="J13" cm="1">
        <f t="array" ref="J13">VLOOKUP(OrderLines[[#This Row],[OrderID]:[OrderID]],Orders[],MATCH(OrderLines[[#Headers],[DiscountPct]],Orders[#Headers],0),FALSE)</f>
        <v>7.0000000000000007E-2</v>
      </c>
      <c r="K13" t="str" cm="1">
        <f t="array" ref="K13">VLOOKUP(OrderLines[[#This Row],[OrderID]:[OrderID]],Orders[],MATCH(OrderLines[[#Headers],[PaymentType]],Orders[#Headers],0),FALSE)</f>
        <v>Card</v>
      </c>
      <c r="L13" t="str" cm="1">
        <f t="array" ref="L13">VLOOKUP(OrderLines[[#This Row],[OrderID]:[OrderID]],Orders[],MATCH(OrderLines[[#Headers],[Shift]],Orders[#Headers],0),FALSE)</f>
        <v>Dinner</v>
      </c>
      <c r="M13" s="8">
        <f>(OrderLines[[#This Row],[Qty]]*OrderLines[[#This Row],[UnitPrice]])*(1-OrderLines[[#This Row],[DiscountPct]])</f>
        <v>30.671399999999995</v>
      </c>
      <c r="N13" t="str">
        <f>IF(AND(COUNTIFS(OrderLines[OrderID],OrderLines[[#This Row],[OrderID]],OrderLines[Category],"Hot Meal"),COUNTIFS(OrderLines[OrderID],OrderLines[[#This Row],[OrderID]],OrderLines[Category],"Beverage")),"Combo","Single")</f>
        <v>Combo</v>
      </c>
      <c r="O13" s="8" t="str" cm="1">
        <f t="array" ref="O13">IF(SUMPRODUCT(OrderLines[UnitPrice],OrderLines[Qty],OrderLines[DiscountPct],--(OrderLines[OrderID] = OrderLines[[#This Row],[OrderID]]))&gt;40,"High Discount","Ok")</f>
        <v>Ok</v>
      </c>
      <c r="P13">
        <f>OrderLines[[#This Row],[UnitCost]]*OrderLines[[#This Row],[Qty]]</f>
        <v>11.84</v>
      </c>
      <c r="Q13" s="8">
        <f>OrderLines[[#This Row],[LineNetAmount]]-OrderLines[[#This Row],[Food Cost]]</f>
        <v>18.831399999999995</v>
      </c>
    </row>
    <row r="14" spans="1:17" x14ac:dyDescent="0.3">
      <c r="A14" t="s">
        <v>30</v>
      </c>
      <c r="B14" t="s">
        <v>405</v>
      </c>
      <c r="C14">
        <v>2</v>
      </c>
      <c r="D14" cm="1">
        <f t="array" ref="D14">VLOOKUP(OrderLines[[#This Row],[SKU]:[SKU]],Menu[],MATCH(OrderLines[[#Headers],[UnitPrice]],Menu[#Headers],0),FALSE)</f>
        <v>170.83</v>
      </c>
      <c r="E14" cm="1">
        <f t="array" ref="E14">VLOOKUP(OrderLines[[#This Row],[SKU]:[SKU]],Menu[],MATCH(OrderLines[[#Headers],[UnitCost]],Menu[#Headers],0),FALSE)</f>
        <v>74.069999999999993</v>
      </c>
      <c r="F14" t="str" cm="1">
        <f t="array" ref="F14">VLOOKUP(OrderLines[[#This Row],[SKU]:[SKU]],Menu[],MATCH(OrderLines[[#Headers],[Category]],Menu[#Headers],0),FALSE)</f>
        <v>Hot Meal</v>
      </c>
      <c r="G14" t="str" cm="1">
        <f t="array" ref="G14">_xlfn.TEXTJOIN("+",TRUE,_xlfn._xlws.SORT(_xlfn.UNIQUE(_xlfn._xlws.FILTER(OrderLines[Category],OrderLines[OrderID]=OrderLines[[#This Row],[OrderID]]))))</f>
        <v>Beverage+Hot Meal</v>
      </c>
      <c r="H14" s="2" cm="1">
        <f t="array" ref="H14">INT(VLOOKUP(OrderLines[[#This Row],[OrderID]:[OrderID]],Orders[],MATCH(OrderLines[[#Headers],[OrderDateTime]],Orders[#Headers],0),FALSE))</f>
        <v>45852</v>
      </c>
      <c r="I14" t="str" cm="1">
        <f t="array" ref="I14">VLOOKUP(OrderLines[[#This Row],[OrderID]:[OrderID]],Orders[],MATCH(OrderLines[[#Headers],[Branch]],Orders[#Headers],0),FALSE)</f>
        <v>Plant 2 Canteen</v>
      </c>
      <c r="J14" cm="1">
        <f t="array" ref="J14">VLOOKUP(OrderLines[[#This Row],[OrderID]:[OrderID]],Orders[],MATCH(OrderLines[[#Headers],[DiscountPct]],Orders[#Headers],0),FALSE)</f>
        <v>7.0000000000000007E-2</v>
      </c>
      <c r="K14" t="str" cm="1">
        <f t="array" ref="K14">VLOOKUP(OrderLines[[#This Row],[OrderID]:[OrderID]],Orders[],MATCH(OrderLines[[#Headers],[PaymentType]],Orders[#Headers],0),FALSE)</f>
        <v>Card</v>
      </c>
      <c r="L14" t="str" cm="1">
        <f t="array" ref="L14">VLOOKUP(OrderLines[[#This Row],[OrderID]:[OrderID]],Orders[],MATCH(OrderLines[[#Headers],[Shift]],Orders[#Headers],0),FALSE)</f>
        <v>Dinner</v>
      </c>
      <c r="M14" s="8">
        <f>(OrderLines[[#This Row],[Qty]]*OrderLines[[#This Row],[UnitPrice]])*(1-OrderLines[[#This Row],[DiscountPct]])</f>
        <v>317.74380000000002</v>
      </c>
      <c r="N14" t="str">
        <f>IF(AND(COUNTIFS(OrderLines[OrderID],OrderLines[[#This Row],[OrderID]],OrderLines[Category],"Hot Meal"),COUNTIFS(OrderLines[OrderID],OrderLines[[#This Row],[OrderID]],OrderLines[Category],"Beverage")),"Combo","Single")</f>
        <v>Combo</v>
      </c>
      <c r="O14" s="8" t="str" cm="1">
        <f t="array" ref="O14">IF(SUMPRODUCT(OrderLines[UnitPrice],OrderLines[Qty],OrderLines[DiscountPct],--(OrderLines[OrderID] = OrderLines[[#This Row],[OrderID]]))&gt;40,"High Discount","Ok")</f>
        <v>Ok</v>
      </c>
      <c r="P14">
        <f>OrderLines[[#This Row],[UnitCost]]*OrderLines[[#This Row],[Qty]]</f>
        <v>148.13999999999999</v>
      </c>
      <c r="Q14" s="8">
        <f>OrderLines[[#This Row],[LineNetAmount]]-OrderLines[[#This Row],[Food Cost]]</f>
        <v>169.60380000000004</v>
      </c>
    </row>
    <row r="15" spans="1:17" x14ac:dyDescent="0.3">
      <c r="A15" t="s">
        <v>31</v>
      </c>
      <c r="B15" t="s">
        <v>411</v>
      </c>
      <c r="C15">
        <v>1</v>
      </c>
      <c r="D15" cm="1">
        <f t="array" ref="D15">VLOOKUP(OrderLines[[#This Row],[SKU]:[SKU]],Menu[],MATCH(OrderLines[[#Headers],[UnitPrice]],Menu[#Headers],0),FALSE)</f>
        <v>22.2</v>
      </c>
      <c r="E15" cm="1">
        <f t="array" ref="E15">VLOOKUP(OrderLines[[#This Row],[SKU]:[SKU]],Menu[],MATCH(OrderLines[[#Headers],[UnitCost]],Menu[#Headers],0),FALSE)</f>
        <v>9.3800000000000008</v>
      </c>
      <c r="F15" t="str" cm="1">
        <f t="array" ref="F15">VLOOKUP(OrderLines[[#This Row],[SKU]:[SKU]],Menu[],MATCH(OrderLines[[#Headers],[Category]],Menu[#Headers],0),FALSE)</f>
        <v>Beverage</v>
      </c>
      <c r="G15" t="str" cm="1">
        <f t="array" ref="G15">_xlfn.TEXTJOIN("+",TRUE,_xlfn._xlws.SORT(_xlfn.UNIQUE(_xlfn._xlws.FILTER(OrderLines[Category],OrderLines[OrderID]=OrderLines[[#This Row],[OrderID]]))))</f>
        <v>Beverage+Dessert</v>
      </c>
      <c r="H15" s="2" cm="1">
        <f t="array" ref="H15">INT(VLOOKUP(OrderLines[[#This Row],[OrderID]:[OrderID]],Orders[],MATCH(OrderLines[[#Headers],[OrderDateTime]],Orders[#Headers],0),FALSE))</f>
        <v>45863</v>
      </c>
      <c r="I15" t="str" cm="1">
        <f t="array" ref="I15">VLOOKUP(OrderLines[[#This Row],[OrderID]:[OrderID]],Orders[],MATCH(OrderLines[[#Headers],[Branch]],Orders[#Headers],0),FALSE)</f>
        <v>Plant 1 Canteen</v>
      </c>
      <c r="J15" cm="1">
        <f t="array" ref="J15">VLOOKUP(OrderLines[[#This Row],[OrderID]:[OrderID]],Orders[],MATCH(OrderLines[[#Headers],[DiscountPct]],Orders[#Headers],0),FALSE)</f>
        <v>0</v>
      </c>
      <c r="K15" t="str" cm="1">
        <f t="array" ref="K15">VLOOKUP(OrderLines[[#This Row],[OrderID]:[OrderID]],Orders[],MATCH(OrderLines[[#Headers],[PaymentType]],Orders[#Headers],0),FALSE)</f>
        <v>UPI</v>
      </c>
      <c r="L15" t="str" cm="1">
        <f t="array" ref="L15">VLOOKUP(OrderLines[[#This Row],[OrderID]:[OrderID]],Orders[],MATCH(OrderLines[[#Headers],[Shift]],Orders[#Headers],0),FALSE)</f>
        <v>Lunch</v>
      </c>
      <c r="M15" s="8">
        <f>(OrderLines[[#This Row],[Qty]]*OrderLines[[#This Row],[UnitPrice]])*(1-OrderLines[[#This Row],[DiscountPct]])</f>
        <v>22.2</v>
      </c>
      <c r="N15" t="str">
        <f>IF(AND(COUNTIFS(OrderLines[OrderID],OrderLines[[#This Row],[OrderID]],OrderLines[Category],"Hot Meal"),COUNTIFS(OrderLines[OrderID],OrderLines[[#This Row],[OrderID]],OrderLines[Category],"Beverage")),"Combo","Single")</f>
        <v>Single</v>
      </c>
      <c r="O15" s="8" t="str" cm="1">
        <f t="array" ref="O15">IF(SUMPRODUCT(OrderLines[UnitPrice],OrderLines[Qty],OrderLines[DiscountPct],--(OrderLines[OrderID] = OrderLines[[#This Row],[OrderID]]))&gt;40,"High Discount","Ok")</f>
        <v>Ok</v>
      </c>
      <c r="P15">
        <f>OrderLines[[#This Row],[UnitCost]]*OrderLines[[#This Row],[Qty]]</f>
        <v>9.3800000000000008</v>
      </c>
      <c r="Q15" s="8">
        <f>OrderLines[[#This Row],[LineNetAmount]]-OrderLines[[#This Row],[Food Cost]]</f>
        <v>12.819999999999999</v>
      </c>
    </row>
    <row r="16" spans="1:17" x14ac:dyDescent="0.3">
      <c r="A16" t="s">
        <v>31</v>
      </c>
      <c r="B16" t="s">
        <v>412</v>
      </c>
      <c r="C16">
        <v>3</v>
      </c>
      <c r="D16" cm="1">
        <f t="array" ref="D16">VLOOKUP(OrderLines[[#This Row],[SKU]:[SKU]],Menu[],MATCH(OrderLines[[#Headers],[UnitPrice]],Menu[#Headers],0),FALSE)</f>
        <v>57.07</v>
      </c>
      <c r="E16" cm="1">
        <f t="array" ref="E16">VLOOKUP(OrderLines[[#This Row],[SKU]:[SKU]],Menu[],MATCH(OrderLines[[#Headers],[UnitCost]],Menu[#Headers],0),FALSE)</f>
        <v>29.14</v>
      </c>
      <c r="F16" t="str" cm="1">
        <f t="array" ref="F16">VLOOKUP(OrderLines[[#This Row],[SKU]:[SKU]],Menu[],MATCH(OrderLines[[#Headers],[Category]],Menu[#Headers],0),FALSE)</f>
        <v>Dessert</v>
      </c>
      <c r="G16" t="str" cm="1">
        <f t="array" ref="G16">_xlfn.TEXTJOIN("+",TRUE,_xlfn._xlws.SORT(_xlfn.UNIQUE(_xlfn._xlws.FILTER(OrderLines[Category],OrderLines[OrderID]=OrderLines[[#This Row],[OrderID]]))))</f>
        <v>Beverage+Dessert</v>
      </c>
      <c r="H16" s="2" cm="1">
        <f t="array" ref="H16">INT(VLOOKUP(OrderLines[[#This Row],[OrderID]:[OrderID]],Orders[],MATCH(OrderLines[[#Headers],[OrderDateTime]],Orders[#Headers],0),FALSE))</f>
        <v>45863</v>
      </c>
      <c r="I16" t="str" cm="1">
        <f t="array" ref="I16">VLOOKUP(OrderLines[[#This Row],[OrderID]:[OrderID]],Orders[],MATCH(OrderLines[[#Headers],[Branch]],Orders[#Headers],0),FALSE)</f>
        <v>Plant 1 Canteen</v>
      </c>
      <c r="J16" cm="1">
        <f t="array" ref="J16">VLOOKUP(OrderLines[[#This Row],[OrderID]:[OrderID]],Orders[],MATCH(OrderLines[[#Headers],[DiscountPct]],Orders[#Headers],0),FALSE)</f>
        <v>0</v>
      </c>
      <c r="K16" t="str" cm="1">
        <f t="array" ref="K16">VLOOKUP(OrderLines[[#This Row],[OrderID]:[OrderID]],Orders[],MATCH(OrderLines[[#Headers],[PaymentType]],Orders[#Headers],0),FALSE)</f>
        <v>UPI</v>
      </c>
      <c r="L16" t="str" cm="1">
        <f t="array" ref="L16">VLOOKUP(OrderLines[[#This Row],[OrderID]:[OrderID]],Orders[],MATCH(OrderLines[[#Headers],[Shift]],Orders[#Headers],0),FALSE)</f>
        <v>Lunch</v>
      </c>
      <c r="M16" s="8">
        <f>(OrderLines[[#This Row],[Qty]]*OrderLines[[#This Row],[UnitPrice]])*(1-OrderLines[[#This Row],[DiscountPct]])</f>
        <v>171.21</v>
      </c>
      <c r="N16" t="str">
        <f>IF(AND(COUNTIFS(OrderLines[OrderID],OrderLines[[#This Row],[OrderID]],OrderLines[Category],"Hot Meal"),COUNTIFS(OrderLines[OrderID],OrderLines[[#This Row],[OrderID]],OrderLines[Category],"Beverage")),"Combo","Single")</f>
        <v>Single</v>
      </c>
      <c r="O16" s="8" t="str" cm="1">
        <f t="array" ref="O16">IF(SUMPRODUCT(OrderLines[UnitPrice],OrderLines[Qty],OrderLines[DiscountPct],--(OrderLines[OrderID] = OrderLines[[#This Row],[OrderID]]))&gt;40,"High Discount","Ok")</f>
        <v>Ok</v>
      </c>
      <c r="P16">
        <f>OrderLines[[#This Row],[UnitCost]]*OrderLines[[#This Row],[Qty]]</f>
        <v>87.42</v>
      </c>
      <c r="Q16" s="8">
        <f>OrderLines[[#This Row],[LineNetAmount]]-OrderLines[[#This Row],[Food Cost]]</f>
        <v>83.79</v>
      </c>
    </row>
    <row r="17" spans="1:17" x14ac:dyDescent="0.3">
      <c r="A17" t="s">
        <v>31</v>
      </c>
      <c r="B17" t="s">
        <v>402</v>
      </c>
      <c r="C17">
        <v>1</v>
      </c>
      <c r="D17" cm="1">
        <f t="array" ref="D17">VLOOKUP(OrderLines[[#This Row],[SKU]:[SKU]],Menu[],MATCH(OrderLines[[#Headers],[UnitPrice]],Menu[#Headers],0),FALSE)</f>
        <v>30.34</v>
      </c>
      <c r="E17" cm="1">
        <f t="array" ref="E17">VLOOKUP(OrderLines[[#This Row],[SKU]:[SKU]],Menu[],MATCH(OrderLines[[#Headers],[UnitCost]],Menu[#Headers],0),FALSE)</f>
        <v>14.18</v>
      </c>
      <c r="F17" t="str" cm="1">
        <f t="array" ref="F17">VLOOKUP(OrderLines[[#This Row],[SKU]:[SKU]],Menu[],MATCH(OrderLines[[#Headers],[Category]],Menu[#Headers],0),FALSE)</f>
        <v>Beverage</v>
      </c>
      <c r="G17" t="str" cm="1">
        <f t="array" ref="G17">_xlfn.TEXTJOIN("+",TRUE,_xlfn._xlws.SORT(_xlfn.UNIQUE(_xlfn._xlws.FILTER(OrderLines[Category],OrderLines[OrderID]=OrderLines[[#This Row],[OrderID]]))))</f>
        <v>Beverage+Dessert</v>
      </c>
      <c r="H17" s="2" cm="1">
        <f t="array" ref="H17">INT(VLOOKUP(OrderLines[[#This Row],[OrderID]:[OrderID]],Orders[],MATCH(OrderLines[[#Headers],[OrderDateTime]],Orders[#Headers],0),FALSE))</f>
        <v>45863</v>
      </c>
      <c r="I17" t="str" cm="1">
        <f t="array" ref="I17">VLOOKUP(OrderLines[[#This Row],[OrderID]:[OrderID]],Orders[],MATCH(OrderLines[[#Headers],[Branch]],Orders[#Headers],0),FALSE)</f>
        <v>Plant 1 Canteen</v>
      </c>
      <c r="J17" cm="1">
        <f t="array" ref="J17">VLOOKUP(OrderLines[[#This Row],[OrderID]:[OrderID]],Orders[],MATCH(OrderLines[[#Headers],[DiscountPct]],Orders[#Headers],0),FALSE)</f>
        <v>0</v>
      </c>
      <c r="K17" t="str" cm="1">
        <f t="array" ref="K17">VLOOKUP(OrderLines[[#This Row],[OrderID]:[OrderID]],Orders[],MATCH(OrderLines[[#Headers],[PaymentType]],Orders[#Headers],0),FALSE)</f>
        <v>UPI</v>
      </c>
      <c r="L17" t="str" cm="1">
        <f t="array" ref="L17">VLOOKUP(OrderLines[[#This Row],[OrderID]:[OrderID]],Orders[],MATCH(OrderLines[[#Headers],[Shift]],Orders[#Headers],0),FALSE)</f>
        <v>Lunch</v>
      </c>
      <c r="M17" s="8">
        <f>(OrderLines[[#This Row],[Qty]]*OrderLines[[#This Row],[UnitPrice]])*(1-OrderLines[[#This Row],[DiscountPct]])</f>
        <v>30.34</v>
      </c>
      <c r="N17" t="str">
        <f>IF(AND(COUNTIFS(OrderLines[OrderID],OrderLines[[#This Row],[OrderID]],OrderLines[Category],"Hot Meal"),COUNTIFS(OrderLines[OrderID],OrderLines[[#This Row],[OrderID]],OrderLines[Category],"Beverage")),"Combo","Single")</f>
        <v>Single</v>
      </c>
      <c r="O17" s="8" t="str" cm="1">
        <f t="array" ref="O17">IF(SUMPRODUCT(OrderLines[UnitPrice],OrderLines[Qty],OrderLines[DiscountPct],--(OrderLines[OrderID] = OrderLines[[#This Row],[OrderID]]))&gt;40,"High Discount","Ok")</f>
        <v>Ok</v>
      </c>
      <c r="P17">
        <f>OrderLines[[#This Row],[UnitCost]]*OrderLines[[#This Row],[Qty]]</f>
        <v>14.18</v>
      </c>
      <c r="Q17" s="8">
        <f>OrderLines[[#This Row],[LineNetAmount]]-OrderLines[[#This Row],[Food Cost]]</f>
        <v>16.16</v>
      </c>
    </row>
    <row r="18" spans="1:17" x14ac:dyDescent="0.3">
      <c r="A18" t="s">
        <v>32</v>
      </c>
      <c r="B18" t="s">
        <v>405</v>
      </c>
      <c r="C18">
        <v>2</v>
      </c>
      <c r="D18" cm="1">
        <f t="array" ref="D18">VLOOKUP(OrderLines[[#This Row],[SKU]:[SKU]],Menu[],MATCH(OrderLines[[#Headers],[UnitPrice]],Menu[#Headers],0),FALSE)</f>
        <v>170.83</v>
      </c>
      <c r="E18" cm="1">
        <f t="array" ref="E18">VLOOKUP(OrderLines[[#This Row],[SKU]:[SKU]],Menu[],MATCH(OrderLines[[#Headers],[UnitCost]],Menu[#Headers],0),FALSE)</f>
        <v>74.069999999999993</v>
      </c>
      <c r="F18" t="str" cm="1">
        <f t="array" ref="F18">VLOOKUP(OrderLines[[#This Row],[SKU]:[SKU]],Menu[],MATCH(OrderLines[[#Headers],[Category]],Menu[#Headers],0),FALSE)</f>
        <v>Hot Meal</v>
      </c>
      <c r="G18" t="str" cm="1">
        <f t="array" ref="G18">_xlfn.TEXTJOIN("+",TRUE,_xlfn._xlws.SORT(_xlfn.UNIQUE(_xlfn._xlws.FILTER(OrderLines[Category],OrderLines[OrderID]=OrderLines[[#This Row],[OrderID]]))))</f>
        <v>Dessert+Hot Meal+Snack</v>
      </c>
      <c r="H18" s="2" cm="1">
        <f t="array" ref="H18">INT(VLOOKUP(OrderLines[[#This Row],[OrderID]:[OrderID]],Orders[],MATCH(OrderLines[[#Headers],[OrderDateTime]],Orders[#Headers],0),FALSE))</f>
        <v>45844</v>
      </c>
      <c r="I18" t="str" cm="1">
        <f t="array" ref="I18">VLOOKUP(OrderLines[[#This Row],[OrderID]:[OrderID]],Orders[],MATCH(OrderLines[[#Headers],[Branch]],Orders[#Headers],0),FALSE)</f>
        <v>Head Office Café</v>
      </c>
      <c r="J18" cm="1">
        <f t="array" ref="J18">VLOOKUP(OrderLines[[#This Row],[OrderID]:[OrderID]],Orders[],MATCH(OrderLines[[#Headers],[DiscountPct]],Orders[#Headers],0),FALSE)</f>
        <v>7.0000000000000007E-2</v>
      </c>
      <c r="K18" t="str" cm="1">
        <f t="array" ref="K18">VLOOKUP(OrderLines[[#This Row],[OrderID]:[OrderID]],Orders[],MATCH(OrderLines[[#Headers],[PaymentType]],Orders[#Headers],0),FALSE)</f>
        <v>Cash</v>
      </c>
      <c r="L18" t="str" cm="1">
        <f t="array" ref="L18">VLOOKUP(OrderLines[[#This Row],[OrderID]:[OrderID]],Orders[],MATCH(OrderLines[[#Headers],[Shift]],Orders[#Headers],0),FALSE)</f>
        <v>Breakfast</v>
      </c>
      <c r="M18" s="8">
        <f>(OrderLines[[#This Row],[Qty]]*OrderLines[[#This Row],[UnitPrice]])*(1-OrderLines[[#This Row],[DiscountPct]])</f>
        <v>317.74380000000002</v>
      </c>
      <c r="N18" t="str">
        <f>IF(AND(COUNTIFS(OrderLines[OrderID],OrderLines[[#This Row],[OrderID]],OrderLines[Category],"Hot Meal"),COUNTIFS(OrderLines[OrderID],OrderLines[[#This Row],[OrderID]],OrderLines[Category],"Beverage")),"Combo","Single")</f>
        <v>Single</v>
      </c>
      <c r="O18" s="8" t="str" cm="1">
        <f t="array" ref="O18">IF(SUMPRODUCT(OrderLines[UnitPrice],OrderLines[Qty],OrderLines[DiscountPct],--(OrderLines[OrderID] = OrderLines[[#This Row],[OrderID]]))&gt;40,"High Discount","Ok")</f>
        <v>Ok</v>
      </c>
      <c r="P18">
        <f>OrderLines[[#This Row],[UnitCost]]*OrderLines[[#This Row],[Qty]]</f>
        <v>148.13999999999999</v>
      </c>
      <c r="Q18" s="8">
        <f>OrderLines[[#This Row],[LineNetAmount]]-OrderLines[[#This Row],[Food Cost]]</f>
        <v>169.60380000000004</v>
      </c>
    </row>
    <row r="19" spans="1:17" x14ac:dyDescent="0.3">
      <c r="A19" t="s">
        <v>32</v>
      </c>
      <c r="B19" t="s">
        <v>412</v>
      </c>
      <c r="C19">
        <v>2</v>
      </c>
      <c r="D19" cm="1">
        <f t="array" ref="D19">VLOOKUP(OrderLines[[#This Row],[SKU]:[SKU]],Menu[],MATCH(OrderLines[[#Headers],[UnitPrice]],Menu[#Headers],0),FALSE)</f>
        <v>57.07</v>
      </c>
      <c r="E19" cm="1">
        <f t="array" ref="E19">VLOOKUP(OrderLines[[#This Row],[SKU]:[SKU]],Menu[],MATCH(OrderLines[[#Headers],[UnitCost]],Menu[#Headers],0),FALSE)</f>
        <v>29.14</v>
      </c>
      <c r="F19" t="str" cm="1">
        <f t="array" ref="F19">VLOOKUP(OrderLines[[#This Row],[SKU]:[SKU]],Menu[],MATCH(OrderLines[[#Headers],[Category]],Menu[#Headers],0),FALSE)</f>
        <v>Dessert</v>
      </c>
      <c r="G19" t="str" cm="1">
        <f t="array" ref="G19">_xlfn.TEXTJOIN("+",TRUE,_xlfn._xlws.SORT(_xlfn.UNIQUE(_xlfn._xlws.FILTER(OrderLines[Category],OrderLines[OrderID]=OrderLines[[#This Row],[OrderID]]))))</f>
        <v>Dessert+Hot Meal+Snack</v>
      </c>
      <c r="H19" s="2" cm="1">
        <f t="array" ref="H19">INT(VLOOKUP(OrderLines[[#This Row],[OrderID]:[OrderID]],Orders[],MATCH(OrderLines[[#Headers],[OrderDateTime]],Orders[#Headers],0),FALSE))</f>
        <v>45844</v>
      </c>
      <c r="I19" t="str" cm="1">
        <f t="array" ref="I19">VLOOKUP(OrderLines[[#This Row],[OrderID]:[OrderID]],Orders[],MATCH(OrderLines[[#Headers],[Branch]],Orders[#Headers],0),FALSE)</f>
        <v>Head Office Café</v>
      </c>
      <c r="J19" cm="1">
        <f t="array" ref="J19">VLOOKUP(OrderLines[[#This Row],[OrderID]:[OrderID]],Orders[],MATCH(OrderLines[[#Headers],[DiscountPct]],Orders[#Headers],0),FALSE)</f>
        <v>7.0000000000000007E-2</v>
      </c>
      <c r="K19" t="str" cm="1">
        <f t="array" ref="K19">VLOOKUP(OrderLines[[#This Row],[OrderID]:[OrderID]],Orders[],MATCH(OrderLines[[#Headers],[PaymentType]],Orders[#Headers],0),FALSE)</f>
        <v>Cash</v>
      </c>
      <c r="L19" t="str" cm="1">
        <f t="array" ref="L19">VLOOKUP(OrderLines[[#This Row],[OrderID]:[OrderID]],Orders[],MATCH(OrderLines[[#Headers],[Shift]],Orders[#Headers],0),FALSE)</f>
        <v>Breakfast</v>
      </c>
      <c r="M19" s="8">
        <f>(OrderLines[[#This Row],[Qty]]*OrderLines[[#This Row],[UnitPrice]])*(1-OrderLines[[#This Row],[DiscountPct]])</f>
        <v>106.1502</v>
      </c>
      <c r="N19" t="str">
        <f>IF(AND(COUNTIFS(OrderLines[OrderID],OrderLines[[#This Row],[OrderID]],OrderLines[Category],"Hot Meal"),COUNTIFS(OrderLines[OrderID],OrderLines[[#This Row],[OrderID]],OrderLines[Category],"Beverage")),"Combo","Single")</f>
        <v>Single</v>
      </c>
      <c r="O19" s="8" t="str" cm="1">
        <f t="array" ref="O19">IF(SUMPRODUCT(OrderLines[UnitPrice],OrderLines[Qty],OrderLines[DiscountPct],--(OrderLines[OrderID] = OrderLines[[#This Row],[OrderID]]))&gt;40,"High Discount","Ok")</f>
        <v>Ok</v>
      </c>
      <c r="P19">
        <f>OrderLines[[#This Row],[UnitCost]]*OrderLines[[#This Row],[Qty]]</f>
        <v>58.28</v>
      </c>
      <c r="Q19" s="8">
        <f>OrderLines[[#This Row],[LineNetAmount]]-OrderLines[[#This Row],[Food Cost]]</f>
        <v>47.870199999999997</v>
      </c>
    </row>
    <row r="20" spans="1:17" x14ac:dyDescent="0.3">
      <c r="A20" t="s">
        <v>32</v>
      </c>
      <c r="B20" t="s">
        <v>406</v>
      </c>
      <c r="C20">
        <v>1</v>
      </c>
      <c r="D20" cm="1">
        <f t="array" ref="D20">VLOOKUP(OrderLines[[#This Row],[SKU]:[SKU]],Menu[],MATCH(OrderLines[[#Headers],[UnitPrice]],Menu[#Headers],0),FALSE)</f>
        <v>38.06</v>
      </c>
      <c r="E20" cm="1">
        <f t="array" ref="E20">VLOOKUP(OrderLines[[#This Row],[SKU]:[SKU]],Menu[],MATCH(OrderLines[[#Headers],[UnitCost]],Menu[#Headers],0),FALSE)</f>
        <v>19.55</v>
      </c>
      <c r="F20" t="str" cm="1">
        <f t="array" ref="F20">VLOOKUP(OrderLines[[#This Row],[SKU]:[SKU]],Menu[],MATCH(OrderLines[[#Headers],[Category]],Menu[#Headers],0),FALSE)</f>
        <v>Snack</v>
      </c>
      <c r="G20" t="str" cm="1">
        <f t="array" ref="G20">_xlfn.TEXTJOIN("+",TRUE,_xlfn._xlws.SORT(_xlfn.UNIQUE(_xlfn._xlws.FILTER(OrderLines[Category],OrderLines[OrderID]=OrderLines[[#This Row],[OrderID]]))))</f>
        <v>Dessert+Hot Meal+Snack</v>
      </c>
      <c r="H20" s="2" cm="1">
        <f t="array" ref="H20">INT(VLOOKUP(OrderLines[[#This Row],[OrderID]:[OrderID]],Orders[],MATCH(OrderLines[[#Headers],[OrderDateTime]],Orders[#Headers],0),FALSE))</f>
        <v>45844</v>
      </c>
      <c r="I20" t="str" cm="1">
        <f t="array" ref="I20">VLOOKUP(OrderLines[[#This Row],[OrderID]:[OrderID]],Orders[],MATCH(OrderLines[[#Headers],[Branch]],Orders[#Headers],0),FALSE)</f>
        <v>Head Office Café</v>
      </c>
      <c r="J20" cm="1">
        <f t="array" ref="J20">VLOOKUP(OrderLines[[#This Row],[OrderID]:[OrderID]],Orders[],MATCH(OrderLines[[#Headers],[DiscountPct]],Orders[#Headers],0),FALSE)</f>
        <v>7.0000000000000007E-2</v>
      </c>
      <c r="K20" t="str" cm="1">
        <f t="array" ref="K20">VLOOKUP(OrderLines[[#This Row],[OrderID]:[OrderID]],Orders[],MATCH(OrderLines[[#Headers],[PaymentType]],Orders[#Headers],0),FALSE)</f>
        <v>Cash</v>
      </c>
      <c r="L20" t="str" cm="1">
        <f t="array" ref="L20">VLOOKUP(OrderLines[[#This Row],[OrderID]:[OrderID]],Orders[],MATCH(OrderLines[[#Headers],[Shift]],Orders[#Headers],0),FALSE)</f>
        <v>Breakfast</v>
      </c>
      <c r="M20" s="8">
        <f>(OrderLines[[#This Row],[Qty]]*OrderLines[[#This Row],[UnitPrice]])*(1-OrderLines[[#This Row],[DiscountPct]])</f>
        <v>35.395800000000001</v>
      </c>
      <c r="N20" t="str">
        <f>IF(AND(COUNTIFS(OrderLines[OrderID],OrderLines[[#This Row],[OrderID]],OrderLines[Category],"Hot Meal"),COUNTIFS(OrderLines[OrderID],OrderLines[[#This Row],[OrderID]],OrderLines[Category],"Beverage")),"Combo","Single")</f>
        <v>Single</v>
      </c>
      <c r="O20" s="8" t="str" cm="1">
        <f t="array" ref="O20">IF(SUMPRODUCT(OrderLines[UnitPrice],OrderLines[Qty],OrderLines[DiscountPct],--(OrderLines[OrderID] = OrderLines[[#This Row],[OrderID]]))&gt;40,"High Discount","Ok")</f>
        <v>Ok</v>
      </c>
      <c r="P20">
        <f>OrderLines[[#This Row],[UnitCost]]*OrderLines[[#This Row],[Qty]]</f>
        <v>19.55</v>
      </c>
      <c r="Q20" s="8">
        <f>OrderLines[[#This Row],[LineNetAmount]]-OrderLines[[#This Row],[Food Cost]]</f>
        <v>15.845800000000001</v>
      </c>
    </row>
    <row r="21" spans="1:17" x14ac:dyDescent="0.3">
      <c r="A21" t="s">
        <v>34</v>
      </c>
      <c r="B21" t="s">
        <v>411</v>
      </c>
      <c r="C21">
        <v>2</v>
      </c>
      <c r="D21" cm="1">
        <f t="array" ref="D21">VLOOKUP(OrderLines[[#This Row],[SKU]:[SKU]],Menu[],MATCH(OrderLines[[#Headers],[UnitPrice]],Menu[#Headers],0),FALSE)</f>
        <v>22.2</v>
      </c>
      <c r="E21" cm="1">
        <f t="array" ref="E21">VLOOKUP(OrderLines[[#This Row],[SKU]:[SKU]],Menu[],MATCH(OrderLines[[#Headers],[UnitCost]],Menu[#Headers],0),FALSE)</f>
        <v>9.3800000000000008</v>
      </c>
      <c r="F21" t="str" cm="1">
        <f t="array" ref="F21">VLOOKUP(OrderLines[[#This Row],[SKU]:[SKU]],Menu[],MATCH(OrderLines[[#Headers],[Category]],Menu[#Headers],0),FALSE)</f>
        <v>Beverage</v>
      </c>
      <c r="G21" t="str" cm="1">
        <f t="array" ref="G21">_xlfn.TEXTJOIN("+",TRUE,_xlfn._xlws.SORT(_xlfn.UNIQUE(_xlfn._xlws.FILTER(OrderLines[Category],OrderLines[OrderID]=OrderLines[[#This Row],[OrderID]]))))</f>
        <v>Beverage+Dessert+Hot Meal+Snack</v>
      </c>
      <c r="H21" s="2" cm="1">
        <f t="array" ref="H21">INT(VLOOKUP(OrderLines[[#This Row],[OrderID]:[OrderID]],Orders[],MATCH(OrderLines[[#Headers],[OrderDateTime]],Orders[#Headers],0),FALSE))</f>
        <v>45862</v>
      </c>
      <c r="I21" t="str" cm="1">
        <f t="array" ref="I21">VLOOKUP(OrderLines[[#This Row],[OrderID]:[OrderID]],Orders[],MATCH(OrderLines[[#Headers],[Branch]],Orders[#Headers],0),FALSE)</f>
        <v>Plant 1 Canteen</v>
      </c>
      <c r="J21" cm="1">
        <f t="array" ref="J21">VLOOKUP(OrderLines[[#This Row],[OrderID]:[OrderID]],Orders[],MATCH(OrderLines[[#Headers],[DiscountPct]],Orders[#Headers],0),FALSE)</f>
        <v>0.04</v>
      </c>
      <c r="K21" t="str" cm="1">
        <f t="array" ref="K21">VLOOKUP(OrderLines[[#This Row],[OrderID]:[OrderID]],Orders[],MATCH(OrderLines[[#Headers],[PaymentType]],Orders[#Headers],0),FALSE)</f>
        <v>Card</v>
      </c>
      <c r="L21" t="str" cm="1">
        <f t="array" ref="L21">VLOOKUP(OrderLines[[#This Row],[OrderID]:[OrderID]],Orders[],MATCH(OrderLines[[#Headers],[Shift]],Orders[#Headers],0),FALSE)</f>
        <v>Breakfast</v>
      </c>
      <c r="M21" s="8">
        <f>(OrderLines[[#This Row],[Qty]]*OrderLines[[#This Row],[UnitPrice]])*(1-OrderLines[[#This Row],[DiscountPct]])</f>
        <v>42.623999999999995</v>
      </c>
      <c r="N21" t="str">
        <f>IF(AND(COUNTIFS(OrderLines[OrderID],OrderLines[[#This Row],[OrderID]],OrderLines[Category],"Hot Meal"),COUNTIFS(OrderLines[OrderID],OrderLines[[#This Row],[OrderID]],OrderLines[Category],"Beverage")),"Combo","Single")</f>
        <v>Combo</v>
      </c>
      <c r="O21" s="8" t="str" cm="1">
        <f t="array" ref="O21">IF(SUMPRODUCT(OrderLines[UnitPrice],OrderLines[Qty],OrderLines[DiscountPct],--(OrderLines[OrderID] = OrderLines[[#This Row],[OrderID]]))&gt;40,"High Discount","Ok")</f>
        <v>Ok</v>
      </c>
      <c r="P21">
        <f>OrderLines[[#This Row],[UnitCost]]*OrderLines[[#This Row],[Qty]]</f>
        <v>18.760000000000002</v>
      </c>
      <c r="Q21" s="8">
        <f>OrderLines[[#This Row],[LineNetAmount]]-OrderLines[[#This Row],[Food Cost]]</f>
        <v>23.863999999999994</v>
      </c>
    </row>
    <row r="22" spans="1:17" x14ac:dyDescent="0.3">
      <c r="A22" t="s">
        <v>34</v>
      </c>
      <c r="B22" t="s">
        <v>407</v>
      </c>
      <c r="C22">
        <v>1</v>
      </c>
      <c r="D22" cm="1">
        <f t="array" ref="D22">VLOOKUP(OrderLines[[#This Row],[SKU]:[SKU]],Menu[],MATCH(OrderLines[[#Headers],[UnitPrice]],Menu[#Headers],0),FALSE)</f>
        <v>246.09</v>
      </c>
      <c r="E22" cm="1">
        <f t="array" ref="E22">VLOOKUP(OrderLines[[#This Row],[SKU]:[SKU]],Menu[],MATCH(OrderLines[[#Headers],[UnitCost]],Menu[#Headers],0),FALSE)</f>
        <v>112.08</v>
      </c>
      <c r="F22" t="str" cm="1">
        <f t="array" ref="F22">VLOOKUP(OrderLines[[#This Row],[SKU]:[SKU]],Menu[],MATCH(OrderLines[[#Headers],[Category]],Menu[#Headers],0),FALSE)</f>
        <v>Hot Meal</v>
      </c>
      <c r="G22" t="str" cm="1">
        <f t="array" ref="G22">_xlfn.TEXTJOIN("+",TRUE,_xlfn._xlws.SORT(_xlfn.UNIQUE(_xlfn._xlws.FILTER(OrderLines[Category],OrderLines[OrderID]=OrderLines[[#This Row],[OrderID]]))))</f>
        <v>Beverage+Dessert+Hot Meal+Snack</v>
      </c>
      <c r="H22" s="2" cm="1">
        <f t="array" ref="H22">INT(VLOOKUP(OrderLines[[#This Row],[OrderID]:[OrderID]],Orders[],MATCH(OrderLines[[#Headers],[OrderDateTime]],Orders[#Headers],0),FALSE))</f>
        <v>45862</v>
      </c>
      <c r="I22" t="str" cm="1">
        <f t="array" ref="I22">VLOOKUP(OrderLines[[#This Row],[OrderID]:[OrderID]],Orders[],MATCH(OrderLines[[#Headers],[Branch]],Orders[#Headers],0),FALSE)</f>
        <v>Plant 1 Canteen</v>
      </c>
      <c r="J22" cm="1">
        <f t="array" ref="J22">VLOOKUP(OrderLines[[#This Row],[OrderID]:[OrderID]],Orders[],MATCH(OrderLines[[#Headers],[DiscountPct]],Orders[#Headers],0),FALSE)</f>
        <v>0.04</v>
      </c>
      <c r="K22" t="str" cm="1">
        <f t="array" ref="K22">VLOOKUP(OrderLines[[#This Row],[OrderID]:[OrderID]],Orders[],MATCH(OrderLines[[#Headers],[PaymentType]],Orders[#Headers],0),FALSE)</f>
        <v>Card</v>
      </c>
      <c r="L22" t="str" cm="1">
        <f t="array" ref="L22">VLOOKUP(OrderLines[[#This Row],[OrderID]:[OrderID]],Orders[],MATCH(OrderLines[[#Headers],[Shift]],Orders[#Headers],0),FALSE)</f>
        <v>Breakfast</v>
      </c>
      <c r="M22" s="8">
        <f>(OrderLines[[#This Row],[Qty]]*OrderLines[[#This Row],[UnitPrice]])*(1-OrderLines[[#This Row],[DiscountPct]])</f>
        <v>236.24639999999999</v>
      </c>
      <c r="N22" t="str">
        <f>IF(AND(COUNTIFS(OrderLines[OrderID],OrderLines[[#This Row],[OrderID]],OrderLines[Category],"Hot Meal"),COUNTIFS(OrderLines[OrderID],OrderLines[[#This Row],[OrderID]],OrderLines[Category],"Beverage")),"Combo","Single")</f>
        <v>Combo</v>
      </c>
      <c r="O22" s="8" t="str" cm="1">
        <f t="array" ref="O22">IF(SUMPRODUCT(OrderLines[UnitPrice],OrderLines[Qty],OrderLines[DiscountPct],--(OrderLines[OrderID] = OrderLines[[#This Row],[OrderID]]))&gt;40,"High Discount","Ok")</f>
        <v>Ok</v>
      </c>
      <c r="P22">
        <f>OrderLines[[#This Row],[UnitCost]]*OrderLines[[#This Row],[Qty]]</f>
        <v>112.08</v>
      </c>
      <c r="Q22" s="8">
        <f>OrderLines[[#This Row],[LineNetAmount]]-OrderLines[[#This Row],[Food Cost]]</f>
        <v>124.1664</v>
      </c>
    </row>
    <row r="23" spans="1:17" x14ac:dyDescent="0.3">
      <c r="A23" t="s">
        <v>34</v>
      </c>
      <c r="B23" t="s">
        <v>408</v>
      </c>
      <c r="C23">
        <v>1</v>
      </c>
      <c r="D23" cm="1">
        <f t="array" ref="D23">VLOOKUP(OrderLines[[#This Row],[SKU]:[SKU]],Menu[],MATCH(OrderLines[[#Headers],[UnitPrice]],Menu[#Headers],0),FALSE)</f>
        <v>70.540000000000006</v>
      </c>
      <c r="E23" cm="1">
        <f t="array" ref="E23">VLOOKUP(OrderLines[[#This Row],[SKU]:[SKU]],Menu[],MATCH(OrderLines[[#Headers],[UnitCost]],Menu[#Headers],0),FALSE)</f>
        <v>35.81</v>
      </c>
      <c r="F23" t="str" cm="1">
        <f t="array" ref="F23">VLOOKUP(OrderLines[[#This Row],[SKU]:[SKU]],Menu[],MATCH(OrderLines[[#Headers],[Category]],Menu[#Headers],0),FALSE)</f>
        <v>Snack</v>
      </c>
      <c r="G23" t="str" cm="1">
        <f t="array" ref="G23">_xlfn.TEXTJOIN("+",TRUE,_xlfn._xlws.SORT(_xlfn.UNIQUE(_xlfn._xlws.FILTER(OrderLines[Category],OrderLines[OrderID]=OrderLines[[#This Row],[OrderID]]))))</f>
        <v>Beverage+Dessert+Hot Meal+Snack</v>
      </c>
      <c r="H23" s="2" cm="1">
        <f t="array" ref="H23">INT(VLOOKUP(OrderLines[[#This Row],[OrderID]:[OrderID]],Orders[],MATCH(OrderLines[[#Headers],[OrderDateTime]],Orders[#Headers],0),FALSE))</f>
        <v>45862</v>
      </c>
      <c r="I23" t="str" cm="1">
        <f t="array" ref="I23">VLOOKUP(OrderLines[[#This Row],[OrderID]:[OrderID]],Orders[],MATCH(OrderLines[[#Headers],[Branch]],Orders[#Headers],0),FALSE)</f>
        <v>Plant 1 Canteen</v>
      </c>
      <c r="J23" cm="1">
        <f t="array" ref="J23">VLOOKUP(OrderLines[[#This Row],[OrderID]:[OrderID]],Orders[],MATCH(OrderLines[[#Headers],[DiscountPct]],Orders[#Headers],0),FALSE)</f>
        <v>0.04</v>
      </c>
      <c r="K23" t="str" cm="1">
        <f t="array" ref="K23">VLOOKUP(OrderLines[[#This Row],[OrderID]:[OrderID]],Orders[],MATCH(OrderLines[[#Headers],[PaymentType]],Orders[#Headers],0),FALSE)</f>
        <v>Card</v>
      </c>
      <c r="L23" t="str" cm="1">
        <f t="array" ref="L23">VLOOKUP(OrderLines[[#This Row],[OrderID]:[OrderID]],Orders[],MATCH(OrderLines[[#Headers],[Shift]],Orders[#Headers],0),FALSE)</f>
        <v>Breakfast</v>
      </c>
      <c r="M23" s="8">
        <f>(OrderLines[[#This Row],[Qty]]*OrderLines[[#This Row],[UnitPrice]])*(1-OrderLines[[#This Row],[DiscountPct]])</f>
        <v>67.718400000000003</v>
      </c>
      <c r="N23" t="str">
        <f>IF(AND(COUNTIFS(OrderLines[OrderID],OrderLines[[#This Row],[OrderID]],OrderLines[Category],"Hot Meal"),COUNTIFS(OrderLines[OrderID],OrderLines[[#This Row],[OrderID]],OrderLines[Category],"Beverage")),"Combo","Single")</f>
        <v>Combo</v>
      </c>
      <c r="O23" s="8" t="str" cm="1">
        <f t="array" ref="O23">IF(SUMPRODUCT(OrderLines[UnitPrice],OrderLines[Qty],OrderLines[DiscountPct],--(OrderLines[OrderID] = OrderLines[[#This Row],[OrderID]]))&gt;40,"High Discount","Ok")</f>
        <v>Ok</v>
      </c>
      <c r="P23">
        <f>OrderLines[[#This Row],[UnitCost]]*OrderLines[[#This Row],[Qty]]</f>
        <v>35.81</v>
      </c>
      <c r="Q23" s="8">
        <f>OrderLines[[#This Row],[LineNetAmount]]-OrderLines[[#This Row],[Food Cost]]</f>
        <v>31.9084</v>
      </c>
    </row>
    <row r="24" spans="1:17" x14ac:dyDescent="0.3">
      <c r="A24" t="s">
        <v>34</v>
      </c>
      <c r="B24" t="s">
        <v>403</v>
      </c>
      <c r="C24">
        <v>1</v>
      </c>
      <c r="D24" cm="1">
        <f t="array" ref="D24">VLOOKUP(OrderLines[[#This Row],[SKU]:[SKU]],Menu[],MATCH(OrderLines[[#Headers],[UnitPrice]],Menu[#Headers],0),FALSE)</f>
        <v>76.55</v>
      </c>
      <c r="E24" cm="1">
        <f t="array" ref="E24">VLOOKUP(OrderLines[[#This Row],[SKU]:[SKU]],Menu[],MATCH(OrderLines[[#Headers],[UnitCost]],Menu[#Headers],0),FALSE)</f>
        <v>38.229999999999997</v>
      </c>
      <c r="F24" t="str" cm="1">
        <f t="array" ref="F24">VLOOKUP(OrderLines[[#This Row],[SKU]:[SKU]],Menu[],MATCH(OrderLines[[#Headers],[Category]],Menu[#Headers],0),FALSE)</f>
        <v>Dessert</v>
      </c>
      <c r="G24" t="str" cm="1">
        <f t="array" ref="G24">_xlfn.TEXTJOIN("+",TRUE,_xlfn._xlws.SORT(_xlfn.UNIQUE(_xlfn._xlws.FILTER(OrderLines[Category],OrderLines[OrderID]=OrderLines[[#This Row],[OrderID]]))))</f>
        <v>Beverage+Dessert+Hot Meal+Snack</v>
      </c>
      <c r="H24" s="2" cm="1">
        <f t="array" ref="H24">INT(VLOOKUP(OrderLines[[#This Row],[OrderID]:[OrderID]],Orders[],MATCH(OrderLines[[#Headers],[OrderDateTime]],Orders[#Headers],0),FALSE))</f>
        <v>45862</v>
      </c>
      <c r="I24" t="str" cm="1">
        <f t="array" ref="I24">VLOOKUP(OrderLines[[#This Row],[OrderID]:[OrderID]],Orders[],MATCH(OrderLines[[#Headers],[Branch]],Orders[#Headers],0),FALSE)</f>
        <v>Plant 1 Canteen</v>
      </c>
      <c r="J24" cm="1">
        <f t="array" ref="J24">VLOOKUP(OrderLines[[#This Row],[OrderID]:[OrderID]],Orders[],MATCH(OrderLines[[#Headers],[DiscountPct]],Orders[#Headers],0),FALSE)</f>
        <v>0.04</v>
      </c>
      <c r="K24" t="str" cm="1">
        <f t="array" ref="K24">VLOOKUP(OrderLines[[#This Row],[OrderID]:[OrderID]],Orders[],MATCH(OrderLines[[#Headers],[PaymentType]],Orders[#Headers],0),FALSE)</f>
        <v>Card</v>
      </c>
      <c r="L24" t="str" cm="1">
        <f t="array" ref="L24">VLOOKUP(OrderLines[[#This Row],[OrderID]:[OrderID]],Orders[],MATCH(OrderLines[[#Headers],[Shift]],Orders[#Headers],0),FALSE)</f>
        <v>Breakfast</v>
      </c>
      <c r="M24" s="8">
        <f>(OrderLines[[#This Row],[Qty]]*OrderLines[[#This Row],[UnitPrice]])*(1-OrderLines[[#This Row],[DiscountPct]])</f>
        <v>73.488</v>
      </c>
      <c r="N24" t="str">
        <f>IF(AND(COUNTIFS(OrderLines[OrderID],OrderLines[[#This Row],[OrderID]],OrderLines[Category],"Hot Meal"),COUNTIFS(OrderLines[OrderID],OrderLines[[#This Row],[OrderID]],OrderLines[Category],"Beverage")),"Combo","Single")</f>
        <v>Combo</v>
      </c>
      <c r="O24" s="8" t="str" cm="1">
        <f t="array" ref="O24">IF(SUMPRODUCT(OrderLines[UnitPrice],OrderLines[Qty],OrderLines[DiscountPct],--(OrderLines[OrderID] = OrderLines[[#This Row],[OrderID]]))&gt;40,"High Discount","Ok")</f>
        <v>Ok</v>
      </c>
      <c r="P24">
        <f>OrderLines[[#This Row],[UnitCost]]*OrderLines[[#This Row],[Qty]]</f>
        <v>38.229999999999997</v>
      </c>
      <c r="Q24" s="8">
        <f>OrderLines[[#This Row],[LineNetAmount]]-OrderLines[[#This Row],[Food Cost]]</f>
        <v>35.258000000000003</v>
      </c>
    </row>
    <row r="25" spans="1:17" x14ac:dyDescent="0.3">
      <c r="A25" t="s">
        <v>35</v>
      </c>
      <c r="B25" t="s">
        <v>409</v>
      </c>
      <c r="C25">
        <v>1</v>
      </c>
      <c r="D25" cm="1">
        <f t="array" ref="D25">VLOOKUP(OrderLines[[#This Row],[SKU]:[SKU]],Menu[],MATCH(OrderLines[[#Headers],[UnitPrice]],Menu[#Headers],0),FALSE)</f>
        <v>28.43</v>
      </c>
      <c r="E25" cm="1">
        <f t="array" ref="E25">VLOOKUP(OrderLines[[#This Row],[SKU]:[SKU]],Menu[],MATCH(OrderLines[[#Headers],[UnitCost]],Menu[#Headers],0),FALSE)</f>
        <v>13.89</v>
      </c>
      <c r="F25" t="str" cm="1">
        <f t="array" ref="F25">VLOOKUP(OrderLines[[#This Row],[SKU]:[SKU]],Menu[],MATCH(OrderLines[[#Headers],[Category]],Menu[#Headers],0),FALSE)</f>
        <v>Beverage</v>
      </c>
      <c r="G25" t="str" cm="1">
        <f t="array" ref="G25">_xlfn.TEXTJOIN("+",TRUE,_xlfn._xlws.SORT(_xlfn.UNIQUE(_xlfn._xlws.FILTER(OrderLines[Category],OrderLines[OrderID]=OrderLines[[#This Row],[OrderID]]))))</f>
        <v>Beverage</v>
      </c>
      <c r="H25" s="2" cm="1">
        <f t="array" ref="H25">INT(VLOOKUP(OrderLines[[#This Row],[OrderID]:[OrderID]],Orders[],MATCH(OrderLines[[#Headers],[OrderDateTime]],Orders[#Headers],0),FALSE))</f>
        <v>45860</v>
      </c>
      <c r="I25" t="str" cm="1">
        <f t="array" ref="I25">VLOOKUP(OrderLines[[#This Row],[OrderID]:[OrderID]],Orders[],MATCH(OrderLines[[#Headers],[Branch]],Orders[#Headers],0),FALSE)</f>
        <v>Plant 2 Canteen</v>
      </c>
      <c r="J25" cm="1">
        <f t="array" ref="J25">VLOOKUP(OrderLines[[#This Row],[OrderID]:[OrderID]],Orders[],MATCH(OrderLines[[#Headers],[DiscountPct]],Orders[#Headers],0),FALSE)</f>
        <v>0.03</v>
      </c>
      <c r="K25" t="str" cm="1">
        <f t="array" ref="K25">VLOOKUP(OrderLines[[#This Row],[OrderID]:[OrderID]],Orders[],MATCH(OrderLines[[#Headers],[PaymentType]],Orders[#Headers],0),FALSE)</f>
        <v>Cash</v>
      </c>
      <c r="L25" t="str" cm="1">
        <f t="array" ref="L25">VLOOKUP(OrderLines[[#This Row],[OrderID]:[OrderID]],Orders[],MATCH(OrderLines[[#Headers],[Shift]],Orders[#Headers],0),FALSE)</f>
        <v>Breakfast</v>
      </c>
      <c r="M25" s="8">
        <f>(OrderLines[[#This Row],[Qty]]*OrderLines[[#This Row],[UnitPrice]])*(1-OrderLines[[#This Row],[DiscountPct]])</f>
        <v>27.577099999999998</v>
      </c>
      <c r="N25" t="str">
        <f>IF(AND(COUNTIFS(OrderLines[OrderID],OrderLines[[#This Row],[OrderID]],OrderLines[Category],"Hot Meal"),COUNTIFS(OrderLines[OrderID],OrderLines[[#This Row],[OrderID]],OrderLines[Category],"Beverage")),"Combo","Single")</f>
        <v>Single</v>
      </c>
      <c r="O25" s="8" t="str" cm="1">
        <f t="array" ref="O25">IF(SUMPRODUCT(OrderLines[UnitPrice],OrderLines[Qty],OrderLines[DiscountPct],--(OrderLines[OrderID] = OrderLines[[#This Row],[OrderID]]))&gt;40,"High Discount","Ok")</f>
        <v>Ok</v>
      </c>
      <c r="P25">
        <f>OrderLines[[#This Row],[UnitCost]]*OrderLines[[#This Row],[Qty]]</f>
        <v>13.89</v>
      </c>
      <c r="Q25" s="8">
        <f>OrderLines[[#This Row],[LineNetAmount]]-OrderLines[[#This Row],[Food Cost]]</f>
        <v>13.687099999999997</v>
      </c>
    </row>
    <row r="26" spans="1:17" x14ac:dyDescent="0.3">
      <c r="A26" t="s">
        <v>37</v>
      </c>
      <c r="B26" t="s">
        <v>413</v>
      </c>
      <c r="C26">
        <v>1</v>
      </c>
      <c r="D26" cm="1">
        <f t="array" ref="D26">VLOOKUP(OrderLines[[#This Row],[SKU]:[SKU]],Menu[],MATCH(OrderLines[[#Headers],[UnitPrice]],Menu[#Headers],0),FALSE)</f>
        <v>54.2</v>
      </c>
      <c r="E26" cm="1">
        <f t="array" ref="E26">VLOOKUP(OrderLines[[#This Row],[SKU]:[SKU]],Menu[],MATCH(OrderLines[[#Headers],[UnitCost]],Menu[#Headers],0),FALSE)</f>
        <v>21.95</v>
      </c>
      <c r="F26" t="str" cm="1">
        <f t="array" ref="F26">VLOOKUP(OrderLines[[#This Row],[SKU]:[SKU]],Menu[],MATCH(OrderLines[[#Headers],[Category]],Menu[#Headers],0),FALSE)</f>
        <v>Dessert</v>
      </c>
      <c r="G26" t="str" cm="1">
        <f t="array" ref="G26">_xlfn.TEXTJOIN("+",TRUE,_xlfn._xlws.SORT(_xlfn.UNIQUE(_xlfn._xlws.FILTER(OrderLines[Category],OrderLines[OrderID]=OrderLines[[#This Row],[OrderID]]))))</f>
        <v>Dessert+Snack</v>
      </c>
      <c r="H26" s="2" cm="1">
        <f t="array" ref="H26">INT(VLOOKUP(OrderLines[[#This Row],[OrderID]:[OrderID]],Orders[],MATCH(OrderLines[[#Headers],[OrderDateTime]],Orders[#Headers],0),FALSE))</f>
        <v>45839</v>
      </c>
      <c r="I26" t="str" cm="1">
        <f t="array" ref="I26">VLOOKUP(OrderLines[[#This Row],[OrderID]:[OrderID]],Orders[],MATCH(OrderLines[[#Headers],[Branch]],Orders[#Headers],0),FALSE)</f>
        <v>Plant 2 Canteen</v>
      </c>
      <c r="J26" cm="1">
        <f t="array" ref="J26">VLOOKUP(OrderLines[[#This Row],[OrderID]:[OrderID]],Orders[],MATCH(OrderLines[[#Headers],[DiscountPct]],Orders[#Headers],0),FALSE)</f>
        <v>0.08</v>
      </c>
      <c r="K26" t="str" cm="1">
        <f t="array" ref="K26">VLOOKUP(OrderLines[[#This Row],[OrderID]:[OrderID]],Orders[],MATCH(OrderLines[[#Headers],[PaymentType]],Orders[#Headers],0),FALSE)</f>
        <v>Card</v>
      </c>
      <c r="L26" t="str" cm="1">
        <f t="array" ref="L26">VLOOKUP(OrderLines[[#This Row],[OrderID]:[OrderID]],Orders[],MATCH(OrderLines[[#Headers],[Shift]],Orders[#Headers],0),FALSE)</f>
        <v>Lunch</v>
      </c>
      <c r="M26" s="8">
        <f>(OrderLines[[#This Row],[Qty]]*OrderLines[[#This Row],[UnitPrice]])*(1-OrderLines[[#This Row],[DiscountPct]])</f>
        <v>49.864000000000004</v>
      </c>
      <c r="N26" t="str">
        <f>IF(AND(COUNTIFS(OrderLines[OrderID],OrderLines[[#This Row],[OrderID]],OrderLines[Category],"Hot Meal"),COUNTIFS(OrderLines[OrderID],OrderLines[[#This Row],[OrderID]],OrderLines[Category],"Beverage")),"Combo","Single")</f>
        <v>Single</v>
      </c>
      <c r="O26" s="8" t="str" cm="1">
        <f t="array" ref="O26">IF(SUMPRODUCT(OrderLines[UnitPrice],OrderLines[Qty],OrderLines[DiscountPct],--(OrderLines[OrderID] = OrderLines[[#This Row],[OrderID]]))&gt;40,"High Discount","Ok")</f>
        <v>Ok</v>
      </c>
      <c r="P26">
        <f>OrderLines[[#This Row],[UnitCost]]*OrderLines[[#This Row],[Qty]]</f>
        <v>21.95</v>
      </c>
      <c r="Q26" s="8">
        <f>OrderLines[[#This Row],[LineNetAmount]]-OrderLines[[#This Row],[Food Cost]]</f>
        <v>27.914000000000005</v>
      </c>
    </row>
    <row r="27" spans="1:17" x14ac:dyDescent="0.3">
      <c r="A27" t="s">
        <v>37</v>
      </c>
      <c r="B27" t="s">
        <v>401</v>
      </c>
      <c r="C27">
        <v>1</v>
      </c>
      <c r="D27" cm="1">
        <f t="array" ref="D27">VLOOKUP(OrderLines[[#This Row],[SKU]:[SKU]],Menu[],MATCH(OrderLines[[#Headers],[UnitPrice]],Menu[#Headers],0),FALSE)</f>
        <v>52.45</v>
      </c>
      <c r="E27" cm="1">
        <f t="array" ref="E27">VLOOKUP(OrderLines[[#This Row],[SKU]:[SKU]],Menu[],MATCH(OrderLines[[#Headers],[UnitCost]],Menu[#Headers],0),FALSE)</f>
        <v>25.8</v>
      </c>
      <c r="F27" t="str" cm="1">
        <f t="array" ref="F27">VLOOKUP(OrderLines[[#This Row],[SKU]:[SKU]],Menu[],MATCH(OrderLines[[#Headers],[Category]],Menu[#Headers],0),FALSE)</f>
        <v>Snack</v>
      </c>
      <c r="G27" t="str" cm="1">
        <f t="array" ref="G27">_xlfn.TEXTJOIN("+",TRUE,_xlfn._xlws.SORT(_xlfn.UNIQUE(_xlfn._xlws.FILTER(OrderLines[Category],OrderLines[OrderID]=OrderLines[[#This Row],[OrderID]]))))</f>
        <v>Dessert+Snack</v>
      </c>
      <c r="H27" s="2" cm="1">
        <f t="array" ref="H27">INT(VLOOKUP(OrderLines[[#This Row],[OrderID]:[OrderID]],Orders[],MATCH(OrderLines[[#Headers],[OrderDateTime]],Orders[#Headers],0),FALSE))</f>
        <v>45839</v>
      </c>
      <c r="I27" t="str" cm="1">
        <f t="array" ref="I27">VLOOKUP(OrderLines[[#This Row],[OrderID]:[OrderID]],Orders[],MATCH(OrderLines[[#Headers],[Branch]],Orders[#Headers],0),FALSE)</f>
        <v>Plant 2 Canteen</v>
      </c>
      <c r="J27" cm="1">
        <f t="array" ref="J27">VLOOKUP(OrderLines[[#This Row],[OrderID]:[OrderID]],Orders[],MATCH(OrderLines[[#Headers],[DiscountPct]],Orders[#Headers],0),FALSE)</f>
        <v>0.08</v>
      </c>
      <c r="K27" t="str" cm="1">
        <f t="array" ref="K27">VLOOKUP(OrderLines[[#This Row],[OrderID]:[OrderID]],Orders[],MATCH(OrderLines[[#Headers],[PaymentType]],Orders[#Headers],0),FALSE)</f>
        <v>Card</v>
      </c>
      <c r="L27" t="str" cm="1">
        <f t="array" ref="L27">VLOOKUP(OrderLines[[#This Row],[OrderID]:[OrderID]],Orders[],MATCH(OrderLines[[#Headers],[Shift]],Orders[#Headers],0),FALSE)</f>
        <v>Lunch</v>
      </c>
      <c r="M27" s="8">
        <f>(OrderLines[[#This Row],[Qty]]*OrderLines[[#This Row],[UnitPrice]])*(1-OrderLines[[#This Row],[DiscountPct]])</f>
        <v>48.254000000000005</v>
      </c>
      <c r="N27" t="str">
        <f>IF(AND(COUNTIFS(OrderLines[OrderID],OrderLines[[#This Row],[OrderID]],OrderLines[Category],"Hot Meal"),COUNTIFS(OrderLines[OrderID],OrderLines[[#This Row],[OrderID]],OrderLines[Category],"Beverage")),"Combo","Single")</f>
        <v>Single</v>
      </c>
      <c r="O27" s="8" t="str" cm="1">
        <f t="array" ref="O27">IF(SUMPRODUCT(OrderLines[UnitPrice],OrderLines[Qty],OrderLines[DiscountPct],--(OrderLines[OrderID] = OrderLines[[#This Row],[OrderID]]))&gt;40,"High Discount","Ok")</f>
        <v>Ok</v>
      </c>
      <c r="P27">
        <f>OrderLines[[#This Row],[UnitCost]]*OrderLines[[#This Row],[Qty]]</f>
        <v>25.8</v>
      </c>
      <c r="Q27" s="8">
        <f>OrderLines[[#This Row],[LineNetAmount]]-OrderLines[[#This Row],[Food Cost]]</f>
        <v>22.454000000000004</v>
      </c>
    </row>
    <row r="28" spans="1:17" x14ac:dyDescent="0.3">
      <c r="A28" t="s">
        <v>39</v>
      </c>
      <c r="B28" t="s">
        <v>403</v>
      </c>
      <c r="C28">
        <v>3</v>
      </c>
      <c r="D28" cm="1">
        <f t="array" ref="D28">VLOOKUP(OrderLines[[#This Row],[SKU]:[SKU]],Menu[],MATCH(OrderLines[[#Headers],[UnitPrice]],Menu[#Headers],0),FALSE)</f>
        <v>76.55</v>
      </c>
      <c r="E28" cm="1">
        <f t="array" ref="E28">VLOOKUP(OrderLines[[#This Row],[SKU]:[SKU]],Menu[],MATCH(OrderLines[[#Headers],[UnitCost]],Menu[#Headers],0),FALSE)</f>
        <v>38.229999999999997</v>
      </c>
      <c r="F28" t="str" cm="1">
        <f t="array" ref="F28">VLOOKUP(OrderLines[[#This Row],[SKU]:[SKU]],Menu[],MATCH(OrderLines[[#Headers],[Category]],Menu[#Headers],0),FALSE)</f>
        <v>Dessert</v>
      </c>
      <c r="G28" t="str" cm="1">
        <f t="array" ref="G28">_xlfn.TEXTJOIN("+",TRUE,_xlfn._xlws.SORT(_xlfn.UNIQUE(_xlfn._xlws.FILTER(OrderLines[Category],OrderLines[OrderID]=OrderLines[[#This Row],[OrderID]]))))</f>
        <v>Beverage+Dessert+Hot Meal</v>
      </c>
      <c r="H28" s="2" cm="1">
        <f t="array" ref="H28">INT(VLOOKUP(OrderLines[[#This Row],[OrderID]:[OrderID]],Orders[],MATCH(OrderLines[[#Headers],[OrderDateTime]],Orders[#Headers],0),FALSE))</f>
        <v>45880</v>
      </c>
      <c r="I28" t="str" cm="1">
        <f t="array" ref="I28">VLOOKUP(OrderLines[[#This Row],[OrderID]:[OrderID]],Orders[],MATCH(OrderLines[[#Headers],[Branch]],Orders[#Headers],0),FALSE)</f>
        <v>Head Office Café</v>
      </c>
      <c r="J28" cm="1">
        <f t="array" ref="J28">VLOOKUP(OrderLines[[#This Row],[OrderID]:[OrderID]],Orders[],MATCH(OrderLines[[#Headers],[DiscountPct]],Orders[#Headers],0),FALSE)</f>
        <v>0.1</v>
      </c>
      <c r="K28" t="str" cm="1">
        <f t="array" ref="K28">VLOOKUP(OrderLines[[#This Row],[OrderID]:[OrderID]],Orders[],MATCH(OrderLines[[#Headers],[PaymentType]],Orders[#Headers],0),FALSE)</f>
        <v>UPI</v>
      </c>
      <c r="L28" t="str" cm="1">
        <f t="array" ref="L28">VLOOKUP(OrderLines[[#This Row],[OrderID]:[OrderID]],Orders[],MATCH(OrderLines[[#Headers],[Shift]],Orders[#Headers],0),FALSE)</f>
        <v>Breakfast</v>
      </c>
      <c r="M28" s="8">
        <f>(OrderLines[[#This Row],[Qty]]*OrderLines[[#This Row],[UnitPrice]])*(1-OrderLines[[#This Row],[DiscountPct]])</f>
        <v>206.68499999999997</v>
      </c>
      <c r="N28" t="str">
        <f>IF(AND(COUNTIFS(OrderLines[OrderID],OrderLines[[#This Row],[OrderID]],OrderLines[Category],"Hot Meal"),COUNTIFS(OrderLines[OrderID],OrderLines[[#This Row],[OrderID]],OrderLines[Category],"Beverage")),"Combo","Single")</f>
        <v>Combo</v>
      </c>
      <c r="O28" s="8" t="str" cm="1">
        <f t="array" ref="O28">IF(SUMPRODUCT(OrderLines[UnitPrice],OrderLines[Qty],OrderLines[DiscountPct],--(OrderLines[OrderID] = OrderLines[[#This Row],[OrderID]]))&gt;40,"High Discount","Ok")</f>
        <v>High Discount</v>
      </c>
      <c r="P28">
        <f>OrderLines[[#This Row],[UnitCost]]*OrderLines[[#This Row],[Qty]]</f>
        <v>114.69</v>
      </c>
      <c r="Q28" s="8">
        <f>OrderLines[[#This Row],[LineNetAmount]]-OrderLines[[#This Row],[Food Cost]]</f>
        <v>91.994999999999976</v>
      </c>
    </row>
    <row r="29" spans="1:17" x14ac:dyDescent="0.3">
      <c r="A29" t="s">
        <v>39</v>
      </c>
      <c r="B29" t="s">
        <v>402</v>
      </c>
      <c r="C29">
        <v>2</v>
      </c>
      <c r="D29" cm="1">
        <f t="array" ref="D29">VLOOKUP(OrderLines[[#This Row],[SKU]:[SKU]],Menu[],MATCH(OrderLines[[#Headers],[UnitPrice]],Menu[#Headers],0),FALSE)</f>
        <v>30.34</v>
      </c>
      <c r="E29" cm="1">
        <f t="array" ref="E29">VLOOKUP(OrderLines[[#This Row],[SKU]:[SKU]],Menu[],MATCH(OrderLines[[#Headers],[UnitCost]],Menu[#Headers],0),FALSE)</f>
        <v>14.18</v>
      </c>
      <c r="F29" t="str" cm="1">
        <f t="array" ref="F29">VLOOKUP(OrderLines[[#This Row],[SKU]:[SKU]],Menu[],MATCH(OrderLines[[#Headers],[Category]],Menu[#Headers],0),FALSE)</f>
        <v>Beverage</v>
      </c>
      <c r="G29" t="str" cm="1">
        <f t="array" ref="G29">_xlfn.TEXTJOIN("+",TRUE,_xlfn._xlws.SORT(_xlfn.UNIQUE(_xlfn._xlws.FILTER(OrderLines[Category],OrderLines[OrderID]=OrderLines[[#This Row],[OrderID]]))))</f>
        <v>Beverage+Dessert+Hot Meal</v>
      </c>
      <c r="H29" s="2" cm="1">
        <f t="array" ref="H29">INT(VLOOKUP(OrderLines[[#This Row],[OrderID]:[OrderID]],Orders[],MATCH(OrderLines[[#Headers],[OrderDateTime]],Orders[#Headers],0),FALSE))</f>
        <v>45880</v>
      </c>
      <c r="I29" t="str" cm="1">
        <f t="array" ref="I29">VLOOKUP(OrderLines[[#This Row],[OrderID]:[OrderID]],Orders[],MATCH(OrderLines[[#Headers],[Branch]],Orders[#Headers],0),FALSE)</f>
        <v>Head Office Café</v>
      </c>
      <c r="J29" cm="1">
        <f t="array" ref="J29">VLOOKUP(OrderLines[[#This Row],[OrderID]:[OrderID]],Orders[],MATCH(OrderLines[[#Headers],[DiscountPct]],Orders[#Headers],0),FALSE)</f>
        <v>0.1</v>
      </c>
      <c r="K29" t="str" cm="1">
        <f t="array" ref="K29">VLOOKUP(OrderLines[[#This Row],[OrderID]:[OrderID]],Orders[],MATCH(OrderLines[[#Headers],[PaymentType]],Orders[#Headers],0),FALSE)</f>
        <v>UPI</v>
      </c>
      <c r="L29" t="str" cm="1">
        <f t="array" ref="L29">VLOOKUP(OrderLines[[#This Row],[OrderID]:[OrderID]],Orders[],MATCH(OrderLines[[#Headers],[Shift]],Orders[#Headers],0),FALSE)</f>
        <v>Breakfast</v>
      </c>
      <c r="M29" s="8">
        <f>(OrderLines[[#This Row],[Qty]]*OrderLines[[#This Row],[UnitPrice]])*(1-OrderLines[[#This Row],[DiscountPct]])</f>
        <v>54.612000000000002</v>
      </c>
      <c r="N29" t="str">
        <f>IF(AND(COUNTIFS(OrderLines[OrderID],OrderLines[[#This Row],[OrderID]],OrderLines[Category],"Hot Meal"),COUNTIFS(OrderLines[OrderID],OrderLines[[#This Row],[OrderID]],OrderLines[Category],"Beverage")),"Combo","Single")</f>
        <v>Combo</v>
      </c>
      <c r="O29" s="8" t="str" cm="1">
        <f t="array" ref="O29">IF(SUMPRODUCT(OrderLines[UnitPrice],OrderLines[Qty],OrderLines[DiscountPct],--(OrderLines[OrderID] = OrderLines[[#This Row],[OrderID]]))&gt;40,"High Discount","Ok")</f>
        <v>High Discount</v>
      </c>
      <c r="P29">
        <f>OrderLines[[#This Row],[UnitCost]]*OrderLines[[#This Row],[Qty]]</f>
        <v>28.36</v>
      </c>
      <c r="Q29" s="8">
        <f>OrderLines[[#This Row],[LineNetAmount]]-OrderLines[[#This Row],[Food Cost]]</f>
        <v>26.252000000000002</v>
      </c>
    </row>
    <row r="30" spans="1:17" x14ac:dyDescent="0.3">
      <c r="A30" t="s">
        <v>39</v>
      </c>
      <c r="B30" t="s">
        <v>414</v>
      </c>
      <c r="C30">
        <v>3</v>
      </c>
      <c r="D30" cm="1">
        <f t="array" ref="D30">VLOOKUP(OrderLines[[#This Row],[SKU]:[SKU]],Menu[],MATCH(OrderLines[[#Headers],[UnitPrice]],Menu[#Headers],0),FALSE)</f>
        <v>116.8</v>
      </c>
      <c r="E30" cm="1">
        <f t="array" ref="E30">VLOOKUP(OrderLines[[#This Row],[SKU]:[SKU]],Menu[],MATCH(OrderLines[[#Headers],[UnitCost]],Menu[#Headers],0),FALSE)</f>
        <v>48.97</v>
      </c>
      <c r="F30" t="str" cm="1">
        <f t="array" ref="F30">VLOOKUP(OrderLines[[#This Row],[SKU]:[SKU]],Menu[],MATCH(OrderLines[[#Headers],[Category]],Menu[#Headers],0),FALSE)</f>
        <v>Dessert</v>
      </c>
      <c r="G30" t="str" cm="1">
        <f t="array" ref="G30">_xlfn.TEXTJOIN("+",TRUE,_xlfn._xlws.SORT(_xlfn.UNIQUE(_xlfn._xlws.FILTER(OrderLines[Category],OrderLines[OrderID]=OrderLines[[#This Row],[OrderID]]))))</f>
        <v>Beverage+Dessert+Hot Meal</v>
      </c>
      <c r="H30" s="2" cm="1">
        <f t="array" ref="H30">INT(VLOOKUP(OrderLines[[#This Row],[OrderID]:[OrderID]],Orders[],MATCH(OrderLines[[#Headers],[OrderDateTime]],Orders[#Headers],0),FALSE))</f>
        <v>45880</v>
      </c>
      <c r="I30" t="str" cm="1">
        <f t="array" ref="I30">VLOOKUP(OrderLines[[#This Row],[OrderID]:[OrderID]],Orders[],MATCH(OrderLines[[#Headers],[Branch]],Orders[#Headers],0),FALSE)</f>
        <v>Head Office Café</v>
      </c>
      <c r="J30" cm="1">
        <f t="array" ref="J30">VLOOKUP(OrderLines[[#This Row],[OrderID]:[OrderID]],Orders[],MATCH(OrderLines[[#Headers],[DiscountPct]],Orders[#Headers],0),FALSE)</f>
        <v>0.1</v>
      </c>
      <c r="K30" t="str" cm="1">
        <f t="array" ref="K30">VLOOKUP(OrderLines[[#This Row],[OrderID]:[OrderID]],Orders[],MATCH(OrderLines[[#Headers],[PaymentType]],Orders[#Headers],0),FALSE)</f>
        <v>UPI</v>
      </c>
      <c r="L30" t="str" cm="1">
        <f t="array" ref="L30">VLOOKUP(OrderLines[[#This Row],[OrderID]:[OrderID]],Orders[],MATCH(OrderLines[[#Headers],[Shift]],Orders[#Headers],0),FALSE)</f>
        <v>Breakfast</v>
      </c>
      <c r="M30" s="8">
        <f>(OrderLines[[#This Row],[Qty]]*OrderLines[[#This Row],[UnitPrice]])*(1-OrderLines[[#This Row],[DiscountPct]])</f>
        <v>315.36</v>
      </c>
      <c r="N30" t="str">
        <f>IF(AND(COUNTIFS(OrderLines[OrderID],OrderLines[[#This Row],[OrderID]],OrderLines[Category],"Hot Meal"),COUNTIFS(OrderLines[OrderID],OrderLines[[#This Row],[OrderID]],OrderLines[Category],"Beverage")),"Combo","Single")</f>
        <v>Combo</v>
      </c>
      <c r="O30" s="8" t="str" cm="1">
        <f t="array" ref="O30">IF(SUMPRODUCT(OrderLines[UnitPrice],OrderLines[Qty],OrderLines[DiscountPct],--(OrderLines[OrderID] = OrderLines[[#This Row],[OrderID]]))&gt;40,"High Discount","Ok")</f>
        <v>High Discount</v>
      </c>
      <c r="P30">
        <f>OrderLines[[#This Row],[UnitCost]]*OrderLines[[#This Row],[Qty]]</f>
        <v>146.91</v>
      </c>
      <c r="Q30" s="8">
        <f>OrderLines[[#This Row],[LineNetAmount]]-OrderLines[[#This Row],[Food Cost]]</f>
        <v>168.45000000000002</v>
      </c>
    </row>
    <row r="31" spans="1:17" x14ac:dyDescent="0.3">
      <c r="A31" t="s">
        <v>39</v>
      </c>
      <c r="B31" t="s">
        <v>415</v>
      </c>
      <c r="C31">
        <v>1</v>
      </c>
      <c r="D31" cm="1">
        <f t="array" ref="D31">VLOOKUP(OrderLines[[#This Row],[SKU]:[SKU]],Menu[],MATCH(OrderLines[[#Headers],[UnitPrice]],Menu[#Headers],0),FALSE)</f>
        <v>256.91000000000003</v>
      </c>
      <c r="E31" cm="1">
        <f t="array" ref="E31">VLOOKUP(OrderLines[[#This Row],[SKU]:[SKU]],Menu[],MATCH(OrderLines[[#Headers],[UnitCost]],Menu[#Headers],0),FALSE)</f>
        <v>121.24</v>
      </c>
      <c r="F31" t="str" cm="1">
        <f t="array" ref="F31">VLOOKUP(OrderLines[[#This Row],[SKU]:[SKU]],Menu[],MATCH(OrderLines[[#Headers],[Category]],Menu[#Headers],0),FALSE)</f>
        <v>Hot Meal</v>
      </c>
      <c r="G31" t="str" cm="1">
        <f t="array" ref="G31">_xlfn.TEXTJOIN("+",TRUE,_xlfn._xlws.SORT(_xlfn.UNIQUE(_xlfn._xlws.FILTER(OrderLines[Category],OrderLines[OrderID]=OrderLines[[#This Row],[OrderID]]))))</f>
        <v>Beverage+Dessert+Hot Meal</v>
      </c>
      <c r="H31" s="2" cm="1">
        <f t="array" ref="H31">INT(VLOOKUP(OrderLines[[#This Row],[OrderID]:[OrderID]],Orders[],MATCH(OrderLines[[#Headers],[OrderDateTime]],Orders[#Headers],0),FALSE))</f>
        <v>45880</v>
      </c>
      <c r="I31" t="str" cm="1">
        <f t="array" ref="I31">VLOOKUP(OrderLines[[#This Row],[OrderID]:[OrderID]],Orders[],MATCH(OrderLines[[#Headers],[Branch]],Orders[#Headers],0),FALSE)</f>
        <v>Head Office Café</v>
      </c>
      <c r="J31" cm="1">
        <f t="array" ref="J31">VLOOKUP(OrderLines[[#This Row],[OrderID]:[OrderID]],Orders[],MATCH(OrderLines[[#Headers],[DiscountPct]],Orders[#Headers],0),FALSE)</f>
        <v>0.1</v>
      </c>
      <c r="K31" t="str" cm="1">
        <f t="array" ref="K31">VLOOKUP(OrderLines[[#This Row],[OrderID]:[OrderID]],Orders[],MATCH(OrderLines[[#Headers],[PaymentType]],Orders[#Headers],0),FALSE)</f>
        <v>UPI</v>
      </c>
      <c r="L31" t="str" cm="1">
        <f t="array" ref="L31">VLOOKUP(OrderLines[[#This Row],[OrderID]:[OrderID]],Orders[],MATCH(OrderLines[[#Headers],[Shift]],Orders[#Headers],0),FALSE)</f>
        <v>Breakfast</v>
      </c>
      <c r="M31" s="8">
        <f>(OrderLines[[#This Row],[Qty]]*OrderLines[[#This Row],[UnitPrice]])*(1-OrderLines[[#This Row],[DiscountPct]])</f>
        <v>231.21900000000002</v>
      </c>
      <c r="N31" t="str">
        <f>IF(AND(COUNTIFS(OrderLines[OrderID],OrderLines[[#This Row],[OrderID]],OrderLines[Category],"Hot Meal"),COUNTIFS(OrderLines[OrderID],OrderLines[[#This Row],[OrderID]],OrderLines[Category],"Beverage")),"Combo","Single")</f>
        <v>Combo</v>
      </c>
      <c r="O31" s="8" t="str" cm="1">
        <f t="array" ref="O31">IF(SUMPRODUCT(OrderLines[UnitPrice],OrderLines[Qty],OrderLines[DiscountPct],--(OrderLines[OrderID] = OrderLines[[#This Row],[OrderID]]))&gt;40,"High Discount","Ok")</f>
        <v>High Discount</v>
      </c>
      <c r="P31">
        <f>OrderLines[[#This Row],[UnitCost]]*OrderLines[[#This Row],[Qty]]</f>
        <v>121.24</v>
      </c>
      <c r="Q31" s="8">
        <f>OrderLines[[#This Row],[LineNetAmount]]-OrderLines[[#This Row],[Food Cost]]</f>
        <v>109.97900000000003</v>
      </c>
    </row>
    <row r="32" spans="1:17" x14ac:dyDescent="0.3">
      <c r="A32" t="s">
        <v>40</v>
      </c>
      <c r="B32" t="s">
        <v>409</v>
      </c>
      <c r="C32">
        <v>1</v>
      </c>
      <c r="D32" cm="1">
        <f t="array" ref="D32">VLOOKUP(OrderLines[[#This Row],[SKU]:[SKU]],Menu[],MATCH(OrderLines[[#Headers],[UnitPrice]],Menu[#Headers],0),FALSE)</f>
        <v>28.43</v>
      </c>
      <c r="E32" cm="1">
        <f t="array" ref="E32">VLOOKUP(OrderLines[[#This Row],[SKU]:[SKU]],Menu[],MATCH(OrderLines[[#Headers],[UnitCost]],Menu[#Headers],0),FALSE)</f>
        <v>13.89</v>
      </c>
      <c r="F32" t="str" cm="1">
        <f t="array" ref="F32">VLOOKUP(OrderLines[[#This Row],[SKU]:[SKU]],Menu[],MATCH(OrderLines[[#Headers],[Category]],Menu[#Headers],0),FALSE)</f>
        <v>Beverage</v>
      </c>
      <c r="G32" t="str" cm="1">
        <f t="array" ref="G32">_xlfn.TEXTJOIN("+",TRUE,_xlfn._xlws.SORT(_xlfn.UNIQUE(_xlfn._xlws.FILTER(OrderLines[Category],OrderLines[OrderID]=OrderLines[[#This Row],[OrderID]]))))</f>
        <v>Beverage+Dessert</v>
      </c>
      <c r="H32" s="2" cm="1">
        <f t="array" ref="H32">INT(VLOOKUP(OrderLines[[#This Row],[OrderID]:[OrderID]],Orders[],MATCH(OrderLines[[#Headers],[OrderDateTime]],Orders[#Headers],0),FALSE))</f>
        <v>45854</v>
      </c>
      <c r="I32" t="str" cm="1">
        <f t="array" ref="I32">VLOOKUP(OrderLines[[#This Row],[OrderID]:[OrderID]],Orders[],MATCH(OrderLines[[#Headers],[Branch]],Orders[#Headers],0),FALSE)</f>
        <v>Plant 1 Canteen</v>
      </c>
      <c r="J32" cm="1">
        <f t="array" ref="J32">VLOOKUP(OrderLines[[#This Row],[OrderID]:[OrderID]],Orders[],MATCH(OrderLines[[#Headers],[DiscountPct]],Orders[#Headers],0),FALSE)</f>
        <v>0.1</v>
      </c>
      <c r="K32" t="str" cm="1">
        <f t="array" ref="K32">VLOOKUP(OrderLines[[#This Row],[OrderID]:[OrderID]],Orders[],MATCH(OrderLines[[#Headers],[PaymentType]],Orders[#Headers],0),FALSE)</f>
        <v>Cash</v>
      </c>
      <c r="L32" t="str" cm="1">
        <f t="array" ref="L32">VLOOKUP(OrderLines[[#This Row],[OrderID]:[OrderID]],Orders[],MATCH(OrderLines[[#Headers],[Shift]],Orders[#Headers],0),FALSE)</f>
        <v>Breakfast</v>
      </c>
      <c r="M32" s="8">
        <f>(OrderLines[[#This Row],[Qty]]*OrderLines[[#This Row],[UnitPrice]])*(1-OrderLines[[#This Row],[DiscountPct]])</f>
        <v>25.587</v>
      </c>
      <c r="N32" t="str">
        <f>IF(AND(COUNTIFS(OrderLines[OrderID],OrderLines[[#This Row],[OrderID]],OrderLines[Category],"Hot Meal"),COUNTIFS(OrderLines[OrderID],OrderLines[[#This Row],[OrderID]],OrderLines[Category],"Beverage")),"Combo","Single")</f>
        <v>Single</v>
      </c>
      <c r="O32" s="8" t="str" cm="1">
        <f t="array" ref="O32">IF(SUMPRODUCT(OrderLines[UnitPrice],OrderLines[Qty],OrderLines[DiscountPct],--(OrderLines[OrderID] = OrderLines[[#This Row],[OrderID]]))&gt;40,"High Discount","Ok")</f>
        <v>Ok</v>
      </c>
      <c r="P32">
        <f>OrderLines[[#This Row],[UnitCost]]*OrderLines[[#This Row],[Qty]]</f>
        <v>13.89</v>
      </c>
      <c r="Q32" s="8">
        <f>OrderLines[[#This Row],[LineNetAmount]]-OrderLines[[#This Row],[Food Cost]]</f>
        <v>11.696999999999999</v>
      </c>
    </row>
    <row r="33" spans="1:17" x14ac:dyDescent="0.3">
      <c r="A33" t="s">
        <v>40</v>
      </c>
      <c r="B33" t="s">
        <v>403</v>
      </c>
      <c r="C33">
        <v>2</v>
      </c>
      <c r="D33" cm="1">
        <f t="array" ref="D33">VLOOKUP(OrderLines[[#This Row],[SKU]:[SKU]],Menu[],MATCH(OrderLines[[#Headers],[UnitPrice]],Menu[#Headers],0),FALSE)</f>
        <v>76.55</v>
      </c>
      <c r="E33" cm="1">
        <f t="array" ref="E33">VLOOKUP(OrderLines[[#This Row],[SKU]:[SKU]],Menu[],MATCH(OrderLines[[#Headers],[UnitCost]],Menu[#Headers],0),FALSE)</f>
        <v>38.229999999999997</v>
      </c>
      <c r="F33" t="str" cm="1">
        <f t="array" ref="F33">VLOOKUP(OrderLines[[#This Row],[SKU]:[SKU]],Menu[],MATCH(OrderLines[[#Headers],[Category]],Menu[#Headers],0),FALSE)</f>
        <v>Dessert</v>
      </c>
      <c r="G33" t="str" cm="1">
        <f t="array" ref="G33">_xlfn.TEXTJOIN("+",TRUE,_xlfn._xlws.SORT(_xlfn.UNIQUE(_xlfn._xlws.FILTER(OrderLines[Category],OrderLines[OrderID]=OrderLines[[#This Row],[OrderID]]))))</f>
        <v>Beverage+Dessert</v>
      </c>
      <c r="H33" s="2" cm="1">
        <f t="array" ref="H33">INT(VLOOKUP(OrderLines[[#This Row],[OrderID]:[OrderID]],Orders[],MATCH(OrderLines[[#Headers],[OrderDateTime]],Orders[#Headers],0),FALSE))</f>
        <v>45854</v>
      </c>
      <c r="I33" t="str" cm="1">
        <f t="array" ref="I33">VLOOKUP(OrderLines[[#This Row],[OrderID]:[OrderID]],Orders[],MATCH(OrderLines[[#Headers],[Branch]],Orders[#Headers],0),FALSE)</f>
        <v>Plant 1 Canteen</v>
      </c>
      <c r="J33" cm="1">
        <f t="array" ref="J33">VLOOKUP(OrderLines[[#This Row],[OrderID]:[OrderID]],Orders[],MATCH(OrderLines[[#Headers],[DiscountPct]],Orders[#Headers],0),FALSE)</f>
        <v>0.1</v>
      </c>
      <c r="K33" t="str" cm="1">
        <f t="array" ref="K33">VLOOKUP(OrderLines[[#This Row],[OrderID]:[OrderID]],Orders[],MATCH(OrderLines[[#Headers],[PaymentType]],Orders[#Headers],0),FALSE)</f>
        <v>Cash</v>
      </c>
      <c r="L33" t="str" cm="1">
        <f t="array" ref="L33">VLOOKUP(OrderLines[[#This Row],[OrderID]:[OrderID]],Orders[],MATCH(OrderLines[[#Headers],[Shift]],Orders[#Headers],0),FALSE)</f>
        <v>Breakfast</v>
      </c>
      <c r="M33" s="8">
        <f>(OrderLines[[#This Row],[Qty]]*OrderLines[[#This Row],[UnitPrice]])*(1-OrderLines[[#This Row],[DiscountPct]])</f>
        <v>137.79</v>
      </c>
      <c r="N33" t="str">
        <f>IF(AND(COUNTIFS(OrderLines[OrderID],OrderLines[[#This Row],[OrderID]],OrderLines[Category],"Hot Meal"),COUNTIFS(OrderLines[OrderID],OrderLines[[#This Row],[OrderID]],OrderLines[Category],"Beverage")),"Combo","Single")</f>
        <v>Single</v>
      </c>
      <c r="O33" s="8" t="str" cm="1">
        <f t="array" ref="O33">IF(SUMPRODUCT(OrderLines[UnitPrice],OrderLines[Qty],OrderLines[DiscountPct],--(OrderLines[OrderID] = OrderLines[[#This Row],[OrderID]]))&gt;40,"High Discount","Ok")</f>
        <v>Ok</v>
      </c>
      <c r="P33">
        <f>OrderLines[[#This Row],[UnitCost]]*OrderLines[[#This Row],[Qty]]</f>
        <v>76.459999999999994</v>
      </c>
      <c r="Q33" s="8">
        <f>OrderLines[[#This Row],[LineNetAmount]]-OrderLines[[#This Row],[Food Cost]]</f>
        <v>61.33</v>
      </c>
    </row>
    <row r="34" spans="1:17" x14ac:dyDescent="0.3">
      <c r="A34" t="s">
        <v>40</v>
      </c>
      <c r="B34" t="s">
        <v>410</v>
      </c>
      <c r="C34">
        <v>1</v>
      </c>
      <c r="D34" cm="1">
        <f t="array" ref="D34">VLOOKUP(OrderLines[[#This Row],[SKU]:[SKU]],Menu[],MATCH(OrderLines[[#Headers],[UnitPrice]],Menu[#Headers],0),FALSE)</f>
        <v>20.11</v>
      </c>
      <c r="E34" cm="1">
        <f t="array" ref="E34">VLOOKUP(OrderLines[[#This Row],[SKU]:[SKU]],Menu[],MATCH(OrderLines[[#Headers],[UnitCost]],Menu[#Headers],0),FALSE)</f>
        <v>8</v>
      </c>
      <c r="F34" t="str" cm="1">
        <f t="array" ref="F34">VLOOKUP(OrderLines[[#This Row],[SKU]:[SKU]],Menu[],MATCH(OrderLines[[#Headers],[Category]],Menu[#Headers],0),FALSE)</f>
        <v>Beverage</v>
      </c>
      <c r="G34" t="str" cm="1">
        <f t="array" ref="G34">_xlfn.TEXTJOIN("+",TRUE,_xlfn._xlws.SORT(_xlfn.UNIQUE(_xlfn._xlws.FILTER(OrderLines[Category],OrderLines[OrderID]=OrderLines[[#This Row],[OrderID]]))))</f>
        <v>Beverage+Dessert</v>
      </c>
      <c r="H34" s="2" cm="1">
        <f t="array" ref="H34">INT(VLOOKUP(OrderLines[[#This Row],[OrderID]:[OrderID]],Orders[],MATCH(OrderLines[[#Headers],[OrderDateTime]],Orders[#Headers],0),FALSE))</f>
        <v>45854</v>
      </c>
      <c r="I34" t="str" cm="1">
        <f t="array" ref="I34">VLOOKUP(OrderLines[[#This Row],[OrderID]:[OrderID]],Orders[],MATCH(OrderLines[[#Headers],[Branch]],Orders[#Headers],0),FALSE)</f>
        <v>Plant 1 Canteen</v>
      </c>
      <c r="J34" cm="1">
        <f t="array" ref="J34">VLOOKUP(OrderLines[[#This Row],[OrderID]:[OrderID]],Orders[],MATCH(OrderLines[[#Headers],[DiscountPct]],Orders[#Headers],0),FALSE)</f>
        <v>0.1</v>
      </c>
      <c r="K34" t="str" cm="1">
        <f t="array" ref="K34">VLOOKUP(OrderLines[[#This Row],[OrderID]:[OrderID]],Orders[],MATCH(OrderLines[[#Headers],[PaymentType]],Orders[#Headers],0),FALSE)</f>
        <v>Cash</v>
      </c>
      <c r="L34" t="str" cm="1">
        <f t="array" ref="L34">VLOOKUP(OrderLines[[#This Row],[OrderID]:[OrderID]],Orders[],MATCH(OrderLines[[#Headers],[Shift]],Orders[#Headers],0),FALSE)</f>
        <v>Breakfast</v>
      </c>
      <c r="M34" s="8">
        <f>(OrderLines[[#This Row],[Qty]]*OrderLines[[#This Row],[UnitPrice]])*(1-OrderLines[[#This Row],[DiscountPct]])</f>
        <v>18.099</v>
      </c>
      <c r="N34" t="str">
        <f>IF(AND(COUNTIFS(OrderLines[OrderID],OrderLines[[#This Row],[OrderID]],OrderLines[Category],"Hot Meal"),COUNTIFS(OrderLines[OrderID],OrderLines[[#This Row],[OrderID]],OrderLines[Category],"Beverage")),"Combo","Single")</f>
        <v>Single</v>
      </c>
      <c r="O34" s="8" t="str" cm="1">
        <f t="array" ref="O34">IF(SUMPRODUCT(OrderLines[UnitPrice],OrderLines[Qty],OrderLines[DiscountPct],--(OrderLines[OrderID] = OrderLines[[#This Row],[OrderID]]))&gt;40,"High Discount","Ok")</f>
        <v>Ok</v>
      </c>
      <c r="P34">
        <f>OrderLines[[#This Row],[UnitCost]]*OrderLines[[#This Row],[Qty]]</f>
        <v>8</v>
      </c>
      <c r="Q34" s="8">
        <f>OrderLines[[#This Row],[LineNetAmount]]-OrderLines[[#This Row],[Food Cost]]</f>
        <v>10.099</v>
      </c>
    </row>
    <row r="35" spans="1:17" x14ac:dyDescent="0.3">
      <c r="A35" t="s">
        <v>42</v>
      </c>
      <c r="B35" t="s">
        <v>405</v>
      </c>
      <c r="C35">
        <v>1</v>
      </c>
      <c r="D35" cm="1">
        <f t="array" ref="D35">VLOOKUP(OrderLines[[#This Row],[SKU]:[SKU]],Menu[],MATCH(OrderLines[[#Headers],[UnitPrice]],Menu[#Headers],0),FALSE)</f>
        <v>170.83</v>
      </c>
      <c r="E35" cm="1">
        <f t="array" ref="E35">VLOOKUP(OrderLines[[#This Row],[SKU]:[SKU]],Menu[],MATCH(OrderLines[[#Headers],[UnitCost]],Menu[#Headers],0),FALSE)</f>
        <v>74.069999999999993</v>
      </c>
      <c r="F35" t="str" cm="1">
        <f t="array" ref="F35">VLOOKUP(OrderLines[[#This Row],[SKU]:[SKU]],Menu[],MATCH(OrderLines[[#Headers],[Category]],Menu[#Headers],0),FALSE)</f>
        <v>Hot Meal</v>
      </c>
      <c r="G35" t="str" cm="1">
        <f t="array" ref="G35">_xlfn.TEXTJOIN("+",TRUE,_xlfn._xlws.SORT(_xlfn.UNIQUE(_xlfn._xlws.FILTER(OrderLines[Category],OrderLines[OrderID]=OrderLines[[#This Row],[OrderID]]))))</f>
        <v>Beverage+Dessert+Hot Meal</v>
      </c>
      <c r="H35" s="2" cm="1">
        <f t="array" ref="H35">INT(VLOOKUP(OrderLines[[#This Row],[OrderID]:[OrderID]],Orders[],MATCH(OrderLines[[#Headers],[OrderDateTime]],Orders[#Headers],0),FALSE))</f>
        <v>45895</v>
      </c>
      <c r="I35" t="str" cm="1">
        <f t="array" ref="I35">VLOOKUP(OrderLines[[#This Row],[OrderID]:[OrderID]],Orders[],MATCH(OrderLines[[#Headers],[Branch]],Orders[#Headers],0),FALSE)</f>
        <v>Head Office Café</v>
      </c>
      <c r="J35" cm="1">
        <f t="array" ref="J35">VLOOKUP(OrderLines[[#This Row],[OrderID]:[OrderID]],Orders[],MATCH(OrderLines[[#Headers],[DiscountPct]],Orders[#Headers],0),FALSE)</f>
        <v>0.03</v>
      </c>
      <c r="K35" t="str" cm="1">
        <f t="array" ref="K35">VLOOKUP(OrderLines[[#This Row],[OrderID]:[OrderID]],Orders[],MATCH(OrderLines[[#Headers],[PaymentType]],Orders[#Headers],0),FALSE)</f>
        <v>Cash</v>
      </c>
      <c r="L35" t="str" cm="1">
        <f t="array" ref="L35">VLOOKUP(OrderLines[[#This Row],[OrderID]:[OrderID]],Orders[],MATCH(OrderLines[[#Headers],[Shift]],Orders[#Headers],0),FALSE)</f>
        <v>Lunch</v>
      </c>
      <c r="M35" s="8">
        <f>(OrderLines[[#This Row],[Qty]]*OrderLines[[#This Row],[UnitPrice]])*(1-OrderLines[[#This Row],[DiscountPct]])</f>
        <v>165.70510000000002</v>
      </c>
      <c r="N35" t="str">
        <f>IF(AND(COUNTIFS(OrderLines[OrderID],OrderLines[[#This Row],[OrderID]],OrderLines[Category],"Hot Meal"),COUNTIFS(OrderLines[OrderID],OrderLines[[#This Row],[OrderID]],OrderLines[Category],"Beverage")),"Combo","Single")</f>
        <v>Combo</v>
      </c>
      <c r="O35" s="8" t="str" cm="1">
        <f t="array" ref="O35">IF(SUMPRODUCT(OrderLines[UnitPrice],OrderLines[Qty],OrderLines[DiscountPct],--(OrderLines[OrderID] = OrderLines[[#This Row],[OrderID]]))&gt;40,"High Discount","Ok")</f>
        <v>Ok</v>
      </c>
      <c r="P35">
        <f>OrderLines[[#This Row],[UnitCost]]*OrderLines[[#This Row],[Qty]]</f>
        <v>74.069999999999993</v>
      </c>
      <c r="Q35" s="8">
        <f>OrderLines[[#This Row],[LineNetAmount]]-OrderLines[[#This Row],[Food Cost]]</f>
        <v>91.635100000000023</v>
      </c>
    </row>
    <row r="36" spans="1:17" x14ac:dyDescent="0.3">
      <c r="A36" t="s">
        <v>42</v>
      </c>
      <c r="B36" t="s">
        <v>404</v>
      </c>
      <c r="C36">
        <v>3</v>
      </c>
      <c r="D36" cm="1">
        <f t="array" ref="D36">VLOOKUP(OrderLines[[#This Row],[SKU]:[SKU]],Menu[],MATCH(OrderLines[[#Headers],[UnitPrice]],Menu[#Headers],0),FALSE)</f>
        <v>32.979999999999997</v>
      </c>
      <c r="E36" cm="1">
        <f t="array" ref="E36">VLOOKUP(OrderLines[[#This Row],[SKU]:[SKU]],Menu[],MATCH(OrderLines[[#Headers],[UnitCost]],Menu[#Headers],0),FALSE)</f>
        <v>11.84</v>
      </c>
      <c r="F36" t="str" cm="1">
        <f t="array" ref="F36">VLOOKUP(OrderLines[[#This Row],[SKU]:[SKU]],Menu[],MATCH(OrderLines[[#Headers],[Category]],Menu[#Headers],0),FALSE)</f>
        <v>Beverage</v>
      </c>
      <c r="G36" t="str" cm="1">
        <f t="array" ref="G36">_xlfn.TEXTJOIN("+",TRUE,_xlfn._xlws.SORT(_xlfn.UNIQUE(_xlfn._xlws.FILTER(OrderLines[Category],OrderLines[OrderID]=OrderLines[[#This Row],[OrderID]]))))</f>
        <v>Beverage+Dessert+Hot Meal</v>
      </c>
      <c r="H36" s="2" cm="1">
        <f t="array" ref="H36">INT(VLOOKUP(OrderLines[[#This Row],[OrderID]:[OrderID]],Orders[],MATCH(OrderLines[[#Headers],[OrderDateTime]],Orders[#Headers],0),FALSE))</f>
        <v>45895</v>
      </c>
      <c r="I36" t="str" cm="1">
        <f t="array" ref="I36">VLOOKUP(OrderLines[[#This Row],[OrderID]:[OrderID]],Orders[],MATCH(OrderLines[[#Headers],[Branch]],Orders[#Headers],0),FALSE)</f>
        <v>Head Office Café</v>
      </c>
      <c r="J36" cm="1">
        <f t="array" ref="J36">VLOOKUP(OrderLines[[#This Row],[OrderID]:[OrderID]],Orders[],MATCH(OrderLines[[#Headers],[DiscountPct]],Orders[#Headers],0),FALSE)</f>
        <v>0.03</v>
      </c>
      <c r="K36" t="str" cm="1">
        <f t="array" ref="K36">VLOOKUP(OrderLines[[#This Row],[OrderID]:[OrderID]],Orders[],MATCH(OrderLines[[#Headers],[PaymentType]],Orders[#Headers],0),FALSE)</f>
        <v>Cash</v>
      </c>
      <c r="L36" t="str" cm="1">
        <f t="array" ref="L36">VLOOKUP(OrderLines[[#This Row],[OrderID]:[OrderID]],Orders[],MATCH(OrderLines[[#Headers],[Shift]],Orders[#Headers],0),FALSE)</f>
        <v>Lunch</v>
      </c>
      <c r="M36" s="8">
        <f>(OrderLines[[#This Row],[Qty]]*OrderLines[[#This Row],[UnitPrice]])*(1-OrderLines[[#This Row],[DiscountPct]])</f>
        <v>95.971800000000002</v>
      </c>
      <c r="N36" t="str">
        <f>IF(AND(COUNTIFS(OrderLines[OrderID],OrderLines[[#This Row],[OrderID]],OrderLines[Category],"Hot Meal"),COUNTIFS(OrderLines[OrderID],OrderLines[[#This Row],[OrderID]],OrderLines[Category],"Beverage")),"Combo","Single")</f>
        <v>Combo</v>
      </c>
      <c r="O36" s="8" t="str" cm="1">
        <f t="array" ref="O36">IF(SUMPRODUCT(OrderLines[UnitPrice],OrderLines[Qty],OrderLines[DiscountPct],--(OrderLines[OrderID] = OrderLines[[#This Row],[OrderID]]))&gt;40,"High Discount","Ok")</f>
        <v>Ok</v>
      </c>
      <c r="P36">
        <f>OrderLines[[#This Row],[UnitCost]]*OrderLines[[#This Row],[Qty]]</f>
        <v>35.519999999999996</v>
      </c>
      <c r="Q36" s="8">
        <f>OrderLines[[#This Row],[LineNetAmount]]-OrderLines[[#This Row],[Food Cost]]</f>
        <v>60.451800000000006</v>
      </c>
    </row>
    <row r="37" spans="1:17" x14ac:dyDescent="0.3">
      <c r="A37" t="s">
        <v>42</v>
      </c>
      <c r="B37" t="s">
        <v>403</v>
      </c>
      <c r="C37">
        <v>2</v>
      </c>
      <c r="D37" cm="1">
        <f t="array" ref="D37">VLOOKUP(OrderLines[[#This Row],[SKU]:[SKU]],Menu[],MATCH(OrderLines[[#Headers],[UnitPrice]],Menu[#Headers],0),FALSE)</f>
        <v>76.55</v>
      </c>
      <c r="E37" cm="1">
        <f t="array" ref="E37">VLOOKUP(OrderLines[[#This Row],[SKU]:[SKU]],Menu[],MATCH(OrderLines[[#Headers],[UnitCost]],Menu[#Headers],0),FALSE)</f>
        <v>38.229999999999997</v>
      </c>
      <c r="F37" t="str" cm="1">
        <f t="array" ref="F37">VLOOKUP(OrderLines[[#This Row],[SKU]:[SKU]],Menu[],MATCH(OrderLines[[#Headers],[Category]],Menu[#Headers],0),FALSE)</f>
        <v>Dessert</v>
      </c>
      <c r="G37" t="str" cm="1">
        <f t="array" ref="G37">_xlfn.TEXTJOIN("+",TRUE,_xlfn._xlws.SORT(_xlfn.UNIQUE(_xlfn._xlws.FILTER(OrderLines[Category],OrderLines[OrderID]=OrderLines[[#This Row],[OrderID]]))))</f>
        <v>Beverage+Dessert+Hot Meal</v>
      </c>
      <c r="H37" s="2" cm="1">
        <f t="array" ref="H37">INT(VLOOKUP(OrderLines[[#This Row],[OrderID]:[OrderID]],Orders[],MATCH(OrderLines[[#Headers],[OrderDateTime]],Orders[#Headers],0),FALSE))</f>
        <v>45895</v>
      </c>
      <c r="I37" t="str" cm="1">
        <f t="array" ref="I37">VLOOKUP(OrderLines[[#This Row],[OrderID]:[OrderID]],Orders[],MATCH(OrderLines[[#Headers],[Branch]],Orders[#Headers],0),FALSE)</f>
        <v>Head Office Café</v>
      </c>
      <c r="J37" cm="1">
        <f t="array" ref="J37">VLOOKUP(OrderLines[[#This Row],[OrderID]:[OrderID]],Orders[],MATCH(OrderLines[[#Headers],[DiscountPct]],Orders[#Headers],0),FALSE)</f>
        <v>0.03</v>
      </c>
      <c r="K37" t="str" cm="1">
        <f t="array" ref="K37">VLOOKUP(OrderLines[[#This Row],[OrderID]:[OrderID]],Orders[],MATCH(OrderLines[[#Headers],[PaymentType]],Orders[#Headers],0),FALSE)</f>
        <v>Cash</v>
      </c>
      <c r="L37" t="str" cm="1">
        <f t="array" ref="L37">VLOOKUP(OrderLines[[#This Row],[OrderID]:[OrderID]],Orders[],MATCH(OrderLines[[#Headers],[Shift]],Orders[#Headers],0),FALSE)</f>
        <v>Lunch</v>
      </c>
      <c r="M37" s="8">
        <f>(OrderLines[[#This Row],[Qty]]*OrderLines[[#This Row],[UnitPrice]])*(1-OrderLines[[#This Row],[DiscountPct]])</f>
        <v>148.50699999999998</v>
      </c>
      <c r="N37" t="str">
        <f>IF(AND(COUNTIFS(OrderLines[OrderID],OrderLines[[#This Row],[OrderID]],OrderLines[Category],"Hot Meal"),COUNTIFS(OrderLines[OrderID],OrderLines[[#This Row],[OrderID]],OrderLines[Category],"Beverage")),"Combo","Single")</f>
        <v>Combo</v>
      </c>
      <c r="O37" s="8" t="str" cm="1">
        <f t="array" ref="O37">IF(SUMPRODUCT(OrderLines[UnitPrice],OrderLines[Qty],OrderLines[DiscountPct],--(OrderLines[OrderID] = OrderLines[[#This Row],[OrderID]]))&gt;40,"High Discount","Ok")</f>
        <v>Ok</v>
      </c>
      <c r="P37">
        <f>OrderLines[[#This Row],[UnitCost]]*OrderLines[[#This Row],[Qty]]</f>
        <v>76.459999999999994</v>
      </c>
      <c r="Q37" s="8">
        <f>OrderLines[[#This Row],[LineNetAmount]]-OrderLines[[#This Row],[Food Cost]]</f>
        <v>72.046999999999983</v>
      </c>
    </row>
    <row r="38" spans="1:17" x14ac:dyDescent="0.3">
      <c r="A38" t="s">
        <v>44</v>
      </c>
      <c r="B38" t="s">
        <v>412</v>
      </c>
      <c r="C38">
        <v>1</v>
      </c>
      <c r="D38" cm="1">
        <f t="array" ref="D38">VLOOKUP(OrderLines[[#This Row],[SKU]:[SKU]],Menu[],MATCH(OrderLines[[#Headers],[UnitPrice]],Menu[#Headers],0),FALSE)</f>
        <v>57.07</v>
      </c>
      <c r="E38" cm="1">
        <f t="array" ref="E38">VLOOKUP(OrderLines[[#This Row],[SKU]:[SKU]],Menu[],MATCH(OrderLines[[#Headers],[UnitCost]],Menu[#Headers],0),FALSE)</f>
        <v>29.14</v>
      </c>
      <c r="F38" t="str" cm="1">
        <f t="array" ref="F38">VLOOKUP(OrderLines[[#This Row],[SKU]:[SKU]],Menu[],MATCH(OrderLines[[#Headers],[Category]],Menu[#Headers],0),FALSE)</f>
        <v>Dessert</v>
      </c>
      <c r="G38" t="str" cm="1">
        <f t="array" ref="G38">_xlfn.TEXTJOIN("+",TRUE,_xlfn._xlws.SORT(_xlfn.UNIQUE(_xlfn._xlws.FILTER(OrderLines[Category],OrderLines[OrderID]=OrderLines[[#This Row],[OrderID]]))))</f>
        <v>Dessert+Hot Meal+Snack</v>
      </c>
      <c r="H38" s="2" cm="1">
        <f t="array" ref="H38">INT(VLOOKUP(OrderLines[[#This Row],[OrderID]:[OrderID]],Orders[],MATCH(OrderLines[[#Headers],[OrderDateTime]],Orders[#Headers],0),FALSE))</f>
        <v>45844</v>
      </c>
      <c r="I38" t="str" cm="1">
        <f t="array" ref="I38">VLOOKUP(OrderLines[[#This Row],[OrderID]:[OrderID]],Orders[],MATCH(OrderLines[[#Headers],[Branch]],Orders[#Headers],0),FALSE)</f>
        <v>Plant 1 Canteen</v>
      </c>
      <c r="J38" cm="1">
        <f t="array" ref="J38">VLOOKUP(OrderLines[[#This Row],[OrderID]:[OrderID]],Orders[],MATCH(OrderLines[[#Headers],[DiscountPct]],Orders[#Headers],0),FALSE)</f>
        <v>0.05</v>
      </c>
      <c r="K38" t="str" cm="1">
        <f t="array" ref="K38">VLOOKUP(OrderLines[[#This Row],[OrderID]:[OrderID]],Orders[],MATCH(OrderLines[[#Headers],[PaymentType]],Orders[#Headers],0),FALSE)</f>
        <v>Card</v>
      </c>
      <c r="L38" t="str" cm="1">
        <f t="array" ref="L38">VLOOKUP(OrderLines[[#This Row],[OrderID]:[OrderID]],Orders[],MATCH(OrderLines[[#Headers],[Shift]],Orders[#Headers],0),FALSE)</f>
        <v>Dinner</v>
      </c>
      <c r="M38" s="8">
        <f>(OrderLines[[#This Row],[Qty]]*OrderLines[[#This Row],[UnitPrice]])*(1-OrderLines[[#This Row],[DiscountPct]])</f>
        <v>54.216499999999996</v>
      </c>
      <c r="N38" t="str">
        <f>IF(AND(COUNTIFS(OrderLines[OrderID],OrderLines[[#This Row],[OrderID]],OrderLines[Category],"Hot Meal"),COUNTIFS(OrderLines[OrderID],OrderLines[[#This Row],[OrderID]],OrderLines[Category],"Beverage")),"Combo","Single")</f>
        <v>Single</v>
      </c>
      <c r="O38" s="8" t="str" cm="1">
        <f t="array" ref="O38">IF(SUMPRODUCT(OrderLines[UnitPrice],OrderLines[Qty],OrderLines[DiscountPct],--(OrderLines[OrderID] = OrderLines[[#This Row],[OrderID]]))&gt;40,"High Discount","Ok")</f>
        <v>Ok</v>
      </c>
      <c r="P38">
        <f>OrderLines[[#This Row],[UnitCost]]*OrderLines[[#This Row],[Qty]]</f>
        <v>29.14</v>
      </c>
      <c r="Q38" s="8">
        <f>OrderLines[[#This Row],[LineNetAmount]]-OrderLines[[#This Row],[Food Cost]]</f>
        <v>25.076499999999996</v>
      </c>
    </row>
    <row r="39" spans="1:17" x14ac:dyDescent="0.3">
      <c r="A39" t="s">
        <v>44</v>
      </c>
      <c r="B39" t="s">
        <v>408</v>
      </c>
      <c r="C39">
        <v>1</v>
      </c>
      <c r="D39" cm="1">
        <f t="array" ref="D39">VLOOKUP(OrderLines[[#This Row],[SKU]:[SKU]],Menu[],MATCH(OrderLines[[#Headers],[UnitPrice]],Menu[#Headers],0),FALSE)</f>
        <v>70.540000000000006</v>
      </c>
      <c r="E39" cm="1">
        <f t="array" ref="E39">VLOOKUP(OrderLines[[#This Row],[SKU]:[SKU]],Menu[],MATCH(OrderLines[[#Headers],[UnitCost]],Menu[#Headers],0),FALSE)</f>
        <v>35.81</v>
      </c>
      <c r="F39" t="str" cm="1">
        <f t="array" ref="F39">VLOOKUP(OrderLines[[#This Row],[SKU]:[SKU]],Menu[],MATCH(OrderLines[[#Headers],[Category]],Menu[#Headers],0),FALSE)</f>
        <v>Snack</v>
      </c>
      <c r="G39" t="str" cm="1">
        <f t="array" ref="G39">_xlfn.TEXTJOIN("+",TRUE,_xlfn._xlws.SORT(_xlfn.UNIQUE(_xlfn._xlws.FILTER(OrderLines[Category],OrderLines[OrderID]=OrderLines[[#This Row],[OrderID]]))))</f>
        <v>Dessert+Hot Meal+Snack</v>
      </c>
      <c r="H39" s="2" cm="1">
        <f t="array" ref="H39">INT(VLOOKUP(OrderLines[[#This Row],[OrderID]:[OrderID]],Orders[],MATCH(OrderLines[[#Headers],[OrderDateTime]],Orders[#Headers],0),FALSE))</f>
        <v>45844</v>
      </c>
      <c r="I39" t="str" cm="1">
        <f t="array" ref="I39">VLOOKUP(OrderLines[[#This Row],[OrderID]:[OrderID]],Orders[],MATCH(OrderLines[[#Headers],[Branch]],Orders[#Headers],0),FALSE)</f>
        <v>Plant 1 Canteen</v>
      </c>
      <c r="J39" cm="1">
        <f t="array" ref="J39">VLOOKUP(OrderLines[[#This Row],[OrderID]:[OrderID]],Orders[],MATCH(OrderLines[[#Headers],[DiscountPct]],Orders[#Headers],0),FALSE)</f>
        <v>0.05</v>
      </c>
      <c r="K39" t="str" cm="1">
        <f t="array" ref="K39">VLOOKUP(OrderLines[[#This Row],[OrderID]:[OrderID]],Orders[],MATCH(OrderLines[[#Headers],[PaymentType]],Orders[#Headers],0),FALSE)</f>
        <v>Card</v>
      </c>
      <c r="L39" t="str" cm="1">
        <f t="array" ref="L39">VLOOKUP(OrderLines[[#This Row],[OrderID]:[OrderID]],Orders[],MATCH(OrderLines[[#Headers],[Shift]],Orders[#Headers],0),FALSE)</f>
        <v>Dinner</v>
      </c>
      <c r="M39" s="8">
        <f>(OrderLines[[#This Row],[Qty]]*OrderLines[[#This Row],[UnitPrice]])*(1-OrderLines[[#This Row],[DiscountPct]])</f>
        <v>67.013000000000005</v>
      </c>
      <c r="N39" t="str">
        <f>IF(AND(COUNTIFS(OrderLines[OrderID],OrderLines[[#This Row],[OrderID]],OrderLines[Category],"Hot Meal"),COUNTIFS(OrderLines[OrderID],OrderLines[[#This Row],[OrderID]],OrderLines[Category],"Beverage")),"Combo","Single")</f>
        <v>Single</v>
      </c>
      <c r="O39" s="8" t="str" cm="1">
        <f t="array" ref="O39">IF(SUMPRODUCT(OrderLines[UnitPrice],OrderLines[Qty],OrderLines[DiscountPct],--(OrderLines[OrderID] = OrderLines[[#This Row],[OrderID]]))&gt;40,"High Discount","Ok")</f>
        <v>Ok</v>
      </c>
      <c r="P39">
        <f>OrderLines[[#This Row],[UnitCost]]*OrderLines[[#This Row],[Qty]]</f>
        <v>35.81</v>
      </c>
      <c r="Q39" s="8">
        <f>OrderLines[[#This Row],[LineNetAmount]]-OrderLines[[#This Row],[Food Cost]]</f>
        <v>31.203000000000003</v>
      </c>
    </row>
    <row r="40" spans="1:17" x14ac:dyDescent="0.3">
      <c r="A40" t="s">
        <v>44</v>
      </c>
      <c r="B40" t="s">
        <v>401</v>
      </c>
      <c r="C40">
        <v>3</v>
      </c>
      <c r="D40" cm="1">
        <f t="array" ref="D40">VLOOKUP(OrderLines[[#This Row],[SKU]:[SKU]],Menu[],MATCH(OrderLines[[#Headers],[UnitPrice]],Menu[#Headers],0),FALSE)</f>
        <v>52.45</v>
      </c>
      <c r="E40" cm="1">
        <f t="array" ref="E40">VLOOKUP(OrderLines[[#This Row],[SKU]:[SKU]],Menu[],MATCH(OrderLines[[#Headers],[UnitCost]],Menu[#Headers],0),FALSE)</f>
        <v>25.8</v>
      </c>
      <c r="F40" t="str" cm="1">
        <f t="array" ref="F40">VLOOKUP(OrderLines[[#This Row],[SKU]:[SKU]],Menu[],MATCH(OrderLines[[#Headers],[Category]],Menu[#Headers],0),FALSE)</f>
        <v>Snack</v>
      </c>
      <c r="G40" t="str" cm="1">
        <f t="array" ref="G40">_xlfn.TEXTJOIN("+",TRUE,_xlfn._xlws.SORT(_xlfn.UNIQUE(_xlfn._xlws.FILTER(OrderLines[Category],OrderLines[OrderID]=OrderLines[[#This Row],[OrderID]]))))</f>
        <v>Dessert+Hot Meal+Snack</v>
      </c>
      <c r="H40" s="2" cm="1">
        <f t="array" ref="H40">INT(VLOOKUP(OrderLines[[#This Row],[OrderID]:[OrderID]],Orders[],MATCH(OrderLines[[#Headers],[OrderDateTime]],Orders[#Headers],0),FALSE))</f>
        <v>45844</v>
      </c>
      <c r="I40" t="str" cm="1">
        <f t="array" ref="I40">VLOOKUP(OrderLines[[#This Row],[OrderID]:[OrderID]],Orders[],MATCH(OrderLines[[#Headers],[Branch]],Orders[#Headers],0),FALSE)</f>
        <v>Plant 1 Canteen</v>
      </c>
      <c r="J40" cm="1">
        <f t="array" ref="J40">VLOOKUP(OrderLines[[#This Row],[OrderID]:[OrderID]],Orders[],MATCH(OrderLines[[#Headers],[DiscountPct]],Orders[#Headers],0),FALSE)</f>
        <v>0.05</v>
      </c>
      <c r="K40" t="str" cm="1">
        <f t="array" ref="K40">VLOOKUP(OrderLines[[#This Row],[OrderID]:[OrderID]],Orders[],MATCH(OrderLines[[#Headers],[PaymentType]],Orders[#Headers],0),FALSE)</f>
        <v>Card</v>
      </c>
      <c r="L40" t="str" cm="1">
        <f t="array" ref="L40">VLOOKUP(OrderLines[[#This Row],[OrderID]:[OrderID]],Orders[],MATCH(OrderLines[[#Headers],[Shift]],Orders[#Headers],0),FALSE)</f>
        <v>Dinner</v>
      </c>
      <c r="M40" s="8">
        <f>(OrderLines[[#This Row],[Qty]]*OrderLines[[#This Row],[UnitPrice]])*(1-OrderLines[[#This Row],[DiscountPct]])</f>
        <v>149.48250000000002</v>
      </c>
      <c r="N40" t="str">
        <f>IF(AND(COUNTIFS(OrderLines[OrderID],OrderLines[[#This Row],[OrderID]],OrderLines[Category],"Hot Meal"),COUNTIFS(OrderLines[OrderID],OrderLines[[#This Row],[OrderID]],OrderLines[Category],"Beverage")),"Combo","Single")</f>
        <v>Single</v>
      </c>
      <c r="O40" s="8" t="str" cm="1">
        <f t="array" ref="O40">IF(SUMPRODUCT(OrderLines[UnitPrice],OrderLines[Qty],OrderLines[DiscountPct],--(OrderLines[OrderID] = OrderLines[[#This Row],[OrderID]]))&gt;40,"High Discount","Ok")</f>
        <v>Ok</v>
      </c>
      <c r="P40">
        <f>OrderLines[[#This Row],[UnitCost]]*OrderLines[[#This Row],[Qty]]</f>
        <v>77.400000000000006</v>
      </c>
      <c r="Q40" s="8">
        <f>OrderLines[[#This Row],[LineNetAmount]]-OrderLines[[#This Row],[Food Cost]]</f>
        <v>72.08250000000001</v>
      </c>
    </row>
    <row r="41" spans="1:17" x14ac:dyDescent="0.3">
      <c r="A41" t="s">
        <v>44</v>
      </c>
      <c r="B41" t="s">
        <v>416</v>
      </c>
      <c r="C41">
        <v>1</v>
      </c>
      <c r="D41" cm="1">
        <f t="array" ref="D41">VLOOKUP(OrderLines[[#This Row],[SKU]:[SKU]],Menu[],MATCH(OrderLines[[#Headers],[UnitPrice]],Menu[#Headers],0),FALSE)</f>
        <v>227.61</v>
      </c>
      <c r="E41" cm="1">
        <f t="array" ref="E41">VLOOKUP(OrderLines[[#This Row],[SKU]:[SKU]],Menu[],MATCH(OrderLines[[#Headers],[UnitCost]],Menu[#Headers],0),FALSE)</f>
        <v>96.22</v>
      </c>
      <c r="F41" t="str" cm="1">
        <f t="array" ref="F41">VLOOKUP(OrderLines[[#This Row],[SKU]:[SKU]],Menu[],MATCH(OrderLines[[#Headers],[Category]],Menu[#Headers],0),FALSE)</f>
        <v>Hot Meal</v>
      </c>
      <c r="G41" t="str" cm="1">
        <f t="array" ref="G41">_xlfn.TEXTJOIN("+",TRUE,_xlfn._xlws.SORT(_xlfn.UNIQUE(_xlfn._xlws.FILTER(OrderLines[Category],OrderLines[OrderID]=OrderLines[[#This Row],[OrderID]]))))</f>
        <v>Dessert+Hot Meal+Snack</v>
      </c>
      <c r="H41" s="2" cm="1">
        <f t="array" ref="H41">INT(VLOOKUP(OrderLines[[#This Row],[OrderID]:[OrderID]],Orders[],MATCH(OrderLines[[#Headers],[OrderDateTime]],Orders[#Headers],0),FALSE))</f>
        <v>45844</v>
      </c>
      <c r="I41" t="str" cm="1">
        <f t="array" ref="I41">VLOOKUP(OrderLines[[#This Row],[OrderID]:[OrderID]],Orders[],MATCH(OrderLines[[#Headers],[Branch]],Orders[#Headers],0),FALSE)</f>
        <v>Plant 1 Canteen</v>
      </c>
      <c r="J41" cm="1">
        <f t="array" ref="J41">VLOOKUP(OrderLines[[#This Row],[OrderID]:[OrderID]],Orders[],MATCH(OrderLines[[#Headers],[DiscountPct]],Orders[#Headers],0),FALSE)</f>
        <v>0.05</v>
      </c>
      <c r="K41" t="str" cm="1">
        <f t="array" ref="K41">VLOOKUP(OrderLines[[#This Row],[OrderID]:[OrderID]],Orders[],MATCH(OrderLines[[#Headers],[PaymentType]],Orders[#Headers],0),FALSE)</f>
        <v>Card</v>
      </c>
      <c r="L41" t="str" cm="1">
        <f t="array" ref="L41">VLOOKUP(OrderLines[[#This Row],[OrderID]:[OrderID]],Orders[],MATCH(OrderLines[[#Headers],[Shift]],Orders[#Headers],0),FALSE)</f>
        <v>Dinner</v>
      </c>
      <c r="M41" s="8">
        <f>(OrderLines[[#This Row],[Qty]]*OrderLines[[#This Row],[UnitPrice]])*(1-OrderLines[[#This Row],[DiscountPct]])</f>
        <v>216.2295</v>
      </c>
      <c r="N41" t="str">
        <f>IF(AND(COUNTIFS(OrderLines[OrderID],OrderLines[[#This Row],[OrderID]],OrderLines[Category],"Hot Meal"),COUNTIFS(OrderLines[OrderID],OrderLines[[#This Row],[OrderID]],OrderLines[Category],"Beverage")),"Combo","Single")</f>
        <v>Single</v>
      </c>
      <c r="O41" s="8" t="str" cm="1">
        <f t="array" ref="O41">IF(SUMPRODUCT(OrderLines[UnitPrice],OrderLines[Qty],OrderLines[DiscountPct],--(OrderLines[OrderID] = OrderLines[[#This Row],[OrderID]]))&gt;40,"High Discount","Ok")</f>
        <v>Ok</v>
      </c>
      <c r="P41">
        <f>OrderLines[[#This Row],[UnitCost]]*OrderLines[[#This Row],[Qty]]</f>
        <v>96.22</v>
      </c>
      <c r="Q41" s="8">
        <f>OrderLines[[#This Row],[LineNetAmount]]-OrderLines[[#This Row],[Food Cost]]</f>
        <v>120.0095</v>
      </c>
    </row>
    <row r="42" spans="1:17" x14ac:dyDescent="0.3">
      <c r="A42" t="s">
        <v>46</v>
      </c>
      <c r="B42" t="s">
        <v>404</v>
      </c>
      <c r="C42">
        <v>1</v>
      </c>
      <c r="D42" cm="1">
        <f t="array" ref="D42">VLOOKUP(OrderLines[[#This Row],[SKU]:[SKU]],Menu[],MATCH(OrderLines[[#Headers],[UnitPrice]],Menu[#Headers],0),FALSE)</f>
        <v>32.979999999999997</v>
      </c>
      <c r="E42" cm="1">
        <f t="array" ref="E42">VLOOKUP(OrderLines[[#This Row],[SKU]:[SKU]],Menu[],MATCH(OrderLines[[#Headers],[UnitCost]],Menu[#Headers],0),FALSE)</f>
        <v>11.84</v>
      </c>
      <c r="F42" t="str" cm="1">
        <f t="array" ref="F42">VLOOKUP(OrderLines[[#This Row],[SKU]:[SKU]],Menu[],MATCH(OrderLines[[#Headers],[Category]],Menu[#Headers],0),FALSE)</f>
        <v>Beverage</v>
      </c>
      <c r="G42" t="str" cm="1">
        <f t="array" ref="G42">_xlfn.TEXTJOIN("+",TRUE,_xlfn._xlws.SORT(_xlfn.UNIQUE(_xlfn._xlws.FILTER(OrderLines[Category],OrderLines[OrderID]=OrderLines[[#This Row],[OrderID]]))))</f>
        <v>Beverage</v>
      </c>
      <c r="H42" s="2" cm="1">
        <f t="array" ref="H42">INT(VLOOKUP(OrderLines[[#This Row],[OrderID]:[OrderID]],Orders[],MATCH(OrderLines[[#Headers],[OrderDateTime]],Orders[#Headers],0),FALSE))</f>
        <v>45890</v>
      </c>
      <c r="I42" t="str" cm="1">
        <f t="array" ref="I42">VLOOKUP(OrderLines[[#This Row],[OrderID]:[OrderID]],Orders[],MATCH(OrderLines[[#Headers],[Branch]],Orders[#Headers],0),FALSE)</f>
        <v>Plant 1 Canteen</v>
      </c>
      <c r="J42" cm="1">
        <f t="array" ref="J42">VLOOKUP(OrderLines[[#This Row],[OrderID]:[OrderID]],Orders[],MATCH(OrderLines[[#Headers],[DiscountPct]],Orders[#Headers],0),FALSE)</f>
        <v>7.0000000000000007E-2</v>
      </c>
      <c r="K42" t="str" cm="1">
        <f t="array" ref="K42">VLOOKUP(OrderLines[[#This Row],[OrderID]:[OrderID]],Orders[],MATCH(OrderLines[[#Headers],[PaymentType]],Orders[#Headers],0),FALSE)</f>
        <v>UPI</v>
      </c>
      <c r="L42" t="str" cm="1">
        <f t="array" ref="L42">VLOOKUP(OrderLines[[#This Row],[OrderID]:[OrderID]],Orders[],MATCH(OrderLines[[#Headers],[Shift]],Orders[#Headers],0),FALSE)</f>
        <v>Dinner</v>
      </c>
      <c r="M42" s="8">
        <f>(OrderLines[[#This Row],[Qty]]*OrderLines[[#This Row],[UnitPrice]])*(1-OrderLines[[#This Row],[DiscountPct]])</f>
        <v>30.671399999999995</v>
      </c>
      <c r="N42" t="str">
        <f>IF(AND(COUNTIFS(OrderLines[OrderID],OrderLines[[#This Row],[OrderID]],OrderLines[Category],"Hot Meal"),COUNTIFS(OrderLines[OrderID],OrderLines[[#This Row],[OrderID]],OrderLines[Category],"Beverage")),"Combo","Single")</f>
        <v>Single</v>
      </c>
      <c r="O42" s="8" t="str" cm="1">
        <f t="array" ref="O42">IF(SUMPRODUCT(OrderLines[UnitPrice],OrderLines[Qty],OrderLines[DiscountPct],--(OrderLines[OrderID] = OrderLines[[#This Row],[OrderID]]))&gt;40,"High Discount","Ok")</f>
        <v>Ok</v>
      </c>
      <c r="P42">
        <f>OrderLines[[#This Row],[UnitCost]]*OrderLines[[#This Row],[Qty]]</f>
        <v>11.84</v>
      </c>
      <c r="Q42" s="8">
        <f>OrderLines[[#This Row],[LineNetAmount]]-OrderLines[[#This Row],[Food Cost]]</f>
        <v>18.831399999999995</v>
      </c>
    </row>
    <row r="43" spans="1:17" x14ac:dyDescent="0.3">
      <c r="A43" t="s">
        <v>47</v>
      </c>
      <c r="B43" t="s">
        <v>414</v>
      </c>
      <c r="C43">
        <v>1</v>
      </c>
      <c r="D43" cm="1">
        <f t="array" ref="D43">VLOOKUP(OrderLines[[#This Row],[SKU]:[SKU]],Menu[],MATCH(OrderLines[[#Headers],[UnitPrice]],Menu[#Headers],0),FALSE)</f>
        <v>116.8</v>
      </c>
      <c r="E43" cm="1">
        <f t="array" ref="E43">VLOOKUP(OrderLines[[#This Row],[SKU]:[SKU]],Menu[],MATCH(OrderLines[[#Headers],[UnitCost]],Menu[#Headers],0),FALSE)</f>
        <v>48.97</v>
      </c>
      <c r="F43" t="str" cm="1">
        <f t="array" ref="F43">VLOOKUP(OrderLines[[#This Row],[SKU]:[SKU]],Menu[],MATCH(OrderLines[[#Headers],[Category]],Menu[#Headers],0),FALSE)</f>
        <v>Dessert</v>
      </c>
      <c r="G43" t="str" cm="1">
        <f t="array" ref="G43">_xlfn.TEXTJOIN("+",TRUE,_xlfn._xlws.SORT(_xlfn.UNIQUE(_xlfn._xlws.FILTER(OrderLines[Category],OrderLines[OrderID]=OrderLines[[#This Row],[OrderID]]))))</f>
        <v>Beverage+Dessert</v>
      </c>
      <c r="H43" s="2" cm="1">
        <f t="array" ref="H43">INT(VLOOKUP(OrderLines[[#This Row],[OrderID]:[OrderID]],Orders[],MATCH(OrderLines[[#Headers],[OrderDateTime]],Orders[#Headers],0),FALSE))</f>
        <v>45857</v>
      </c>
      <c r="I43" t="str" cm="1">
        <f t="array" ref="I43">VLOOKUP(OrderLines[[#This Row],[OrderID]:[OrderID]],Orders[],MATCH(OrderLines[[#Headers],[Branch]],Orders[#Headers],0),FALSE)</f>
        <v>Plant 1 Canteen</v>
      </c>
      <c r="J43" cm="1">
        <f t="array" ref="J43">VLOOKUP(OrderLines[[#This Row],[OrderID]:[OrderID]],Orders[],MATCH(OrderLines[[#Headers],[DiscountPct]],Orders[#Headers],0),FALSE)</f>
        <v>0.1</v>
      </c>
      <c r="K43" t="str" cm="1">
        <f t="array" ref="K43">VLOOKUP(OrderLines[[#This Row],[OrderID]:[OrderID]],Orders[],MATCH(OrderLines[[#Headers],[PaymentType]],Orders[#Headers],0),FALSE)</f>
        <v>Cash</v>
      </c>
      <c r="L43" t="str" cm="1">
        <f t="array" ref="L43">VLOOKUP(OrderLines[[#This Row],[OrderID]:[OrderID]],Orders[],MATCH(OrderLines[[#Headers],[Shift]],Orders[#Headers],0),FALSE)</f>
        <v>Breakfast</v>
      </c>
      <c r="M43" s="8">
        <f>(OrderLines[[#This Row],[Qty]]*OrderLines[[#This Row],[UnitPrice]])*(1-OrderLines[[#This Row],[DiscountPct]])</f>
        <v>105.12</v>
      </c>
      <c r="N43" t="str">
        <f>IF(AND(COUNTIFS(OrderLines[OrderID],OrderLines[[#This Row],[OrderID]],OrderLines[Category],"Hot Meal"),COUNTIFS(OrderLines[OrderID],OrderLines[[#This Row],[OrderID]],OrderLines[Category],"Beverage")),"Combo","Single")</f>
        <v>Single</v>
      </c>
      <c r="O43" s="8" t="str" cm="1">
        <f t="array" ref="O43">IF(SUMPRODUCT(OrderLines[UnitPrice],OrderLines[Qty],OrderLines[DiscountPct],--(OrderLines[OrderID] = OrderLines[[#This Row],[OrderID]]))&gt;40,"High Discount","Ok")</f>
        <v>Ok</v>
      </c>
      <c r="P43">
        <f>OrderLines[[#This Row],[UnitCost]]*OrderLines[[#This Row],[Qty]]</f>
        <v>48.97</v>
      </c>
      <c r="Q43" s="8">
        <f>OrderLines[[#This Row],[LineNetAmount]]-OrderLines[[#This Row],[Food Cost]]</f>
        <v>56.150000000000006</v>
      </c>
    </row>
    <row r="44" spans="1:17" x14ac:dyDescent="0.3">
      <c r="A44" t="s">
        <v>47</v>
      </c>
      <c r="B44" t="s">
        <v>404</v>
      </c>
      <c r="C44">
        <v>2</v>
      </c>
      <c r="D44" cm="1">
        <f t="array" ref="D44">VLOOKUP(OrderLines[[#This Row],[SKU]:[SKU]],Menu[],MATCH(OrderLines[[#Headers],[UnitPrice]],Menu[#Headers],0),FALSE)</f>
        <v>32.979999999999997</v>
      </c>
      <c r="E44" cm="1">
        <f t="array" ref="E44">VLOOKUP(OrderLines[[#This Row],[SKU]:[SKU]],Menu[],MATCH(OrderLines[[#Headers],[UnitCost]],Menu[#Headers],0),FALSE)</f>
        <v>11.84</v>
      </c>
      <c r="F44" t="str" cm="1">
        <f t="array" ref="F44">VLOOKUP(OrderLines[[#This Row],[SKU]:[SKU]],Menu[],MATCH(OrderLines[[#Headers],[Category]],Menu[#Headers],0),FALSE)</f>
        <v>Beverage</v>
      </c>
      <c r="G44" t="str" cm="1">
        <f t="array" ref="G44">_xlfn.TEXTJOIN("+",TRUE,_xlfn._xlws.SORT(_xlfn.UNIQUE(_xlfn._xlws.FILTER(OrderLines[Category],OrderLines[OrderID]=OrderLines[[#This Row],[OrderID]]))))</f>
        <v>Beverage+Dessert</v>
      </c>
      <c r="H44" s="2" cm="1">
        <f t="array" ref="H44">INT(VLOOKUP(OrderLines[[#This Row],[OrderID]:[OrderID]],Orders[],MATCH(OrderLines[[#Headers],[OrderDateTime]],Orders[#Headers],0),FALSE))</f>
        <v>45857</v>
      </c>
      <c r="I44" t="str" cm="1">
        <f t="array" ref="I44">VLOOKUP(OrderLines[[#This Row],[OrderID]:[OrderID]],Orders[],MATCH(OrderLines[[#Headers],[Branch]],Orders[#Headers],0),FALSE)</f>
        <v>Plant 1 Canteen</v>
      </c>
      <c r="J44" cm="1">
        <f t="array" ref="J44">VLOOKUP(OrderLines[[#This Row],[OrderID]:[OrderID]],Orders[],MATCH(OrderLines[[#Headers],[DiscountPct]],Orders[#Headers],0),FALSE)</f>
        <v>0.1</v>
      </c>
      <c r="K44" t="str" cm="1">
        <f t="array" ref="K44">VLOOKUP(OrderLines[[#This Row],[OrderID]:[OrderID]],Orders[],MATCH(OrderLines[[#Headers],[PaymentType]],Orders[#Headers],0),FALSE)</f>
        <v>Cash</v>
      </c>
      <c r="L44" t="str" cm="1">
        <f t="array" ref="L44">VLOOKUP(OrderLines[[#This Row],[OrderID]:[OrderID]],Orders[],MATCH(OrderLines[[#Headers],[Shift]],Orders[#Headers],0),FALSE)</f>
        <v>Breakfast</v>
      </c>
      <c r="M44" s="8">
        <f>(OrderLines[[#This Row],[Qty]]*OrderLines[[#This Row],[UnitPrice]])*(1-OrderLines[[#This Row],[DiscountPct]])</f>
        <v>59.363999999999997</v>
      </c>
      <c r="N44" t="str">
        <f>IF(AND(COUNTIFS(OrderLines[OrderID],OrderLines[[#This Row],[OrderID]],OrderLines[Category],"Hot Meal"),COUNTIFS(OrderLines[OrderID],OrderLines[[#This Row],[OrderID]],OrderLines[Category],"Beverage")),"Combo","Single")</f>
        <v>Single</v>
      </c>
      <c r="O44" s="8" t="str" cm="1">
        <f t="array" ref="O44">IF(SUMPRODUCT(OrderLines[UnitPrice],OrderLines[Qty],OrderLines[DiscountPct],--(OrderLines[OrderID] = OrderLines[[#This Row],[OrderID]]))&gt;40,"High Discount","Ok")</f>
        <v>Ok</v>
      </c>
      <c r="P44">
        <f>OrderLines[[#This Row],[UnitCost]]*OrderLines[[#This Row],[Qty]]</f>
        <v>23.68</v>
      </c>
      <c r="Q44" s="8">
        <f>OrderLines[[#This Row],[LineNetAmount]]-OrderLines[[#This Row],[Food Cost]]</f>
        <v>35.683999999999997</v>
      </c>
    </row>
    <row r="45" spans="1:17" x14ac:dyDescent="0.3">
      <c r="A45" t="s">
        <v>49</v>
      </c>
      <c r="B45" t="s">
        <v>417</v>
      </c>
      <c r="C45">
        <v>1</v>
      </c>
      <c r="D45" cm="1">
        <f t="array" ref="D45">VLOOKUP(OrderLines[[#This Row],[SKU]:[SKU]],Menu[],MATCH(OrderLines[[#Headers],[UnitPrice]],Menu[#Headers],0),FALSE)</f>
        <v>146.4</v>
      </c>
      <c r="E45" cm="1">
        <f t="array" ref="E45">VLOOKUP(OrderLines[[#This Row],[SKU]:[SKU]],Menu[],MATCH(OrderLines[[#Headers],[UnitCost]],Menu[#Headers],0),FALSE)</f>
        <v>80.92</v>
      </c>
      <c r="F45" t="str" cm="1">
        <f t="array" ref="F45">VLOOKUP(OrderLines[[#This Row],[SKU]:[SKU]],Menu[],MATCH(OrderLines[[#Headers],[Category]],Menu[#Headers],0),FALSE)</f>
        <v>Hot Meal</v>
      </c>
      <c r="G45" t="str" cm="1">
        <f t="array" ref="G45">_xlfn.TEXTJOIN("+",TRUE,_xlfn._xlws.SORT(_xlfn.UNIQUE(_xlfn._xlws.FILTER(OrderLines[Category],OrderLines[OrderID]=OrderLines[[#This Row],[OrderID]]))))</f>
        <v>Hot Meal+Snack</v>
      </c>
      <c r="H45" s="2" cm="1">
        <f t="array" ref="H45">INT(VLOOKUP(OrderLines[[#This Row],[OrderID]:[OrderID]],Orders[],MATCH(OrderLines[[#Headers],[OrderDateTime]],Orders[#Headers],0),FALSE))</f>
        <v>45878</v>
      </c>
      <c r="I45" t="str" cm="1">
        <f t="array" ref="I45">VLOOKUP(OrderLines[[#This Row],[OrderID]:[OrderID]],Orders[],MATCH(OrderLines[[#Headers],[Branch]],Orders[#Headers],0),FALSE)</f>
        <v>Plant 1 Canteen</v>
      </c>
      <c r="J45" cm="1">
        <f t="array" ref="J45">VLOOKUP(OrderLines[[#This Row],[OrderID]:[OrderID]],Orders[],MATCH(OrderLines[[#Headers],[DiscountPct]],Orders[#Headers],0),FALSE)</f>
        <v>0.04</v>
      </c>
      <c r="K45" t="str" cm="1">
        <f t="array" ref="K45">VLOOKUP(OrderLines[[#This Row],[OrderID]:[OrderID]],Orders[],MATCH(OrderLines[[#Headers],[PaymentType]],Orders[#Headers],0),FALSE)</f>
        <v>Cash</v>
      </c>
      <c r="L45" t="str" cm="1">
        <f t="array" ref="L45">VLOOKUP(OrderLines[[#This Row],[OrderID]:[OrderID]],Orders[],MATCH(OrderLines[[#Headers],[Shift]],Orders[#Headers],0),FALSE)</f>
        <v>Breakfast</v>
      </c>
      <c r="M45" s="8">
        <f>(OrderLines[[#This Row],[Qty]]*OrderLines[[#This Row],[UnitPrice]])*(1-OrderLines[[#This Row],[DiscountPct]])</f>
        <v>140.54400000000001</v>
      </c>
      <c r="N45" t="str">
        <f>IF(AND(COUNTIFS(OrderLines[OrderID],OrderLines[[#This Row],[OrderID]],OrderLines[Category],"Hot Meal"),COUNTIFS(OrderLines[OrderID],OrderLines[[#This Row],[OrderID]],OrderLines[Category],"Beverage")),"Combo","Single")</f>
        <v>Single</v>
      </c>
      <c r="O45" s="8" t="str" cm="1">
        <f t="array" ref="O45">IF(SUMPRODUCT(OrderLines[UnitPrice],OrderLines[Qty],OrderLines[DiscountPct],--(OrderLines[OrderID] = OrderLines[[#This Row],[OrderID]]))&gt;40,"High Discount","Ok")</f>
        <v>Ok</v>
      </c>
      <c r="P45">
        <f>OrderLines[[#This Row],[UnitCost]]*OrderLines[[#This Row],[Qty]]</f>
        <v>80.92</v>
      </c>
      <c r="Q45" s="8">
        <f>OrderLines[[#This Row],[LineNetAmount]]-OrderLines[[#This Row],[Food Cost]]</f>
        <v>59.624000000000009</v>
      </c>
    </row>
    <row r="46" spans="1:17" x14ac:dyDescent="0.3">
      <c r="A46" t="s">
        <v>49</v>
      </c>
      <c r="B46" t="s">
        <v>408</v>
      </c>
      <c r="C46">
        <v>1</v>
      </c>
      <c r="D46" cm="1">
        <f t="array" ref="D46">VLOOKUP(OrderLines[[#This Row],[SKU]:[SKU]],Menu[],MATCH(OrderLines[[#Headers],[UnitPrice]],Menu[#Headers],0),FALSE)</f>
        <v>70.540000000000006</v>
      </c>
      <c r="E46" cm="1">
        <f t="array" ref="E46">VLOOKUP(OrderLines[[#This Row],[SKU]:[SKU]],Menu[],MATCH(OrderLines[[#Headers],[UnitCost]],Menu[#Headers],0),FALSE)</f>
        <v>35.81</v>
      </c>
      <c r="F46" t="str" cm="1">
        <f t="array" ref="F46">VLOOKUP(OrderLines[[#This Row],[SKU]:[SKU]],Menu[],MATCH(OrderLines[[#Headers],[Category]],Menu[#Headers],0),FALSE)</f>
        <v>Snack</v>
      </c>
      <c r="G46" t="str" cm="1">
        <f t="array" ref="G46">_xlfn.TEXTJOIN("+",TRUE,_xlfn._xlws.SORT(_xlfn.UNIQUE(_xlfn._xlws.FILTER(OrderLines[Category],OrderLines[OrderID]=OrderLines[[#This Row],[OrderID]]))))</f>
        <v>Hot Meal+Snack</v>
      </c>
      <c r="H46" s="2" cm="1">
        <f t="array" ref="H46">INT(VLOOKUP(OrderLines[[#This Row],[OrderID]:[OrderID]],Orders[],MATCH(OrderLines[[#Headers],[OrderDateTime]],Orders[#Headers],0),FALSE))</f>
        <v>45878</v>
      </c>
      <c r="I46" t="str" cm="1">
        <f t="array" ref="I46">VLOOKUP(OrderLines[[#This Row],[OrderID]:[OrderID]],Orders[],MATCH(OrderLines[[#Headers],[Branch]],Orders[#Headers],0),FALSE)</f>
        <v>Plant 1 Canteen</v>
      </c>
      <c r="J46" cm="1">
        <f t="array" ref="J46">VLOOKUP(OrderLines[[#This Row],[OrderID]:[OrderID]],Orders[],MATCH(OrderLines[[#Headers],[DiscountPct]],Orders[#Headers],0),FALSE)</f>
        <v>0.04</v>
      </c>
      <c r="K46" t="str" cm="1">
        <f t="array" ref="K46">VLOOKUP(OrderLines[[#This Row],[OrderID]:[OrderID]],Orders[],MATCH(OrderLines[[#Headers],[PaymentType]],Orders[#Headers],0),FALSE)</f>
        <v>Cash</v>
      </c>
      <c r="L46" t="str" cm="1">
        <f t="array" ref="L46">VLOOKUP(OrderLines[[#This Row],[OrderID]:[OrderID]],Orders[],MATCH(OrderLines[[#Headers],[Shift]],Orders[#Headers],0),FALSE)</f>
        <v>Breakfast</v>
      </c>
      <c r="M46" s="8">
        <f>(OrderLines[[#This Row],[Qty]]*OrderLines[[#This Row],[UnitPrice]])*(1-OrderLines[[#This Row],[DiscountPct]])</f>
        <v>67.718400000000003</v>
      </c>
      <c r="N46" t="str">
        <f>IF(AND(COUNTIFS(OrderLines[OrderID],OrderLines[[#This Row],[OrderID]],OrderLines[Category],"Hot Meal"),COUNTIFS(OrderLines[OrderID],OrderLines[[#This Row],[OrderID]],OrderLines[Category],"Beverage")),"Combo","Single")</f>
        <v>Single</v>
      </c>
      <c r="O46" s="8" t="str" cm="1">
        <f t="array" ref="O46">IF(SUMPRODUCT(OrderLines[UnitPrice],OrderLines[Qty],OrderLines[DiscountPct],--(OrderLines[OrderID] = OrderLines[[#This Row],[OrderID]]))&gt;40,"High Discount","Ok")</f>
        <v>Ok</v>
      </c>
      <c r="P46">
        <f>OrderLines[[#This Row],[UnitCost]]*OrderLines[[#This Row],[Qty]]</f>
        <v>35.81</v>
      </c>
      <c r="Q46" s="8">
        <f>OrderLines[[#This Row],[LineNetAmount]]-OrderLines[[#This Row],[Food Cost]]</f>
        <v>31.9084</v>
      </c>
    </row>
    <row r="47" spans="1:17" x14ac:dyDescent="0.3">
      <c r="A47" t="s">
        <v>49</v>
      </c>
      <c r="B47" t="s">
        <v>415</v>
      </c>
      <c r="C47">
        <v>2</v>
      </c>
      <c r="D47" cm="1">
        <f t="array" ref="D47">VLOOKUP(OrderLines[[#This Row],[SKU]:[SKU]],Menu[],MATCH(OrderLines[[#Headers],[UnitPrice]],Menu[#Headers],0),FALSE)</f>
        <v>256.91000000000003</v>
      </c>
      <c r="E47" cm="1">
        <f t="array" ref="E47">VLOOKUP(OrderLines[[#This Row],[SKU]:[SKU]],Menu[],MATCH(OrderLines[[#Headers],[UnitCost]],Menu[#Headers],0),FALSE)</f>
        <v>121.24</v>
      </c>
      <c r="F47" t="str" cm="1">
        <f t="array" ref="F47">VLOOKUP(OrderLines[[#This Row],[SKU]:[SKU]],Menu[],MATCH(OrderLines[[#Headers],[Category]],Menu[#Headers],0),FALSE)</f>
        <v>Hot Meal</v>
      </c>
      <c r="G47" t="str" cm="1">
        <f t="array" ref="G47">_xlfn.TEXTJOIN("+",TRUE,_xlfn._xlws.SORT(_xlfn.UNIQUE(_xlfn._xlws.FILTER(OrderLines[Category],OrderLines[OrderID]=OrderLines[[#This Row],[OrderID]]))))</f>
        <v>Hot Meal+Snack</v>
      </c>
      <c r="H47" s="2" cm="1">
        <f t="array" ref="H47">INT(VLOOKUP(OrderLines[[#This Row],[OrderID]:[OrderID]],Orders[],MATCH(OrderLines[[#Headers],[OrderDateTime]],Orders[#Headers],0),FALSE))</f>
        <v>45878</v>
      </c>
      <c r="I47" t="str" cm="1">
        <f t="array" ref="I47">VLOOKUP(OrderLines[[#This Row],[OrderID]:[OrderID]],Orders[],MATCH(OrderLines[[#Headers],[Branch]],Orders[#Headers],0),FALSE)</f>
        <v>Plant 1 Canteen</v>
      </c>
      <c r="J47" cm="1">
        <f t="array" ref="J47">VLOOKUP(OrderLines[[#This Row],[OrderID]:[OrderID]],Orders[],MATCH(OrderLines[[#Headers],[DiscountPct]],Orders[#Headers],0),FALSE)</f>
        <v>0.04</v>
      </c>
      <c r="K47" t="str" cm="1">
        <f t="array" ref="K47">VLOOKUP(OrderLines[[#This Row],[OrderID]:[OrderID]],Orders[],MATCH(OrderLines[[#Headers],[PaymentType]],Orders[#Headers],0),FALSE)</f>
        <v>Cash</v>
      </c>
      <c r="L47" t="str" cm="1">
        <f t="array" ref="L47">VLOOKUP(OrderLines[[#This Row],[OrderID]:[OrderID]],Orders[],MATCH(OrderLines[[#Headers],[Shift]],Orders[#Headers],0),FALSE)</f>
        <v>Breakfast</v>
      </c>
      <c r="M47" s="8">
        <f>(OrderLines[[#This Row],[Qty]]*OrderLines[[#This Row],[UnitPrice]])*(1-OrderLines[[#This Row],[DiscountPct]])</f>
        <v>493.2672</v>
      </c>
      <c r="N47" t="str">
        <f>IF(AND(COUNTIFS(OrderLines[OrderID],OrderLines[[#This Row],[OrderID]],OrderLines[Category],"Hot Meal"),COUNTIFS(OrderLines[OrderID],OrderLines[[#This Row],[OrderID]],OrderLines[Category],"Beverage")),"Combo","Single")</f>
        <v>Single</v>
      </c>
      <c r="O47" s="8" t="str" cm="1">
        <f t="array" ref="O47">IF(SUMPRODUCT(OrderLines[UnitPrice],OrderLines[Qty],OrderLines[DiscountPct],--(OrderLines[OrderID] = OrderLines[[#This Row],[OrderID]]))&gt;40,"High Discount","Ok")</f>
        <v>Ok</v>
      </c>
      <c r="P47">
        <f>OrderLines[[#This Row],[UnitCost]]*OrderLines[[#This Row],[Qty]]</f>
        <v>242.48</v>
      </c>
      <c r="Q47" s="8">
        <f>OrderLines[[#This Row],[LineNetAmount]]-OrderLines[[#This Row],[Food Cost]]</f>
        <v>250.78720000000001</v>
      </c>
    </row>
    <row r="48" spans="1:17" x14ac:dyDescent="0.3">
      <c r="A48" t="s">
        <v>50</v>
      </c>
      <c r="B48" t="s">
        <v>413</v>
      </c>
      <c r="C48">
        <v>3</v>
      </c>
      <c r="D48" cm="1">
        <f t="array" ref="D48">VLOOKUP(OrderLines[[#This Row],[SKU]:[SKU]],Menu[],MATCH(OrderLines[[#Headers],[UnitPrice]],Menu[#Headers],0),FALSE)</f>
        <v>54.2</v>
      </c>
      <c r="E48" cm="1">
        <f t="array" ref="E48">VLOOKUP(OrderLines[[#This Row],[SKU]:[SKU]],Menu[],MATCH(OrderLines[[#Headers],[UnitCost]],Menu[#Headers],0),FALSE)</f>
        <v>21.95</v>
      </c>
      <c r="F48" t="str" cm="1">
        <f t="array" ref="F48">VLOOKUP(OrderLines[[#This Row],[SKU]:[SKU]],Menu[],MATCH(OrderLines[[#Headers],[Category]],Menu[#Headers],0),FALSE)</f>
        <v>Dessert</v>
      </c>
      <c r="G48" t="str" cm="1">
        <f t="array" ref="G48">_xlfn.TEXTJOIN("+",TRUE,_xlfn._xlws.SORT(_xlfn.UNIQUE(_xlfn._xlws.FILTER(OrderLines[Category],OrderLines[OrderID]=OrderLines[[#This Row],[OrderID]]))))</f>
        <v>Beverage+Dessert+Hot Meal</v>
      </c>
      <c r="H48" s="2" cm="1">
        <f t="array" ref="H48">INT(VLOOKUP(OrderLines[[#This Row],[OrderID]:[OrderID]],Orders[],MATCH(OrderLines[[#Headers],[OrderDateTime]],Orders[#Headers],0),FALSE))</f>
        <v>45847</v>
      </c>
      <c r="I48" t="str" cm="1">
        <f t="array" ref="I48">VLOOKUP(OrderLines[[#This Row],[OrderID]:[OrderID]],Orders[],MATCH(OrderLines[[#Headers],[Branch]],Orders[#Headers],0),FALSE)</f>
        <v>Plant 2 Canteen</v>
      </c>
      <c r="J48" cm="1">
        <f t="array" ref="J48">VLOOKUP(OrderLines[[#This Row],[OrderID]:[OrderID]],Orders[],MATCH(OrderLines[[#Headers],[DiscountPct]],Orders[#Headers],0),FALSE)</f>
        <v>0.05</v>
      </c>
      <c r="K48" t="str" cm="1">
        <f t="array" ref="K48">VLOOKUP(OrderLines[[#This Row],[OrderID]:[OrderID]],Orders[],MATCH(OrderLines[[#Headers],[PaymentType]],Orders[#Headers],0),FALSE)</f>
        <v>UPI</v>
      </c>
      <c r="L48" t="str" cm="1">
        <f t="array" ref="L48">VLOOKUP(OrderLines[[#This Row],[OrderID]:[OrderID]],Orders[],MATCH(OrderLines[[#Headers],[Shift]],Orders[#Headers],0),FALSE)</f>
        <v>Breakfast</v>
      </c>
      <c r="M48" s="8">
        <f>(OrderLines[[#This Row],[Qty]]*OrderLines[[#This Row],[UnitPrice]])*(1-OrderLines[[#This Row],[DiscountPct]])</f>
        <v>154.47000000000003</v>
      </c>
      <c r="N48" t="str">
        <f>IF(AND(COUNTIFS(OrderLines[OrderID],OrderLines[[#This Row],[OrderID]],OrderLines[Category],"Hot Meal"),COUNTIFS(OrderLines[OrderID],OrderLines[[#This Row],[OrderID]],OrderLines[Category],"Beverage")),"Combo","Single")</f>
        <v>Combo</v>
      </c>
      <c r="O48" s="8" t="str" cm="1">
        <f t="array" ref="O48">IF(SUMPRODUCT(OrderLines[UnitPrice],OrderLines[Qty],OrderLines[DiscountPct],--(OrderLines[OrderID] = OrderLines[[#This Row],[OrderID]]))&gt;40,"High Discount","Ok")</f>
        <v>Ok</v>
      </c>
      <c r="P48">
        <f>OrderLines[[#This Row],[UnitCost]]*OrderLines[[#This Row],[Qty]]</f>
        <v>65.849999999999994</v>
      </c>
      <c r="Q48" s="8">
        <f>OrderLines[[#This Row],[LineNetAmount]]-OrderLines[[#This Row],[Food Cost]]</f>
        <v>88.620000000000033</v>
      </c>
    </row>
    <row r="49" spans="1:17" x14ac:dyDescent="0.3">
      <c r="A49" t="s">
        <v>50</v>
      </c>
      <c r="B49" t="s">
        <v>416</v>
      </c>
      <c r="C49">
        <v>1</v>
      </c>
      <c r="D49" cm="1">
        <f t="array" ref="D49">VLOOKUP(OrderLines[[#This Row],[SKU]:[SKU]],Menu[],MATCH(OrderLines[[#Headers],[UnitPrice]],Menu[#Headers],0),FALSE)</f>
        <v>227.61</v>
      </c>
      <c r="E49" cm="1">
        <f t="array" ref="E49">VLOOKUP(OrderLines[[#This Row],[SKU]:[SKU]],Menu[],MATCH(OrderLines[[#Headers],[UnitCost]],Menu[#Headers],0),FALSE)</f>
        <v>96.22</v>
      </c>
      <c r="F49" t="str" cm="1">
        <f t="array" ref="F49">VLOOKUP(OrderLines[[#This Row],[SKU]:[SKU]],Menu[],MATCH(OrderLines[[#Headers],[Category]],Menu[#Headers],0),FALSE)</f>
        <v>Hot Meal</v>
      </c>
      <c r="G49" t="str" cm="1">
        <f t="array" ref="G49">_xlfn.TEXTJOIN("+",TRUE,_xlfn._xlws.SORT(_xlfn.UNIQUE(_xlfn._xlws.FILTER(OrderLines[Category],OrderLines[OrderID]=OrderLines[[#This Row],[OrderID]]))))</f>
        <v>Beverage+Dessert+Hot Meal</v>
      </c>
      <c r="H49" s="2" cm="1">
        <f t="array" ref="H49">INT(VLOOKUP(OrderLines[[#This Row],[OrderID]:[OrderID]],Orders[],MATCH(OrderLines[[#Headers],[OrderDateTime]],Orders[#Headers],0),FALSE))</f>
        <v>45847</v>
      </c>
      <c r="I49" t="str" cm="1">
        <f t="array" ref="I49">VLOOKUP(OrderLines[[#This Row],[OrderID]:[OrderID]],Orders[],MATCH(OrderLines[[#Headers],[Branch]],Orders[#Headers],0),FALSE)</f>
        <v>Plant 2 Canteen</v>
      </c>
      <c r="J49" cm="1">
        <f t="array" ref="J49">VLOOKUP(OrderLines[[#This Row],[OrderID]:[OrderID]],Orders[],MATCH(OrderLines[[#Headers],[DiscountPct]],Orders[#Headers],0),FALSE)</f>
        <v>0.05</v>
      </c>
      <c r="K49" t="str" cm="1">
        <f t="array" ref="K49">VLOOKUP(OrderLines[[#This Row],[OrderID]:[OrderID]],Orders[],MATCH(OrderLines[[#Headers],[PaymentType]],Orders[#Headers],0),FALSE)</f>
        <v>UPI</v>
      </c>
      <c r="L49" t="str" cm="1">
        <f t="array" ref="L49">VLOOKUP(OrderLines[[#This Row],[OrderID]:[OrderID]],Orders[],MATCH(OrderLines[[#Headers],[Shift]],Orders[#Headers],0),FALSE)</f>
        <v>Breakfast</v>
      </c>
      <c r="M49" s="8">
        <f>(OrderLines[[#This Row],[Qty]]*OrderLines[[#This Row],[UnitPrice]])*(1-OrderLines[[#This Row],[DiscountPct]])</f>
        <v>216.2295</v>
      </c>
      <c r="N49" t="str">
        <f>IF(AND(COUNTIFS(OrderLines[OrderID],OrderLines[[#This Row],[OrderID]],OrderLines[Category],"Hot Meal"),COUNTIFS(OrderLines[OrderID],OrderLines[[#This Row],[OrderID]],OrderLines[Category],"Beverage")),"Combo","Single")</f>
        <v>Combo</v>
      </c>
      <c r="O49" s="8" t="str" cm="1">
        <f t="array" ref="O49">IF(SUMPRODUCT(OrderLines[UnitPrice],OrderLines[Qty],OrderLines[DiscountPct],--(OrderLines[OrderID] = OrderLines[[#This Row],[OrderID]]))&gt;40,"High Discount","Ok")</f>
        <v>Ok</v>
      </c>
      <c r="P49">
        <f>OrderLines[[#This Row],[UnitCost]]*OrderLines[[#This Row],[Qty]]</f>
        <v>96.22</v>
      </c>
      <c r="Q49" s="8">
        <f>OrderLines[[#This Row],[LineNetAmount]]-OrderLines[[#This Row],[Food Cost]]</f>
        <v>120.0095</v>
      </c>
    </row>
    <row r="50" spans="1:17" x14ac:dyDescent="0.3">
      <c r="A50" t="s">
        <v>50</v>
      </c>
      <c r="B50" t="s">
        <v>404</v>
      </c>
      <c r="C50">
        <v>1</v>
      </c>
      <c r="D50" cm="1">
        <f t="array" ref="D50">VLOOKUP(OrderLines[[#This Row],[SKU]:[SKU]],Menu[],MATCH(OrderLines[[#Headers],[UnitPrice]],Menu[#Headers],0),FALSE)</f>
        <v>32.979999999999997</v>
      </c>
      <c r="E50" cm="1">
        <f t="array" ref="E50">VLOOKUP(OrderLines[[#This Row],[SKU]:[SKU]],Menu[],MATCH(OrderLines[[#Headers],[UnitCost]],Menu[#Headers],0),FALSE)</f>
        <v>11.84</v>
      </c>
      <c r="F50" t="str" cm="1">
        <f t="array" ref="F50">VLOOKUP(OrderLines[[#This Row],[SKU]:[SKU]],Menu[],MATCH(OrderLines[[#Headers],[Category]],Menu[#Headers],0),FALSE)</f>
        <v>Beverage</v>
      </c>
      <c r="G50" t="str" cm="1">
        <f t="array" ref="G50">_xlfn.TEXTJOIN("+",TRUE,_xlfn._xlws.SORT(_xlfn.UNIQUE(_xlfn._xlws.FILTER(OrderLines[Category],OrderLines[OrderID]=OrderLines[[#This Row],[OrderID]]))))</f>
        <v>Beverage+Dessert+Hot Meal</v>
      </c>
      <c r="H50" s="2" cm="1">
        <f t="array" ref="H50">INT(VLOOKUP(OrderLines[[#This Row],[OrderID]:[OrderID]],Orders[],MATCH(OrderLines[[#Headers],[OrderDateTime]],Orders[#Headers],0),FALSE))</f>
        <v>45847</v>
      </c>
      <c r="I50" t="str" cm="1">
        <f t="array" ref="I50">VLOOKUP(OrderLines[[#This Row],[OrderID]:[OrderID]],Orders[],MATCH(OrderLines[[#Headers],[Branch]],Orders[#Headers],0),FALSE)</f>
        <v>Plant 2 Canteen</v>
      </c>
      <c r="J50" cm="1">
        <f t="array" ref="J50">VLOOKUP(OrderLines[[#This Row],[OrderID]:[OrderID]],Orders[],MATCH(OrderLines[[#Headers],[DiscountPct]],Orders[#Headers],0),FALSE)</f>
        <v>0.05</v>
      </c>
      <c r="K50" t="str" cm="1">
        <f t="array" ref="K50">VLOOKUP(OrderLines[[#This Row],[OrderID]:[OrderID]],Orders[],MATCH(OrderLines[[#Headers],[PaymentType]],Orders[#Headers],0),FALSE)</f>
        <v>UPI</v>
      </c>
      <c r="L50" t="str" cm="1">
        <f t="array" ref="L50">VLOOKUP(OrderLines[[#This Row],[OrderID]:[OrderID]],Orders[],MATCH(OrderLines[[#Headers],[Shift]],Orders[#Headers],0),FALSE)</f>
        <v>Breakfast</v>
      </c>
      <c r="M50" s="8">
        <f>(OrderLines[[#This Row],[Qty]]*OrderLines[[#This Row],[UnitPrice]])*(1-OrderLines[[#This Row],[DiscountPct]])</f>
        <v>31.330999999999996</v>
      </c>
      <c r="N50" t="str">
        <f>IF(AND(COUNTIFS(OrderLines[OrderID],OrderLines[[#This Row],[OrderID]],OrderLines[Category],"Hot Meal"),COUNTIFS(OrderLines[OrderID],OrderLines[[#This Row],[OrderID]],OrderLines[Category],"Beverage")),"Combo","Single")</f>
        <v>Combo</v>
      </c>
      <c r="O50" s="8" t="str" cm="1">
        <f t="array" ref="O50">IF(SUMPRODUCT(OrderLines[UnitPrice],OrderLines[Qty],OrderLines[DiscountPct],--(OrderLines[OrderID] = OrderLines[[#This Row],[OrderID]]))&gt;40,"High Discount","Ok")</f>
        <v>Ok</v>
      </c>
      <c r="P50">
        <f>OrderLines[[#This Row],[UnitCost]]*OrderLines[[#This Row],[Qty]]</f>
        <v>11.84</v>
      </c>
      <c r="Q50" s="8">
        <f>OrderLines[[#This Row],[LineNetAmount]]-OrderLines[[#This Row],[Food Cost]]</f>
        <v>19.490999999999996</v>
      </c>
    </row>
    <row r="51" spans="1:17" x14ac:dyDescent="0.3">
      <c r="A51" t="s">
        <v>50</v>
      </c>
      <c r="B51" t="s">
        <v>403</v>
      </c>
      <c r="C51">
        <v>1</v>
      </c>
      <c r="D51" cm="1">
        <f t="array" ref="D51">VLOOKUP(OrderLines[[#This Row],[SKU]:[SKU]],Menu[],MATCH(OrderLines[[#Headers],[UnitPrice]],Menu[#Headers],0),FALSE)</f>
        <v>76.55</v>
      </c>
      <c r="E51" cm="1">
        <f t="array" ref="E51">VLOOKUP(OrderLines[[#This Row],[SKU]:[SKU]],Menu[],MATCH(OrderLines[[#Headers],[UnitCost]],Menu[#Headers],0),FALSE)</f>
        <v>38.229999999999997</v>
      </c>
      <c r="F51" t="str" cm="1">
        <f t="array" ref="F51">VLOOKUP(OrderLines[[#This Row],[SKU]:[SKU]],Menu[],MATCH(OrderLines[[#Headers],[Category]],Menu[#Headers],0),FALSE)</f>
        <v>Dessert</v>
      </c>
      <c r="G51" t="str" cm="1">
        <f t="array" ref="G51">_xlfn.TEXTJOIN("+",TRUE,_xlfn._xlws.SORT(_xlfn.UNIQUE(_xlfn._xlws.FILTER(OrderLines[Category],OrderLines[OrderID]=OrderLines[[#This Row],[OrderID]]))))</f>
        <v>Beverage+Dessert+Hot Meal</v>
      </c>
      <c r="H51" s="2" cm="1">
        <f t="array" ref="H51">INT(VLOOKUP(OrderLines[[#This Row],[OrderID]:[OrderID]],Orders[],MATCH(OrderLines[[#Headers],[OrderDateTime]],Orders[#Headers],0),FALSE))</f>
        <v>45847</v>
      </c>
      <c r="I51" t="str" cm="1">
        <f t="array" ref="I51">VLOOKUP(OrderLines[[#This Row],[OrderID]:[OrderID]],Orders[],MATCH(OrderLines[[#Headers],[Branch]],Orders[#Headers],0),FALSE)</f>
        <v>Plant 2 Canteen</v>
      </c>
      <c r="J51" cm="1">
        <f t="array" ref="J51">VLOOKUP(OrderLines[[#This Row],[OrderID]:[OrderID]],Orders[],MATCH(OrderLines[[#Headers],[DiscountPct]],Orders[#Headers],0),FALSE)</f>
        <v>0.05</v>
      </c>
      <c r="K51" t="str" cm="1">
        <f t="array" ref="K51">VLOOKUP(OrderLines[[#This Row],[OrderID]:[OrderID]],Orders[],MATCH(OrderLines[[#Headers],[PaymentType]],Orders[#Headers],0),FALSE)</f>
        <v>UPI</v>
      </c>
      <c r="L51" t="str" cm="1">
        <f t="array" ref="L51">VLOOKUP(OrderLines[[#This Row],[OrderID]:[OrderID]],Orders[],MATCH(OrderLines[[#Headers],[Shift]],Orders[#Headers],0),FALSE)</f>
        <v>Breakfast</v>
      </c>
      <c r="M51" s="8">
        <f>(OrderLines[[#This Row],[Qty]]*OrderLines[[#This Row],[UnitPrice]])*(1-OrderLines[[#This Row],[DiscountPct]])</f>
        <v>72.722499999999997</v>
      </c>
      <c r="N51" t="str">
        <f>IF(AND(COUNTIFS(OrderLines[OrderID],OrderLines[[#This Row],[OrderID]],OrderLines[Category],"Hot Meal"),COUNTIFS(OrderLines[OrderID],OrderLines[[#This Row],[OrderID]],OrderLines[Category],"Beverage")),"Combo","Single")</f>
        <v>Combo</v>
      </c>
      <c r="O51" s="8" t="str" cm="1">
        <f t="array" ref="O51">IF(SUMPRODUCT(OrderLines[UnitPrice],OrderLines[Qty],OrderLines[DiscountPct],--(OrderLines[OrderID] = OrderLines[[#This Row],[OrderID]]))&gt;40,"High Discount","Ok")</f>
        <v>Ok</v>
      </c>
      <c r="P51">
        <f>OrderLines[[#This Row],[UnitCost]]*OrderLines[[#This Row],[Qty]]</f>
        <v>38.229999999999997</v>
      </c>
      <c r="Q51" s="8">
        <f>OrderLines[[#This Row],[LineNetAmount]]-OrderLines[[#This Row],[Food Cost]]</f>
        <v>34.4925</v>
      </c>
    </row>
    <row r="52" spans="1:17" x14ac:dyDescent="0.3">
      <c r="A52" t="s">
        <v>51</v>
      </c>
      <c r="B52" t="s">
        <v>401</v>
      </c>
      <c r="C52">
        <v>3</v>
      </c>
      <c r="D52" cm="1">
        <f t="array" ref="D52">VLOOKUP(OrderLines[[#This Row],[SKU]:[SKU]],Menu[],MATCH(OrderLines[[#Headers],[UnitPrice]],Menu[#Headers],0),FALSE)</f>
        <v>52.45</v>
      </c>
      <c r="E52" cm="1">
        <f t="array" ref="E52">VLOOKUP(OrderLines[[#This Row],[SKU]:[SKU]],Menu[],MATCH(OrderLines[[#Headers],[UnitCost]],Menu[#Headers],0),FALSE)</f>
        <v>25.8</v>
      </c>
      <c r="F52" t="str" cm="1">
        <f t="array" ref="F52">VLOOKUP(OrderLines[[#This Row],[SKU]:[SKU]],Menu[],MATCH(OrderLines[[#Headers],[Category]],Menu[#Headers],0),FALSE)</f>
        <v>Snack</v>
      </c>
      <c r="G52" t="str" cm="1">
        <f t="array" ref="G52">_xlfn.TEXTJOIN("+",TRUE,_xlfn._xlws.SORT(_xlfn.UNIQUE(_xlfn._xlws.FILTER(OrderLines[Category],OrderLines[OrderID]=OrderLines[[#This Row],[OrderID]]))))</f>
        <v>Snack</v>
      </c>
      <c r="H52" s="2" cm="1">
        <f t="array" ref="H52">INT(VLOOKUP(OrderLines[[#This Row],[OrderID]:[OrderID]],Orders[],MATCH(OrderLines[[#Headers],[OrderDateTime]],Orders[#Headers],0),FALSE))</f>
        <v>45869</v>
      </c>
      <c r="I52" t="str" cm="1">
        <f t="array" ref="I52">VLOOKUP(OrderLines[[#This Row],[OrderID]:[OrderID]],Orders[],MATCH(OrderLines[[#Headers],[Branch]],Orders[#Headers],0),FALSE)</f>
        <v>Plant 2 Canteen</v>
      </c>
      <c r="J52" cm="1">
        <f t="array" ref="J52">VLOOKUP(OrderLines[[#This Row],[OrderID]:[OrderID]],Orders[],MATCH(OrderLines[[#Headers],[DiscountPct]],Orders[#Headers],0),FALSE)</f>
        <v>0.02</v>
      </c>
      <c r="K52" t="str" cm="1">
        <f t="array" ref="K52">VLOOKUP(OrderLines[[#This Row],[OrderID]:[OrderID]],Orders[],MATCH(OrderLines[[#Headers],[PaymentType]],Orders[#Headers],0),FALSE)</f>
        <v>UPI</v>
      </c>
      <c r="L52" t="str" cm="1">
        <f t="array" ref="L52">VLOOKUP(OrderLines[[#This Row],[OrderID]:[OrderID]],Orders[],MATCH(OrderLines[[#Headers],[Shift]],Orders[#Headers],0),FALSE)</f>
        <v>Dinner</v>
      </c>
      <c r="M52" s="8">
        <f>(OrderLines[[#This Row],[Qty]]*OrderLines[[#This Row],[UnitPrice]])*(1-OrderLines[[#This Row],[DiscountPct]])</f>
        <v>154.20300000000003</v>
      </c>
      <c r="N52" t="str">
        <f>IF(AND(COUNTIFS(OrderLines[OrderID],OrderLines[[#This Row],[OrderID]],OrderLines[Category],"Hot Meal"),COUNTIFS(OrderLines[OrderID],OrderLines[[#This Row],[OrderID]],OrderLines[Category],"Beverage")),"Combo","Single")</f>
        <v>Single</v>
      </c>
      <c r="O52" s="8" t="str" cm="1">
        <f t="array" ref="O52">IF(SUMPRODUCT(OrderLines[UnitPrice],OrderLines[Qty],OrderLines[DiscountPct],--(OrderLines[OrderID] = OrderLines[[#This Row],[OrderID]]))&gt;40,"High Discount","Ok")</f>
        <v>Ok</v>
      </c>
      <c r="P52">
        <f>OrderLines[[#This Row],[UnitCost]]*OrderLines[[#This Row],[Qty]]</f>
        <v>77.400000000000006</v>
      </c>
      <c r="Q52" s="8">
        <f>OrderLines[[#This Row],[LineNetAmount]]-OrderLines[[#This Row],[Food Cost]]</f>
        <v>76.803000000000026</v>
      </c>
    </row>
    <row r="53" spans="1:17" x14ac:dyDescent="0.3">
      <c r="A53" t="s">
        <v>51</v>
      </c>
      <c r="B53" t="s">
        <v>418</v>
      </c>
      <c r="C53">
        <v>1</v>
      </c>
      <c r="D53" cm="1">
        <f t="array" ref="D53">VLOOKUP(OrderLines[[#This Row],[SKU]:[SKU]],Menu[],MATCH(OrderLines[[#Headers],[UnitPrice]],Menu[#Headers],0),FALSE)</f>
        <v>39.950000000000003</v>
      </c>
      <c r="E53" cm="1">
        <f t="array" ref="E53">VLOOKUP(OrderLines[[#This Row],[SKU]:[SKU]],Menu[],MATCH(OrderLines[[#Headers],[UnitCost]],Menu[#Headers],0),FALSE)</f>
        <v>15.51</v>
      </c>
      <c r="F53" t="str" cm="1">
        <f t="array" ref="F53">VLOOKUP(OrderLines[[#This Row],[SKU]:[SKU]],Menu[],MATCH(OrderLines[[#Headers],[Category]],Menu[#Headers],0),FALSE)</f>
        <v>Snack</v>
      </c>
      <c r="G53" t="str" cm="1">
        <f t="array" ref="G53">_xlfn.TEXTJOIN("+",TRUE,_xlfn._xlws.SORT(_xlfn.UNIQUE(_xlfn._xlws.FILTER(OrderLines[Category],OrderLines[OrderID]=OrderLines[[#This Row],[OrderID]]))))</f>
        <v>Snack</v>
      </c>
      <c r="H53" s="2" cm="1">
        <f t="array" ref="H53">INT(VLOOKUP(OrderLines[[#This Row],[OrderID]:[OrderID]],Orders[],MATCH(OrderLines[[#Headers],[OrderDateTime]],Orders[#Headers],0),FALSE))</f>
        <v>45869</v>
      </c>
      <c r="I53" t="str" cm="1">
        <f t="array" ref="I53">VLOOKUP(OrderLines[[#This Row],[OrderID]:[OrderID]],Orders[],MATCH(OrderLines[[#Headers],[Branch]],Orders[#Headers],0),FALSE)</f>
        <v>Plant 2 Canteen</v>
      </c>
      <c r="J53" cm="1">
        <f t="array" ref="J53">VLOOKUP(OrderLines[[#This Row],[OrderID]:[OrderID]],Orders[],MATCH(OrderLines[[#Headers],[DiscountPct]],Orders[#Headers],0),FALSE)</f>
        <v>0.02</v>
      </c>
      <c r="K53" t="str" cm="1">
        <f t="array" ref="K53">VLOOKUP(OrderLines[[#This Row],[OrderID]:[OrderID]],Orders[],MATCH(OrderLines[[#Headers],[PaymentType]],Orders[#Headers],0),FALSE)</f>
        <v>UPI</v>
      </c>
      <c r="L53" t="str" cm="1">
        <f t="array" ref="L53">VLOOKUP(OrderLines[[#This Row],[OrderID]:[OrderID]],Orders[],MATCH(OrderLines[[#Headers],[Shift]],Orders[#Headers],0),FALSE)</f>
        <v>Dinner</v>
      </c>
      <c r="M53" s="8">
        <f>(OrderLines[[#This Row],[Qty]]*OrderLines[[#This Row],[UnitPrice]])*(1-OrderLines[[#This Row],[DiscountPct]])</f>
        <v>39.151000000000003</v>
      </c>
      <c r="N53" t="str">
        <f>IF(AND(COUNTIFS(OrderLines[OrderID],OrderLines[[#This Row],[OrderID]],OrderLines[Category],"Hot Meal"),COUNTIFS(OrderLines[OrderID],OrderLines[[#This Row],[OrderID]],OrderLines[Category],"Beverage")),"Combo","Single")</f>
        <v>Single</v>
      </c>
      <c r="O53" s="8" t="str" cm="1">
        <f t="array" ref="O53">IF(SUMPRODUCT(OrderLines[UnitPrice],OrderLines[Qty],OrderLines[DiscountPct],--(OrderLines[OrderID] = OrderLines[[#This Row],[OrderID]]))&gt;40,"High Discount","Ok")</f>
        <v>Ok</v>
      </c>
      <c r="P53">
        <f>OrderLines[[#This Row],[UnitCost]]*OrderLines[[#This Row],[Qty]]</f>
        <v>15.51</v>
      </c>
      <c r="Q53" s="8">
        <f>OrderLines[[#This Row],[LineNetAmount]]-OrderLines[[#This Row],[Food Cost]]</f>
        <v>23.641000000000005</v>
      </c>
    </row>
    <row r="54" spans="1:17" x14ac:dyDescent="0.3">
      <c r="A54" t="s">
        <v>51</v>
      </c>
      <c r="B54" t="s">
        <v>419</v>
      </c>
      <c r="C54">
        <v>2</v>
      </c>
      <c r="D54" cm="1">
        <f t="array" ref="D54">VLOOKUP(OrderLines[[#This Row],[SKU]:[SKU]],Menu[],MATCH(OrderLines[[#Headers],[UnitPrice]],Menu[#Headers],0),FALSE)</f>
        <v>50.19</v>
      </c>
      <c r="E54" cm="1">
        <f t="array" ref="E54">VLOOKUP(OrderLines[[#This Row],[SKU]:[SKU]],Menu[],MATCH(OrderLines[[#Headers],[UnitCost]],Menu[#Headers],0),FALSE)</f>
        <v>22.61</v>
      </c>
      <c r="F54" t="str" cm="1">
        <f t="array" ref="F54">VLOOKUP(OrderLines[[#This Row],[SKU]:[SKU]],Menu[],MATCH(OrderLines[[#Headers],[Category]],Menu[#Headers],0),FALSE)</f>
        <v>Snack</v>
      </c>
      <c r="G54" t="str" cm="1">
        <f t="array" ref="G54">_xlfn.TEXTJOIN("+",TRUE,_xlfn._xlws.SORT(_xlfn.UNIQUE(_xlfn._xlws.FILTER(OrderLines[Category],OrderLines[OrderID]=OrderLines[[#This Row],[OrderID]]))))</f>
        <v>Snack</v>
      </c>
      <c r="H54" s="2" cm="1">
        <f t="array" ref="H54">INT(VLOOKUP(OrderLines[[#This Row],[OrderID]:[OrderID]],Orders[],MATCH(OrderLines[[#Headers],[OrderDateTime]],Orders[#Headers],0),FALSE))</f>
        <v>45869</v>
      </c>
      <c r="I54" t="str" cm="1">
        <f t="array" ref="I54">VLOOKUP(OrderLines[[#This Row],[OrderID]:[OrderID]],Orders[],MATCH(OrderLines[[#Headers],[Branch]],Orders[#Headers],0),FALSE)</f>
        <v>Plant 2 Canteen</v>
      </c>
      <c r="J54" cm="1">
        <f t="array" ref="J54">VLOOKUP(OrderLines[[#This Row],[OrderID]:[OrderID]],Orders[],MATCH(OrderLines[[#Headers],[DiscountPct]],Orders[#Headers],0),FALSE)</f>
        <v>0.02</v>
      </c>
      <c r="K54" t="str" cm="1">
        <f t="array" ref="K54">VLOOKUP(OrderLines[[#This Row],[OrderID]:[OrderID]],Orders[],MATCH(OrderLines[[#Headers],[PaymentType]],Orders[#Headers],0),FALSE)</f>
        <v>UPI</v>
      </c>
      <c r="L54" t="str" cm="1">
        <f t="array" ref="L54">VLOOKUP(OrderLines[[#This Row],[OrderID]:[OrderID]],Orders[],MATCH(OrderLines[[#Headers],[Shift]],Orders[#Headers],0),FALSE)</f>
        <v>Dinner</v>
      </c>
      <c r="M54" s="8">
        <f>(OrderLines[[#This Row],[Qty]]*OrderLines[[#This Row],[UnitPrice]])*(1-OrderLines[[#This Row],[DiscountPct]])</f>
        <v>98.372399999999999</v>
      </c>
      <c r="N54" t="str">
        <f>IF(AND(COUNTIFS(OrderLines[OrderID],OrderLines[[#This Row],[OrderID]],OrderLines[Category],"Hot Meal"),COUNTIFS(OrderLines[OrderID],OrderLines[[#This Row],[OrderID]],OrderLines[Category],"Beverage")),"Combo","Single")</f>
        <v>Single</v>
      </c>
      <c r="O54" s="8" t="str" cm="1">
        <f t="array" ref="O54">IF(SUMPRODUCT(OrderLines[UnitPrice],OrderLines[Qty],OrderLines[DiscountPct],--(OrderLines[OrderID] = OrderLines[[#This Row],[OrderID]]))&gt;40,"High Discount","Ok")</f>
        <v>Ok</v>
      </c>
      <c r="P54">
        <f>OrderLines[[#This Row],[UnitCost]]*OrderLines[[#This Row],[Qty]]</f>
        <v>45.22</v>
      </c>
      <c r="Q54" s="8">
        <f>OrderLines[[#This Row],[LineNetAmount]]-OrderLines[[#This Row],[Food Cost]]</f>
        <v>53.1524</v>
      </c>
    </row>
    <row r="55" spans="1:17" x14ac:dyDescent="0.3">
      <c r="A55" t="s">
        <v>52</v>
      </c>
      <c r="B55" t="s">
        <v>413</v>
      </c>
      <c r="C55">
        <v>1</v>
      </c>
      <c r="D55" cm="1">
        <f t="array" ref="D55">VLOOKUP(OrderLines[[#This Row],[SKU]:[SKU]],Menu[],MATCH(OrderLines[[#Headers],[UnitPrice]],Menu[#Headers],0),FALSE)</f>
        <v>54.2</v>
      </c>
      <c r="E55" cm="1">
        <f t="array" ref="E55">VLOOKUP(OrderLines[[#This Row],[SKU]:[SKU]],Menu[],MATCH(OrderLines[[#Headers],[UnitCost]],Menu[#Headers],0),FALSE)</f>
        <v>21.95</v>
      </c>
      <c r="F55" t="str" cm="1">
        <f t="array" ref="F55">VLOOKUP(OrderLines[[#This Row],[SKU]:[SKU]],Menu[],MATCH(OrderLines[[#Headers],[Category]],Menu[#Headers],0),FALSE)</f>
        <v>Dessert</v>
      </c>
      <c r="G55" t="str" cm="1">
        <f t="array" ref="G55">_xlfn.TEXTJOIN("+",TRUE,_xlfn._xlws.SORT(_xlfn.UNIQUE(_xlfn._xlws.FILTER(OrderLines[Category],OrderLines[OrderID]=OrderLines[[#This Row],[OrderID]]))))</f>
        <v>Beverage+Dessert+Hot Meal</v>
      </c>
      <c r="H55" s="2" cm="1">
        <f t="array" ref="H55">INT(VLOOKUP(OrderLines[[#This Row],[OrderID]:[OrderID]],Orders[],MATCH(OrderLines[[#Headers],[OrderDateTime]],Orders[#Headers],0),FALSE))</f>
        <v>45862</v>
      </c>
      <c r="I55" t="str" cm="1">
        <f t="array" ref="I55">VLOOKUP(OrderLines[[#This Row],[OrderID]:[OrderID]],Orders[],MATCH(OrderLines[[#Headers],[Branch]],Orders[#Headers],0),FALSE)</f>
        <v>Plant 2 Canteen</v>
      </c>
      <c r="J55" cm="1">
        <f t="array" ref="J55">VLOOKUP(OrderLines[[#This Row],[OrderID]:[OrderID]],Orders[],MATCH(OrderLines[[#Headers],[DiscountPct]],Orders[#Headers],0),FALSE)</f>
        <v>0.01</v>
      </c>
      <c r="K55" t="str" cm="1">
        <f t="array" ref="K55">VLOOKUP(OrderLines[[#This Row],[OrderID]:[OrderID]],Orders[],MATCH(OrderLines[[#Headers],[PaymentType]],Orders[#Headers],0),FALSE)</f>
        <v>Cash</v>
      </c>
      <c r="L55" t="str" cm="1">
        <f t="array" ref="L55">VLOOKUP(OrderLines[[#This Row],[OrderID]:[OrderID]],Orders[],MATCH(OrderLines[[#Headers],[Shift]],Orders[#Headers],0),FALSE)</f>
        <v>Breakfast</v>
      </c>
      <c r="M55" s="8">
        <f>(OrderLines[[#This Row],[Qty]]*OrderLines[[#This Row],[UnitPrice]])*(1-OrderLines[[#This Row],[DiscountPct]])</f>
        <v>53.658000000000001</v>
      </c>
      <c r="N55" t="str">
        <f>IF(AND(COUNTIFS(OrderLines[OrderID],OrderLines[[#This Row],[OrderID]],OrderLines[Category],"Hot Meal"),COUNTIFS(OrderLines[OrderID],OrderLines[[#This Row],[OrderID]],OrderLines[Category],"Beverage")),"Combo","Single")</f>
        <v>Combo</v>
      </c>
      <c r="O55" s="8" t="str" cm="1">
        <f t="array" ref="O55">IF(SUMPRODUCT(OrderLines[UnitPrice],OrderLines[Qty],OrderLines[DiscountPct],--(OrderLines[OrderID] = OrderLines[[#This Row],[OrderID]]))&gt;40,"High Discount","Ok")</f>
        <v>Ok</v>
      </c>
      <c r="P55">
        <f>OrderLines[[#This Row],[UnitCost]]*OrderLines[[#This Row],[Qty]]</f>
        <v>21.95</v>
      </c>
      <c r="Q55" s="8">
        <f>OrderLines[[#This Row],[LineNetAmount]]-OrderLines[[#This Row],[Food Cost]]</f>
        <v>31.708000000000002</v>
      </c>
    </row>
    <row r="56" spans="1:17" x14ac:dyDescent="0.3">
      <c r="A56" t="s">
        <v>52</v>
      </c>
      <c r="B56" t="s">
        <v>409</v>
      </c>
      <c r="C56">
        <v>2</v>
      </c>
      <c r="D56" cm="1">
        <f t="array" ref="D56">VLOOKUP(OrderLines[[#This Row],[SKU]:[SKU]],Menu[],MATCH(OrderLines[[#Headers],[UnitPrice]],Menu[#Headers],0),FALSE)</f>
        <v>28.43</v>
      </c>
      <c r="E56" cm="1">
        <f t="array" ref="E56">VLOOKUP(OrderLines[[#This Row],[SKU]:[SKU]],Menu[],MATCH(OrderLines[[#Headers],[UnitCost]],Menu[#Headers],0),FALSE)</f>
        <v>13.89</v>
      </c>
      <c r="F56" t="str" cm="1">
        <f t="array" ref="F56">VLOOKUP(OrderLines[[#This Row],[SKU]:[SKU]],Menu[],MATCH(OrderLines[[#Headers],[Category]],Menu[#Headers],0),FALSE)</f>
        <v>Beverage</v>
      </c>
      <c r="G56" t="str" cm="1">
        <f t="array" ref="G56">_xlfn.TEXTJOIN("+",TRUE,_xlfn._xlws.SORT(_xlfn.UNIQUE(_xlfn._xlws.FILTER(OrderLines[Category],OrderLines[OrderID]=OrderLines[[#This Row],[OrderID]]))))</f>
        <v>Beverage+Dessert+Hot Meal</v>
      </c>
      <c r="H56" s="2" cm="1">
        <f t="array" ref="H56">INT(VLOOKUP(OrderLines[[#This Row],[OrderID]:[OrderID]],Orders[],MATCH(OrderLines[[#Headers],[OrderDateTime]],Orders[#Headers],0),FALSE))</f>
        <v>45862</v>
      </c>
      <c r="I56" t="str" cm="1">
        <f t="array" ref="I56">VLOOKUP(OrderLines[[#This Row],[OrderID]:[OrderID]],Orders[],MATCH(OrderLines[[#Headers],[Branch]],Orders[#Headers],0),FALSE)</f>
        <v>Plant 2 Canteen</v>
      </c>
      <c r="J56" cm="1">
        <f t="array" ref="J56">VLOOKUP(OrderLines[[#This Row],[OrderID]:[OrderID]],Orders[],MATCH(OrderLines[[#Headers],[DiscountPct]],Orders[#Headers],0),FALSE)</f>
        <v>0.01</v>
      </c>
      <c r="K56" t="str" cm="1">
        <f t="array" ref="K56">VLOOKUP(OrderLines[[#This Row],[OrderID]:[OrderID]],Orders[],MATCH(OrderLines[[#Headers],[PaymentType]],Orders[#Headers],0),FALSE)</f>
        <v>Cash</v>
      </c>
      <c r="L56" t="str" cm="1">
        <f t="array" ref="L56">VLOOKUP(OrderLines[[#This Row],[OrderID]:[OrderID]],Orders[],MATCH(OrderLines[[#Headers],[Shift]],Orders[#Headers],0),FALSE)</f>
        <v>Breakfast</v>
      </c>
      <c r="M56" s="8">
        <f>(OrderLines[[#This Row],[Qty]]*OrderLines[[#This Row],[UnitPrice]])*(1-OrderLines[[#This Row],[DiscountPct]])</f>
        <v>56.291399999999996</v>
      </c>
      <c r="N56" t="str">
        <f>IF(AND(COUNTIFS(OrderLines[OrderID],OrderLines[[#This Row],[OrderID]],OrderLines[Category],"Hot Meal"),COUNTIFS(OrderLines[OrderID],OrderLines[[#This Row],[OrderID]],OrderLines[Category],"Beverage")),"Combo","Single")</f>
        <v>Combo</v>
      </c>
      <c r="O56" s="8" t="str" cm="1">
        <f t="array" ref="O56">IF(SUMPRODUCT(OrderLines[UnitPrice],OrderLines[Qty],OrderLines[DiscountPct],--(OrderLines[OrderID] = OrderLines[[#This Row],[OrderID]]))&gt;40,"High Discount","Ok")</f>
        <v>Ok</v>
      </c>
      <c r="P56">
        <f>OrderLines[[#This Row],[UnitCost]]*OrderLines[[#This Row],[Qty]]</f>
        <v>27.78</v>
      </c>
      <c r="Q56" s="8">
        <f>OrderLines[[#This Row],[LineNetAmount]]-OrderLines[[#This Row],[Food Cost]]</f>
        <v>28.511399999999995</v>
      </c>
    </row>
    <row r="57" spans="1:17" x14ac:dyDescent="0.3">
      <c r="A57" t="s">
        <v>52</v>
      </c>
      <c r="B57" t="s">
        <v>415</v>
      </c>
      <c r="C57">
        <v>1</v>
      </c>
      <c r="D57" cm="1">
        <f t="array" ref="D57">VLOOKUP(OrderLines[[#This Row],[SKU]:[SKU]],Menu[],MATCH(OrderLines[[#Headers],[UnitPrice]],Menu[#Headers],0),FALSE)</f>
        <v>256.91000000000003</v>
      </c>
      <c r="E57" cm="1">
        <f t="array" ref="E57">VLOOKUP(OrderLines[[#This Row],[SKU]:[SKU]],Menu[],MATCH(OrderLines[[#Headers],[UnitCost]],Menu[#Headers],0),FALSE)</f>
        <v>121.24</v>
      </c>
      <c r="F57" t="str" cm="1">
        <f t="array" ref="F57">VLOOKUP(OrderLines[[#This Row],[SKU]:[SKU]],Menu[],MATCH(OrderLines[[#Headers],[Category]],Menu[#Headers],0),FALSE)</f>
        <v>Hot Meal</v>
      </c>
      <c r="G57" t="str" cm="1">
        <f t="array" ref="G57">_xlfn.TEXTJOIN("+",TRUE,_xlfn._xlws.SORT(_xlfn.UNIQUE(_xlfn._xlws.FILTER(OrderLines[Category],OrderLines[OrderID]=OrderLines[[#This Row],[OrderID]]))))</f>
        <v>Beverage+Dessert+Hot Meal</v>
      </c>
      <c r="H57" s="2" cm="1">
        <f t="array" ref="H57">INT(VLOOKUP(OrderLines[[#This Row],[OrderID]:[OrderID]],Orders[],MATCH(OrderLines[[#Headers],[OrderDateTime]],Orders[#Headers],0),FALSE))</f>
        <v>45862</v>
      </c>
      <c r="I57" t="str" cm="1">
        <f t="array" ref="I57">VLOOKUP(OrderLines[[#This Row],[OrderID]:[OrderID]],Orders[],MATCH(OrderLines[[#Headers],[Branch]],Orders[#Headers],0),FALSE)</f>
        <v>Plant 2 Canteen</v>
      </c>
      <c r="J57" cm="1">
        <f t="array" ref="J57">VLOOKUP(OrderLines[[#This Row],[OrderID]:[OrderID]],Orders[],MATCH(OrderLines[[#Headers],[DiscountPct]],Orders[#Headers],0),FALSE)</f>
        <v>0.01</v>
      </c>
      <c r="K57" t="str" cm="1">
        <f t="array" ref="K57">VLOOKUP(OrderLines[[#This Row],[OrderID]:[OrderID]],Orders[],MATCH(OrderLines[[#Headers],[PaymentType]],Orders[#Headers],0),FALSE)</f>
        <v>Cash</v>
      </c>
      <c r="L57" t="str" cm="1">
        <f t="array" ref="L57">VLOOKUP(OrderLines[[#This Row],[OrderID]:[OrderID]],Orders[],MATCH(OrderLines[[#Headers],[Shift]],Orders[#Headers],0),FALSE)</f>
        <v>Breakfast</v>
      </c>
      <c r="M57" s="8">
        <f>(OrderLines[[#This Row],[Qty]]*OrderLines[[#This Row],[UnitPrice]])*(1-OrderLines[[#This Row],[DiscountPct]])</f>
        <v>254.34090000000003</v>
      </c>
      <c r="N57" t="str">
        <f>IF(AND(COUNTIFS(OrderLines[OrderID],OrderLines[[#This Row],[OrderID]],OrderLines[Category],"Hot Meal"),COUNTIFS(OrderLines[OrderID],OrderLines[[#This Row],[OrderID]],OrderLines[Category],"Beverage")),"Combo","Single")</f>
        <v>Combo</v>
      </c>
      <c r="O57" s="8" t="str" cm="1">
        <f t="array" ref="O57">IF(SUMPRODUCT(OrderLines[UnitPrice],OrderLines[Qty],OrderLines[DiscountPct],--(OrderLines[OrderID] = OrderLines[[#This Row],[OrderID]]))&gt;40,"High Discount","Ok")</f>
        <v>Ok</v>
      </c>
      <c r="P57">
        <f>OrderLines[[#This Row],[UnitCost]]*OrderLines[[#This Row],[Qty]]</f>
        <v>121.24</v>
      </c>
      <c r="Q57" s="8">
        <f>OrderLines[[#This Row],[LineNetAmount]]-OrderLines[[#This Row],[Food Cost]]</f>
        <v>133.10090000000002</v>
      </c>
    </row>
    <row r="58" spans="1:17" x14ac:dyDescent="0.3">
      <c r="A58" t="s">
        <v>53</v>
      </c>
      <c r="B58" t="s">
        <v>410</v>
      </c>
      <c r="C58">
        <v>1</v>
      </c>
      <c r="D58" cm="1">
        <f t="array" ref="D58">VLOOKUP(OrderLines[[#This Row],[SKU]:[SKU]],Menu[],MATCH(OrderLines[[#Headers],[UnitPrice]],Menu[#Headers],0),FALSE)</f>
        <v>20.11</v>
      </c>
      <c r="E58" cm="1">
        <f t="array" ref="E58">VLOOKUP(OrderLines[[#This Row],[SKU]:[SKU]],Menu[],MATCH(OrderLines[[#Headers],[UnitCost]],Menu[#Headers],0),FALSE)</f>
        <v>8</v>
      </c>
      <c r="F58" t="str" cm="1">
        <f t="array" ref="F58">VLOOKUP(OrderLines[[#This Row],[SKU]:[SKU]],Menu[],MATCH(OrderLines[[#Headers],[Category]],Menu[#Headers],0),FALSE)</f>
        <v>Beverage</v>
      </c>
      <c r="G58" t="str" cm="1">
        <f t="array" ref="G58">_xlfn.TEXTJOIN("+",TRUE,_xlfn._xlws.SORT(_xlfn.UNIQUE(_xlfn._xlws.FILTER(OrderLines[Category],OrderLines[OrderID]=OrderLines[[#This Row],[OrderID]]))))</f>
        <v>Beverage+Hot Meal</v>
      </c>
      <c r="H58" s="2" cm="1">
        <f t="array" ref="H58">INT(VLOOKUP(OrderLines[[#This Row],[OrderID]:[OrderID]],Orders[],MATCH(OrderLines[[#Headers],[OrderDateTime]],Orders[#Headers],0),FALSE))</f>
        <v>45883</v>
      </c>
      <c r="I58" t="str" cm="1">
        <f t="array" ref="I58">VLOOKUP(OrderLines[[#This Row],[OrderID]:[OrderID]],Orders[],MATCH(OrderLines[[#Headers],[Branch]],Orders[#Headers],0),FALSE)</f>
        <v>Plant 2 Canteen</v>
      </c>
      <c r="J58" cm="1">
        <f t="array" ref="J58">VLOOKUP(OrderLines[[#This Row],[OrderID]:[OrderID]],Orders[],MATCH(OrderLines[[#Headers],[DiscountPct]],Orders[#Headers],0),FALSE)</f>
        <v>0.09</v>
      </c>
      <c r="K58" t="str" cm="1">
        <f t="array" ref="K58">VLOOKUP(OrderLines[[#This Row],[OrderID]:[OrderID]],Orders[],MATCH(OrderLines[[#Headers],[PaymentType]],Orders[#Headers],0),FALSE)</f>
        <v>Cash</v>
      </c>
      <c r="L58" t="str" cm="1">
        <f t="array" ref="L58">VLOOKUP(OrderLines[[#This Row],[OrderID]:[OrderID]],Orders[],MATCH(OrderLines[[#Headers],[Shift]],Orders[#Headers],0),FALSE)</f>
        <v>Lunch</v>
      </c>
      <c r="M58" s="8">
        <f>(OrderLines[[#This Row],[Qty]]*OrderLines[[#This Row],[UnitPrice]])*(1-OrderLines[[#This Row],[DiscountPct]])</f>
        <v>18.3001</v>
      </c>
      <c r="N58" t="str">
        <f>IF(AND(COUNTIFS(OrderLines[OrderID],OrderLines[[#This Row],[OrderID]],OrderLines[Category],"Hot Meal"),COUNTIFS(OrderLines[OrderID],OrderLines[[#This Row],[OrderID]],OrderLines[Category],"Beverage")),"Combo","Single")</f>
        <v>Combo</v>
      </c>
      <c r="O58" s="8" t="str" cm="1">
        <f t="array" ref="O58">IF(SUMPRODUCT(OrderLines[UnitPrice],OrderLines[Qty],OrderLines[DiscountPct],--(OrderLines[OrderID] = OrderLines[[#This Row],[OrderID]]))&gt;40,"High Discount","Ok")</f>
        <v>Ok</v>
      </c>
      <c r="P58">
        <f>OrderLines[[#This Row],[UnitCost]]*OrderLines[[#This Row],[Qty]]</f>
        <v>8</v>
      </c>
      <c r="Q58" s="8">
        <f>OrderLines[[#This Row],[LineNetAmount]]-OrderLines[[#This Row],[Food Cost]]</f>
        <v>10.3001</v>
      </c>
    </row>
    <row r="59" spans="1:17" x14ac:dyDescent="0.3">
      <c r="A59" t="s">
        <v>53</v>
      </c>
      <c r="B59" t="s">
        <v>407</v>
      </c>
      <c r="C59">
        <v>1</v>
      </c>
      <c r="D59" cm="1">
        <f t="array" ref="D59">VLOOKUP(OrderLines[[#This Row],[SKU]:[SKU]],Menu[],MATCH(OrderLines[[#Headers],[UnitPrice]],Menu[#Headers],0),FALSE)</f>
        <v>246.09</v>
      </c>
      <c r="E59" cm="1">
        <f t="array" ref="E59">VLOOKUP(OrderLines[[#This Row],[SKU]:[SKU]],Menu[],MATCH(OrderLines[[#Headers],[UnitCost]],Menu[#Headers],0),FALSE)</f>
        <v>112.08</v>
      </c>
      <c r="F59" t="str" cm="1">
        <f t="array" ref="F59">VLOOKUP(OrderLines[[#This Row],[SKU]:[SKU]],Menu[],MATCH(OrderLines[[#Headers],[Category]],Menu[#Headers],0),FALSE)</f>
        <v>Hot Meal</v>
      </c>
      <c r="G59" t="str" cm="1">
        <f t="array" ref="G59">_xlfn.TEXTJOIN("+",TRUE,_xlfn._xlws.SORT(_xlfn.UNIQUE(_xlfn._xlws.FILTER(OrderLines[Category],OrderLines[OrderID]=OrderLines[[#This Row],[OrderID]]))))</f>
        <v>Beverage+Hot Meal</v>
      </c>
      <c r="H59" s="2" cm="1">
        <f t="array" ref="H59">INT(VLOOKUP(OrderLines[[#This Row],[OrderID]:[OrderID]],Orders[],MATCH(OrderLines[[#Headers],[OrderDateTime]],Orders[#Headers],0),FALSE))</f>
        <v>45883</v>
      </c>
      <c r="I59" t="str" cm="1">
        <f t="array" ref="I59">VLOOKUP(OrderLines[[#This Row],[OrderID]:[OrderID]],Orders[],MATCH(OrderLines[[#Headers],[Branch]],Orders[#Headers],0),FALSE)</f>
        <v>Plant 2 Canteen</v>
      </c>
      <c r="J59" cm="1">
        <f t="array" ref="J59">VLOOKUP(OrderLines[[#This Row],[OrderID]:[OrderID]],Orders[],MATCH(OrderLines[[#Headers],[DiscountPct]],Orders[#Headers],0),FALSE)</f>
        <v>0.09</v>
      </c>
      <c r="K59" t="str" cm="1">
        <f t="array" ref="K59">VLOOKUP(OrderLines[[#This Row],[OrderID]:[OrderID]],Orders[],MATCH(OrderLines[[#Headers],[PaymentType]],Orders[#Headers],0),FALSE)</f>
        <v>Cash</v>
      </c>
      <c r="L59" t="str" cm="1">
        <f t="array" ref="L59">VLOOKUP(OrderLines[[#This Row],[OrderID]:[OrderID]],Orders[],MATCH(OrderLines[[#Headers],[Shift]],Orders[#Headers],0),FALSE)</f>
        <v>Lunch</v>
      </c>
      <c r="M59" s="8">
        <f>(OrderLines[[#This Row],[Qty]]*OrderLines[[#This Row],[UnitPrice]])*(1-OrderLines[[#This Row],[DiscountPct]])</f>
        <v>223.9419</v>
      </c>
      <c r="N59" t="str">
        <f>IF(AND(COUNTIFS(OrderLines[OrderID],OrderLines[[#This Row],[OrderID]],OrderLines[Category],"Hot Meal"),COUNTIFS(OrderLines[OrderID],OrderLines[[#This Row],[OrderID]],OrderLines[Category],"Beverage")),"Combo","Single")</f>
        <v>Combo</v>
      </c>
      <c r="O59" s="8" t="str" cm="1">
        <f t="array" ref="O59">IF(SUMPRODUCT(OrderLines[UnitPrice],OrderLines[Qty],OrderLines[DiscountPct],--(OrderLines[OrderID] = OrderLines[[#This Row],[OrderID]]))&gt;40,"High Discount","Ok")</f>
        <v>Ok</v>
      </c>
      <c r="P59">
        <f>OrderLines[[#This Row],[UnitCost]]*OrderLines[[#This Row],[Qty]]</f>
        <v>112.08</v>
      </c>
      <c r="Q59" s="8">
        <f>OrderLines[[#This Row],[LineNetAmount]]-OrderLines[[#This Row],[Food Cost]]</f>
        <v>111.86190000000001</v>
      </c>
    </row>
    <row r="60" spans="1:17" x14ac:dyDescent="0.3">
      <c r="A60" t="s">
        <v>54</v>
      </c>
      <c r="B60" t="s">
        <v>417</v>
      </c>
      <c r="C60">
        <v>3</v>
      </c>
      <c r="D60" cm="1">
        <f t="array" ref="D60">VLOOKUP(OrderLines[[#This Row],[SKU]:[SKU]],Menu[],MATCH(OrderLines[[#Headers],[UnitPrice]],Menu[#Headers],0),FALSE)</f>
        <v>146.4</v>
      </c>
      <c r="E60" cm="1">
        <f t="array" ref="E60">VLOOKUP(OrderLines[[#This Row],[SKU]:[SKU]],Menu[],MATCH(OrderLines[[#Headers],[UnitCost]],Menu[#Headers],0),FALSE)</f>
        <v>80.92</v>
      </c>
      <c r="F60" t="str" cm="1">
        <f t="array" ref="F60">VLOOKUP(OrderLines[[#This Row],[SKU]:[SKU]],Menu[],MATCH(OrderLines[[#Headers],[Category]],Menu[#Headers],0),FALSE)</f>
        <v>Hot Meal</v>
      </c>
      <c r="G60" t="str" cm="1">
        <f t="array" ref="G60">_xlfn.TEXTJOIN("+",TRUE,_xlfn._xlws.SORT(_xlfn.UNIQUE(_xlfn._xlws.FILTER(OrderLines[Category],OrderLines[OrderID]=OrderLines[[#This Row],[OrderID]]))))</f>
        <v>Hot Meal</v>
      </c>
      <c r="H60" s="2" cm="1">
        <f t="array" ref="H60">INT(VLOOKUP(OrderLines[[#This Row],[OrderID]:[OrderID]],Orders[],MATCH(OrderLines[[#Headers],[OrderDateTime]],Orders[#Headers],0),FALSE))</f>
        <v>45893</v>
      </c>
      <c r="I60" t="str" cm="1">
        <f t="array" ref="I60">VLOOKUP(OrderLines[[#This Row],[OrderID]:[OrderID]],Orders[],MATCH(OrderLines[[#Headers],[Branch]],Orders[#Headers],0),FALSE)</f>
        <v>Plant 1 Canteen</v>
      </c>
      <c r="J60" cm="1">
        <f t="array" ref="J60">VLOOKUP(OrderLines[[#This Row],[OrderID]:[OrderID]],Orders[],MATCH(OrderLines[[#Headers],[DiscountPct]],Orders[#Headers],0),FALSE)</f>
        <v>0.11</v>
      </c>
      <c r="K60" t="str" cm="1">
        <f t="array" ref="K60">VLOOKUP(OrderLines[[#This Row],[OrderID]:[OrderID]],Orders[],MATCH(OrderLines[[#Headers],[PaymentType]],Orders[#Headers],0),FALSE)</f>
        <v>UPI</v>
      </c>
      <c r="L60" t="str" cm="1">
        <f t="array" ref="L60">VLOOKUP(OrderLines[[#This Row],[OrderID]:[OrderID]],Orders[],MATCH(OrderLines[[#Headers],[Shift]],Orders[#Headers],0),FALSE)</f>
        <v>Dinner</v>
      </c>
      <c r="M60" s="8">
        <f>(OrderLines[[#This Row],[Qty]]*OrderLines[[#This Row],[UnitPrice]])*(1-OrderLines[[#This Row],[DiscountPct]])</f>
        <v>390.88800000000003</v>
      </c>
      <c r="N60" t="str">
        <f>IF(AND(COUNTIFS(OrderLines[OrderID],OrderLines[[#This Row],[OrderID]],OrderLines[Category],"Hot Meal"),COUNTIFS(OrderLines[OrderID],OrderLines[[#This Row],[OrderID]],OrderLines[Category],"Beverage")),"Combo","Single")</f>
        <v>Single</v>
      </c>
      <c r="O60" s="8" t="str" cm="1">
        <f t="array" ref="O60">IF(SUMPRODUCT(OrderLines[UnitPrice],OrderLines[Qty],OrderLines[DiscountPct],--(OrderLines[OrderID] = OrderLines[[#This Row],[OrderID]]))&gt;40,"High Discount","Ok")</f>
        <v>High Discount</v>
      </c>
      <c r="P60">
        <f>OrderLines[[#This Row],[UnitCost]]*OrderLines[[#This Row],[Qty]]</f>
        <v>242.76</v>
      </c>
      <c r="Q60" s="8">
        <f>OrderLines[[#This Row],[LineNetAmount]]-OrderLines[[#This Row],[Food Cost]]</f>
        <v>148.12800000000004</v>
      </c>
    </row>
    <row r="61" spans="1:17" x14ac:dyDescent="0.3">
      <c r="A61" t="s">
        <v>56</v>
      </c>
      <c r="B61" t="s">
        <v>419</v>
      </c>
      <c r="C61">
        <v>1</v>
      </c>
      <c r="D61" cm="1">
        <f t="array" ref="D61">VLOOKUP(OrderLines[[#This Row],[SKU]:[SKU]],Menu[],MATCH(OrderLines[[#Headers],[UnitPrice]],Menu[#Headers],0),FALSE)</f>
        <v>50.19</v>
      </c>
      <c r="E61" cm="1">
        <f t="array" ref="E61">VLOOKUP(OrderLines[[#This Row],[SKU]:[SKU]],Menu[],MATCH(OrderLines[[#Headers],[UnitCost]],Menu[#Headers],0),FALSE)</f>
        <v>22.61</v>
      </c>
      <c r="F61" t="str" cm="1">
        <f t="array" ref="F61">VLOOKUP(OrderLines[[#This Row],[SKU]:[SKU]],Menu[],MATCH(OrderLines[[#Headers],[Category]],Menu[#Headers],0),FALSE)</f>
        <v>Snack</v>
      </c>
      <c r="G61" t="str" cm="1">
        <f t="array" ref="G61">_xlfn.TEXTJOIN("+",TRUE,_xlfn._xlws.SORT(_xlfn.UNIQUE(_xlfn._xlws.FILTER(OrderLines[Category],OrderLines[OrderID]=OrderLines[[#This Row],[OrderID]]))))</f>
        <v>Snack</v>
      </c>
      <c r="H61" s="2" cm="1">
        <f t="array" ref="H61">INT(VLOOKUP(OrderLines[[#This Row],[OrderID]:[OrderID]],Orders[],MATCH(OrderLines[[#Headers],[OrderDateTime]],Orders[#Headers],0),FALSE))</f>
        <v>45888</v>
      </c>
      <c r="I61" t="str" cm="1">
        <f t="array" ref="I61">VLOOKUP(OrderLines[[#This Row],[OrderID]:[OrderID]],Orders[],MATCH(OrderLines[[#Headers],[Branch]],Orders[#Headers],0),FALSE)</f>
        <v>Plant 2 Canteen</v>
      </c>
      <c r="J61" cm="1">
        <f t="array" ref="J61">VLOOKUP(OrderLines[[#This Row],[OrderID]:[OrderID]],Orders[],MATCH(OrderLines[[#Headers],[DiscountPct]],Orders[#Headers],0),FALSE)</f>
        <v>0.06</v>
      </c>
      <c r="K61" t="str" cm="1">
        <f t="array" ref="K61">VLOOKUP(OrderLines[[#This Row],[OrderID]:[OrderID]],Orders[],MATCH(OrderLines[[#Headers],[PaymentType]],Orders[#Headers],0),FALSE)</f>
        <v>Card</v>
      </c>
      <c r="L61" t="str" cm="1">
        <f t="array" ref="L61">VLOOKUP(OrderLines[[#This Row],[OrderID]:[OrderID]],Orders[],MATCH(OrderLines[[#Headers],[Shift]],Orders[#Headers],0),FALSE)</f>
        <v>Breakfast</v>
      </c>
      <c r="M61" s="8">
        <f>(OrderLines[[#This Row],[Qty]]*OrderLines[[#This Row],[UnitPrice]])*(1-OrderLines[[#This Row],[DiscountPct]])</f>
        <v>47.178599999999996</v>
      </c>
      <c r="N61" t="str">
        <f>IF(AND(COUNTIFS(OrderLines[OrderID],OrderLines[[#This Row],[OrderID]],OrderLines[Category],"Hot Meal"),COUNTIFS(OrderLines[OrderID],OrderLines[[#This Row],[OrderID]],OrderLines[Category],"Beverage")),"Combo","Single")</f>
        <v>Single</v>
      </c>
      <c r="O61" s="8" t="str" cm="1">
        <f t="array" ref="O61">IF(SUMPRODUCT(OrderLines[UnitPrice],OrderLines[Qty],OrderLines[DiscountPct],--(OrderLines[OrderID] = OrderLines[[#This Row],[OrderID]]))&gt;40,"High Discount","Ok")</f>
        <v>Ok</v>
      </c>
      <c r="P61">
        <f>OrderLines[[#This Row],[UnitCost]]*OrderLines[[#This Row],[Qty]]</f>
        <v>22.61</v>
      </c>
      <c r="Q61" s="8">
        <f>OrderLines[[#This Row],[LineNetAmount]]-OrderLines[[#This Row],[Food Cost]]</f>
        <v>24.568599999999996</v>
      </c>
    </row>
    <row r="62" spans="1:17" x14ac:dyDescent="0.3">
      <c r="A62" t="s">
        <v>57</v>
      </c>
      <c r="B62" t="s">
        <v>401</v>
      </c>
      <c r="C62">
        <v>1</v>
      </c>
      <c r="D62" cm="1">
        <f t="array" ref="D62">VLOOKUP(OrderLines[[#This Row],[SKU]:[SKU]],Menu[],MATCH(OrderLines[[#Headers],[UnitPrice]],Menu[#Headers],0),FALSE)</f>
        <v>52.45</v>
      </c>
      <c r="E62" cm="1">
        <f t="array" ref="E62">VLOOKUP(OrderLines[[#This Row],[SKU]:[SKU]],Menu[],MATCH(OrderLines[[#Headers],[UnitCost]],Menu[#Headers],0),FALSE)</f>
        <v>25.8</v>
      </c>
      <c r="F62" t="str" cm="1">
        <f t="array" ref="F62">VLOOKUP(OrderLines[[#This Row],[SKU]:[SKU]],Menu[],MATCH(OrderLines[[#Headers],[Category]],Menu[#Headers],0),FALSE)</f>
        <v>Snack</v>
      </c>
      <c r="G62" t="str" cm="1">
        <f t="array" ref="G62">_xlfn.TEXTJOIN("+",TRUE,_xlfn._xlws.SORT(_xlfn.UNIQUE(_xlfn._xlws.FILTER(OrderLines[Category],OrderLines[OrderID]=OrderLines[[#This Row],[OrderID]]))))</f>
        <v>Snack</v>
      </c>
      <c r="H62" s="2" cm="1">
        <f t="array" ref="H62">INT(VLOOKUP(OrderLines[[#This Row],[OrderID]:[OrderID]],Orders[],MATCH(OrderLines[[#Headers],[OrderDateTime]],Orders[#Headers],0),FALSE))</f>
        <v>45862</v>
      </c>
      <c r="I62" t="str" cm="1">
        <f t="array" ref="I62">VLOOKUP(OrderLines[[#This Row],[OrderID]:[OrderID]],Orders[],MATCH(OrderLines[[#Headers],[Branch]],Orders[#Headers],0),FALSE)</f>
        <v>Plant 2 Canteen</v>
      </c>
      <c r="J62" cm="1">
        <f t="array" ref="J62">VLOOKUP(OrderLines[[#This Row],[OrderID]:[OrderID]],Orders[],MATCH(OrderLines[[#Headers],[DiscountPct]],Orders[#Headers],0),FALSE)</f>
        <v>0.1</v>
      </c>
      <c r="K62" t="str" cm="1">
        <f t="array" ref="K62">VLOOKUP(OrderLines[[#This Row],[OrderID]:[OrderID]],Orders[],MATCH(OrderLines[[#Headers],[PaymentType]],Orders[#Headers],0),FALSE)</f>
        <v>Cash</v>
      </c>
      <c r="L62" t="str" cm="1">
        <f t="array" ref="L62">VLOOKUP(OrderLines[[#This Row],[OrderID]:[OrderID]],Orders[],MATCH(OrderLines[[#Headers],[Shift]],Orders[#Headers],0),FALSE)</f>
        <v>Dinner</v>
      </c>
      <c r="M62" s="8">
        <f>(OrderLines[[#This Row],[Qty]]*OrderLines[[#This Row],[UnitPrice]])*(1-OrderLines[[#This Row],[DiscountPct]])</f>
        <v>47.205000000000005</v>
      </c>
      <c r="N62" t="str">
        <f>IF(AND(COUNTIFS(OrderLines[OrderID],OrderLines[[#This Row],[OrderID]],OrderLines[Category],"Hot Meal"),COUNTIFS(OrderLines[OrderID],OrderLines[[#This Row],[OrderID]],OrderLines[Category],"Beverage")),"Combo","Single")</f>
        <v>Single</v>
      </c>
      <c r="O62" s="8" t="str" cm="1">
        <f t="array" ref="O62">IF(SUMPRODUCT(OrderLines[UnitPrice],OrderLines[Qty],OrderLines[DiscountPct],--(OrderLines[OrderID] = OrderLines[[#This Row],[OrderID]]))&gt;40,"High Discount","Ok")</f>
        <v>Ok</v>
      </c>
      <c r="P62">
        <f>OrderLines[[#This Row],[UnitCost]]*OrderLines[[#This Row],[Qty]]</f>
        <v>25.8</v>
      </c>
      <c r="Q62" s="8">
        <f>OrderLines[[#This Row],[LineNetAmount]]-OrderLines[[#This Row],[Food Cost]]</f>
        <v>21.405000000000005</v>
      </c>
    </row>
    <row r="63" spans="1:17" x14ac:dyDescent="0.3">
      <c r="A63" t="s">
        <v>57</v>
      </c>
      <c r="B63" t="s">
        <v>406</v>
      </c>
      <c r="C63">
        <v>1</v>
      </c>
      <c r="D63" cm="1">
        <f t="array" ref="D63">VLOOKUP(OrderLines[[#This Row],[SKU]:[SKU]],Menu[],MATCH(OrderLines[[#Headers],[UnitPrice]],Menu[#Headers],0),FALSE)</f>
        <v>38.06</v>
      </c>
      <c r="E63" cm="1">
        <f t="array" ref="E63">VLOOKUP(OrderLines[[#This Row],[SKU]:[SKU]],Menu[],MATCH(OrderLines[[#Headers],[UnitCost]],Menu[#Headers],0),FALSE)</f>
        <v>19.55</v>
      </c>
      <c r="F63" t="str" cm="1">
        <f t="array" ref="F63">VLOOKUP(OrderLines[[#This Row],[SKU]:[SKU]],Menu[],MATCH(OrderLines[[#Headers],[Category]],Menu[#Headers],0),FALSE)</f>
        <v>Snack</v>
      </c>
      <c r="G63" t="str" cm="1">
        <f t="array" ref="G63">_xlfn.TEXTJOIN("+",TRUE,_xlfn._xlws.SORT(_xlfn.UNIQUE(_xlfn._xlws.FILTER(OrderLines[Category],OrderLines[OrderID]=OrderLines[[#This Row],[OrderID]]))))</f>
        <v>Snack</v>
      </c>
      <c r="H63" s="2" cm="1">
        <f t="array" ref="H63">INT(VLOOKUP(OrderLines[[#This Row],[OrderID]:[OrderID]],Orders[],MATCH(OrderLines[[#Headers],[OrderDateTime]],Orders[#Headers],0),FALSE))</f>
        <v>45862</v>
      </c>
      <c r="I63" t="str" cm="1">
        <f t="array" ref="I63">VLOOKUP(OrderLines[[#This Row],[OrderID]:[OrderID]],Orders[],MATCH(OrderLines[[#Headers],[Branch]],Orders[#Headers],0),FALSE)</f>
        <v>Plant 2 Canteen</v>
      </c>
      <c r="J63" cm="1">
        <f t="array" ref="J63">VLOOKUP(OrderLines[[#This Row],[OrderID]:[OrderID]],Orders[],MATCH(OrderLines[[#Headers],[DiscountPct]],Orders[#Headers],0),FALSE)</f>
        <v>0.1</v>
      </c>
      <c r="K63" t="str" cm="1">
        <f t="array" ref="K63">VLOOKUP(OrderLines[[#This Row],[OrderID]:[OrderID]],Orders[],MATCH(OrderLines[[#Headers],[PaymentType]],Orders[#Headers],0),FALSE)</f>
        <v>Cash</v>
      </c>
      <c r="L63" t="str" cm="1">
        <f t="array" ref="L63">VLOOKUP(OrderLines[[#This Row],[OrderID]:[OrderID]],Orders[],MATCH(OrderLines[[#Headers],[Shift]],Orders[#Headers],0),FALSE)</f>
        <v>Dinner</v>
      </c>
      <c r="M63" s="8">
        <f>(OrderLines[[#This Row],[Qty]]*OrderLines[[#This Row],[UnitPrice]])*(1-OrderLines[[#This Row],[DiscountPct]])</f>
        <v>34.254000000000005</v>
      </c>
      <c r="N63" t="str">
        <f>IF(AND(COUNTIFS(OrderLines[OrderID],OrderLines[[#This Row],[OrderID]],OrderLines[Category],"Hot Meal"),COUNTIFS(OrderLines[OrderID],OrderLines[[#This Row],[OrderID]],OrderLines[Category],"Beverage")),"Combo","Single")</f>
        <v>Single</v>
      </c>
      <c r="O63" s="8" t="str" cm="1">
        <f t="array" ref="O63">IF(SUMPRODUCT(OrderLines[UnitPrice],OrderLines[Qty],OrderLines[DiscountPct],--(OrderLines[OrderID] = OrderLines[[#This Row],[OrderID]]))&gt;40,"High Discount","Ok")</f>
        <v>Ok</v>
      </c>
      <c r="P63">
        <f>OrderLines[[#This Row],[UnitCost]]*OrderLines[[#This Row],[Qty]]</f>
        <v>19.55</v>
      </c>
      <c r="Q63" s="8">
        <f>OrderLines[[#This Row],[LineNetAmount]]-OrderLines[[#This Row],[Food Cost]]</f>
        <v>14.704000000000004</v>
      </c>
    </row>
    <row r="64" spans="1:17" x14ac:dyDescent="0.3">
      <c r="A64" t="s">
        <v>58</v>
      </c>
      <c r="B64" t="s">
        <v>405</v>
      </c>
      <c r="C64">
        <v>3</v>
      </c>
      <c r="D64" cm="1">
        <f t="array" ref="D64">VLOOKUP(OrderLines[[#This Row],[SKU]:[SKU]],Menu[],MATCH(OrderLines[[#Headers],[UnitPrice]],Menu[#Headers],0),FALSE)</f>
        <v>170.83</v>
      </c>
      <c r="E64" cm="1">
        <f t="array" ref="E64">VLOOKUP(OrderLines[[#This Row],[SKU]:[SKU]],Menu[],MATCH(OrderLines[[#Headers],[UnitCost]],Menu[#Headers],0),FALSE)</f>
        <v>74.069999999999993</v>
      </c>
      <c r="F64" t="str" cm="1">
        <f t="array" ref="F64">VLOOKUP(OrderLines[[#This Row],[SKU]:[SKU]],Menu[],MATCH(OrderLines[[#Headers],[Category]],Menu[#Headers],0),FALSE)</f>
        <v>Hot Meal</v>
      </c>
      <c r="G64" t="str" cm="1">
        <f t="array" ref="G64">_xlfn.TEXTJOIN("+",TRUE,_xlfn._xlws.SORT(_xlfn.UNIQUE(_xlfn._xlws.FILTER(OrderLines[Category],OrderLines[OrderID]=OrderLines[[#This Row],[OrderID]]))))</f>
        <v>Beverage+Dessert+Hot Meal</v>
      </c>
      <c r="H64" s="2" cm="1">
        <f t="array" ref="H64">INT(VLOOKUP(OrderLines[[#This Row],[OrderID]:[OrderID]],Orders[],MATCH(OrderLines[[#Headers],[OrderDateTime]],Orders[#Headers],0),FALSE))</f>
        <v>45891</v>
      </c>
      <c r="I64" t="str" cm="1">
        <f t="array" ref="I64">VLOOKUP(OrderLines[[#This Row],[OrderID]:[OrderID]],Orders[],MATCH(OrderLines[[#Headers],[Branch]],Orders[#Headers],0),FALSE)</f>
        <v>Head Office Café</v>
      </c>
      <c r="J64" cm="1">
        <f t="array" ref="J64">VLOOKUP(OrderLines[[#This Row],[OrderID]:[OrderID]],Orders[],MATCH(OrderLines[[#Headers],[DiscountPct]],Orders[#Headers],0),FALSE)</f>
        <v>7.0000000000000007E-2</v>
      </c>
      <c r="K64" t="str" cm="1">
        <f t="array" ref="K64">VLOOKUP(OrderLines[[#This Row],[OrderID]:[OrderID]],Orders[],MATCH(OrderLines[[#Headers],[PaymentType]],Orders[#Headers],0),FALSE)</f>
        <v>UPI</v>
      </c>
      <c r="L64" t="str" cm="1">
        <f t="array" ref="L64">VLOOKUP(OrderLines[[#This Row],[OrderID]:[OrderID]],Orders[],MATCH(OrderLines[[#Headers],[Shift]],Orders[#Headers],0),FALSE)</f>
        <v>Dinner</v>
      </c>
      <c r="M64" s="8">
        <f>(OrderLines[[#This Row],[Qty]]*OrderLines[[#This Row],[UnitPrice]])*(1-OrderLines[[#This Row],[DiscountPct]])</f>
        <v>476.6157</v>
      </c>
      <c r="N64" t="str">
        <f>IF(AND(COUNTIFS(OrderLines[OrderID],OrderLines[[#This Row],[OrderID]],OrderLines[Category],"Hot Meal"),COUNTIFS(OrderLines[OrderID],OrderLines[[#This Row],[OrderID]],OrderLines[Category],"Beverage")),"Combo","Single")</f>
        <v>Combo</v>
      </c>
      <c r="O64" s="8" t="str" cm="1">
        <f t="array" ref="O64">IF(SUMPRODUCT(OrderLines[UnitPrice],OrderLines[Qty],OrderLines[DiscountPct],--(OrderLines[OrderID] = OrderLines[[#This Row],[OrderID]]))&gt;40,"High Discount","Ok")</f>
        <v>High Discount</v>
      </c>
      <c r="P64">
        <f>OrderLines[[#This Row],[UnitCost]]*OrderLines[[#This Row],[Qty]]</f>
        <v>222.20999999999998</v>
      </c>
      <c r="Q64" s="8">
        <f>OrderLines[[#This Row],[LineNetAmount]]-OrderLines[[#This Row],[Food Cost]]</f>
        <v>254.40570000000002</v>
      </c>
    </row>
    <row r="65" spans="1:17" x14ac:dyDescent="0.3">
      <c r="A65" t="s">
        <v>58</v>
      </c>
      <c r="B65" t="s">
        <v>402</v>
      </c>
      <c r="C65">
        <v>1</v>
      </c>
      <c r="D65" cm="1">
        <f t="array" ref="D65">VLOOKUP(OrderLines[[#This Row],[SKU]:[SKU]],Menu[],MATCH(OrderLines[[#Headers],[UnitPrice]],Menu[#Headers],0),FALSE)</f>
        <v>30.34</v>
      </c>
      <c r="E65" cm="1">
        <f t="array" ref="E65">VLOOKUP(OrderLines[[#This Row],[SKU]:[SKU]],Menu[],MATCH(OrderLines[[#Headers],[UnitCost]],Menu[#Headers],0),FALSE)</f>
        <v>14.18</v>
      </c>
      <c r="F65" t="str" cm="1">
        <f t="array" ref="F65">VLOOKUP(OrderLines[[#This Row],[SKU]:[SKU]],Menu[],MATCH(OrderLines[[#Headers],[Category]],Menu[#Headers],0),FALSE)</f>
        <v>Beverage</v>
      </c>
      <c r="G65" t="str" cm="1">
        <f t="array" ref="G65">_xlfn.TEXTJOIN("+",TRUE,_xlfn._xlws.SORT(_xlfn.UNIQUE(_xlfn._xlws.FILTER(OrderLines[Category],OrderLines[OrderID]=OrderLines[[#This Row],[OrderID]]))))</f>
        <v>Beverage+Dessert+Hot Meal</v>
      </c>
      <c r="H65" s="2" cm="1">
        <f t="array" ref="H65">INT(VLOOKUP(OrderLines[[#This Row],[OrderID]:[OrderID]],Orders[],MATCH(OrderLines[[#Headers],[OrderDateTime]],Orders[#Headers],0),FALSE))</f>
        <v>45891</v>
      </c>
      <c r="I65" t="str" cm="1">
        <f t="array" ref="I65">VLOOKUP(OrderLines[[#This Row],[OrderID]:[OrderID]],Orders[],MATCH(OrderLines[[#Headers],[Branch]],Orders[#Headers],0),FALSE)</f>
        <v>Head Office Café</v>
      </c>
      <c r="J65" cm="1">
        <f t="array" ref="J65">VLOOKUP(OrderLines[[#This Row],[OrderID]:[OrderID]],Orders[],MATCH(OrderLines[[#Headers],[DiscountPct]],Orders[#Headers],0),FALSE)</f>
        <v>7.0000000000000007E-2</v>
      </c>
      <c r="K65" t="str" cm="1">
        <f t="array" ref="K65">VLOOKUP(OrderLines[[#This Row],[OrderID]:[OrderID]],Orders[],MATCH(OrderLines[[#Headers],[PaymentType]],Orders[#Headers],0),FALSE)</f>
        <v>UPI</v>
      </c>
      <c r="L65" t="str" cm="1">
        <f t="array" ref="L65">VLOOKUP(OrderLines[[#This Row],[OrderID]:[OrderID]],Orders[],MATCH(OrderLines[[#Headers],[Shift]],Orders[#Headers],0),FALSE)</f>
        <v>Dinner</v>
      </c>
      <c r="M65" s="8">
        <f>(OrderLines[[#This Row],[Qty]]*OrderLines[[#This Row],[UnitPrice]])*(1-OrderLines[[#This Row],[DiscountPct]])</f>
        <v>28.216199999999997</v>
      </c>
      <c r="N65" t="str">
        <f>IF(AND(COUNTIFS(OrderLines[OrderID],OrderLines[[#This Row],[OrderID]],OrderLines[Category],"Hot Meal"),COUNTIFS(OrderLines[OrderID],OrderLines[[#This Row],[OrderID]],OrderLines[Category],"Beverage")),"Combo","Single")</f>
        <v>Combo</v>
      </c>
      <c r="O65" s="8" t="str" cm="1">
        <f t="array" ref="O65">IF(SUMPRODUCT(OrderLines[UnitPrice],OrderLines[Qty],OrderLines[DiscountPct],--(OrderLines[OrderID] = OrderLines[[#This Row],[OrderID]]))&gt;40,"High Discount","Ok")</f>
        <v>High Discount</v>
      </c>
      <c r="P65">
        <f>OrderLines[[#This Row],[UnitCost]]*OrderLines[[#This Row],[Qty]]</f>
        <v>14.18</v>
      </c>
      <c r="Q65" s="8">
        <f>OrderLines[[#This Row],[LineNetAmount]]-OrderLines[[#This Row],[Food Cost]]</f>
        <v>14.036199999999997</v>
      </c>
    </row>
    <row r="66" spans="1:17" x14ac:dyDescent="0.3">
      <c r="A66" t="s">
        <v>58</v>
      </c>
      <c r="B66" t="s">
        <v>412</v>
      </c>
      <c r="C66">
        <v>2</v>
      </c>
      <c r="D66" cm="1">
        <f t="array" ref="D66">VLOOKUP(OrderLines[[#This Row],[SKU]:[SKU]],Menu[],MATCH(OrderLines[[#Headers],[UnitPrice]],Menu[#Headers],0),FALSE)</f>
        <v>57.07</v>
      </c>
      <c r="E66" cm="1">
        <f t="array" ref="E66">VLOOKUP(OrderLines[[#This Row],[SKU]:[SKU]],Menu[],MATCH(OrderLines[[#Headers],[UnitCost]],Menu[#Headers],0),FALSE)</f>
        <v>29.14</v>
      </c>
      <c r="F66" t="str" cm="1">
        <f t="array" ref="F66">VLOOKUP(OrderLines[[#This Row],[SKU]:[SKU]],Menu[],MATCH(OrderLines[[#Headers],[Category]],Menu[#Headers],0),FALSE)</f>
        <v>Dessert</v>
      </c>
      <c r="G66" t="str" cm="1">
        <f t="array" ref="G66">_xlfn.TEXTJOIN("+",TRUE,_xlfn._xlws.SORT(_xlfn.UNIQUE(_xlfn._xlws.FILTER(OrderLines[Category],OrderLines[OrderID]=OrderLines[[#This Row],[OrderID]]))))</f>
        <v>Beverage+Dessert+Hot Meal</v>
      </c>
      <c r="H66" s="2" cm="1">
        <f t="array" ref="H66">INT(VLOOKUP(OrderLines[[#This Row],[OrderID]:[OrderID]],Orders[],MATCH(OrderLines[[#Headers],[OrderDateTime]],Orders[#Headers],0),FALSE))</f>
        <v>45891</v>
      </c>
      <c r="I66" t="str" cm="1">
        <f t="array" ref="I66">VLOOKUP(OrderLines[[#This Row],[OrderID]:[OrderID]],Orders[],MATCH(OrderLines[[#Headers],[Branch]],Orders[#Headers],0),FALSE)</f>
        <v>Head Office Café</v>
      </c>
      <c r="J66" cm="1">
        <f t="array" ref="J66">VLOOKUP(OrderLines[[#This Row],[OrderID]:[OrderID]],Orders[],MATCH(OrderLines[[#Headers],[DiscountPct]],Orders[#Headers],0),FALSE)</f>
        <v>7.0000000000000007E-2</v>
      </c>
      <c r="K66" t="str" cm="1">
        <f t="array" ref="K66">VLOOKUP(OrderLines[[#This Row],[OrderID]:[OrderID]],Orders[],MATCH(OrderLines[[#Headers],[PaymentType]],Orders[#Headers],0),FALSE)</f>
        <v>UPI</v>
      </c>
      <c r="L66" t="str" cm="1">
        <f t="array" ref="L66">VLOOKUP(OrderLines[[#This Row],[OrderID]:[OrderID]],Orders[],MATCH(OrderLines[[#Headers],[Shift]],Orders[#Headers],0),FALSE)</f>
        <v>Dinner</v>
      </c>
      <c r="M66" s="8">
        <f>(OrderLines[[#This Row],[Qty]]*OrderLines[[#This Row],[UnitPrice]])*(1-OrderLines[[#This Row],[DiscountPct]])</f>
        <v>106.1502</v>
      </c>
      <c r="N66" t="str">
        <f>IF(AND(COUNTIFS(OrderLines[OrderID],OrderLines[[#This Row],[OrderID]],OrderLines[Category],"Hot Meal"),COUNTIFS(OrderLines[OrderID],OrderLines[[#This Row],[OrderID]],OrderLines[Category],"Beverage")),"Combo","Single")</f>
        <v>Combo</v>
      </c>
      <c r="O66" s="8" t="str" cm="1">
        <f t="array" ref="O66">IF(SUMPRODUCT(OrderLines[UnitPrice],OrderLines[Qty],OrderLines[DiscountPct],--(OrderLines[OrderID] = OrderLines[[#This Row],[OrderID]]))&gt;40,"High Discount","Ok")</f>
        <v>High Discount</v>
      </c>
      <c r="P66">
        <f>OrderLines[[#This Row],[UnitCost]]*OrderLines[[#This Row],[Qty]]</f>
        <v>58.28</v>
      </c>
      <c r="Q66" s="8">
        <f>OrderLines[[#This Row],[LineNetAmount]]-OrderLines[[#This Row],[Food Cost]]</f>
        <v>47.870199999999997</v>
      </c>
    </row>
    <row r="67" spans="1:17" x14ac:dyDescent="0.3">
      <c r="A67" t="s">
        <v>58</v>
      </c>
      <c r="B67" t="s">
        <v>407</v>
      </c>
      <c r="C67">
        <v>1</v>
      </c>
      <c r="D67" cm="1">
        <f t="array" ref="D67">VLOOKUP(OrderLines[[#This Row],[SKU]:[SKU]],Menu[],MATCH(OrderLines[[#Headers],[UnitPrice]],Menu[#Headers],0),FALSE)</f>
        <v>246.09</v>
      </c>
      <c r="E67" cm="1">
        <f t="array" ref="E67">VLOOKUP(OrderLines[[#This Row],[SKU]:[SKU]],Menu[],MATCH(OrderLines[[#Headers],[UnitCost]],Menu[#Headers],0),FALSE)</f>
        <v>112.08</v>
      </c>
      <c r="F67" t="str" cm="1">
        <f t="array" ref="F67">VLOOKUP(OrderLines[[#This Row],[SKU]:[SKU]],Menu[],MATCH(OrderLines[[#Headers],[Category]],Menu[#Headers],0),FALSE)</f>
        <v>Hot Meal</v>
      </c>
      <c r="G67" t="str" cm="1">
        <f t="array" ref="G67">_xlfn.TEXTJOIN("+",TRUE,_xlfn._xlws.SORT(_xlfn.UNIQUE(_xlfn._xlws.FILTER(OrderLines[Category],OrderLines[OrderID]=OrderLines[[#This Row],[OrderID]]))))</f>
        <v>Beverage+Dessert+Hot Meal</v>
      </c>
      <c r="H67" s="2" cm="1">
        <f t="array" ref="H67">INT(VLOOKUP(OrderLines[[#This Row],[OrderID]:[OrderID]],Orders[],MATCH(OrderLines[[#Headers],[OrderDateTime]],Orders[#Headers],0),FALSE))</f>
        <v>45891</v>
      </c>
      <c r="I67" t="str" cm="1">
        <f t="array" ref="I67">VLOOKUP(OrderLines[[#This Row],[OrderID]:[OrderID]],Orders[],MATCH(OrderLines[[#Headers],[Branch]],Orders[#Headers],0),FALSE)</f>
        <v>Head Office Café</v>
      </c>
      <c r="J67" cm="1">
        <f t="array" ref="J67">VLOOKUP(OrderLines[[#This Row],[OrderID]:[OrderID]],Orders[],MATCH(OrderLines[[#Headers],[DiscountPct]],Orders[#Headers],0),FALSE)</f>
        <v>7.0000000000000007E-2</v>
      </c>
      <c r="K67" t="str" cm="1">
        <f t="array" ref="K67">VLOOKUP(OrderLines[[#This Row],[OrderID]:[OrderID]],Orders[],MATCH(OrderLines[[#Headers],[PaymentType]],Orders[#Headers],0),FALSE)</f>
        <v>UPI</v>
      </c>
      <c r="L67" t="str" cm="1">
        <f t="array" ref="L67">VLOOKUP(OrderLines[[#This Row],[OrderID]:[OrderID]],Orders[],MATCH(OrderLines[[#Headers],[Shift]],Orders[#Headers],0),FALSE)</f>
        <v>Dinner</v>
      </c>
      <c r="M67" s="8">
        <f>(OrderLines[[#This Row],[Qty]]*OrderLines[[#This Row],[UnitPrice]])*(1-OrderLines[[#This Row],[DiscountPct]])</f>
        <v>228.86369999999999</v>
      </c>
      <c r="N67" t="str">
        <f>IF(AND(COUNTIFS(OrderLines[OrderID],OrderLines[[#This Row],[OrderID]],OrderLines[Category],"Hot Meal"),COUNTIFS(OrderLines[OrderID],OrderLines[[#This Row],[OrderID]],OrderLines[Category],"Beverage")),"Combo","Single")</f>
        <v>Combo</v>
      </c>
      <c r="O67" s="8" t="str" cm="1">
        <f t="array" ref="O67">IF(SUMPRODUCT(OrderLines[UnitPrice],OrderLines[Qty],OrderLines[DiscountPct],--(OrderLines[OrderID] = OrderLines[[#This Row],[OrderID]]))&gt;40,"High Discount","Ok")</f>
        <v>High Discount</v>
      </c>
      <c r="P67">
        <f>OrderLines[[#This Row],[UnitCost]]*OrderLines[[#This Row],[Qty]]</f>
        <v>112.08</v>
      </c>
      <c r="Q67" s="8">
        <f>OrderLines[[#This Row],[LineNetAmount]]-OrderLines[[#This Row],[Food Cost]]</f>
        <v>116.7837</v>
      </c>
    </row>
    <row r="68" spans="1:17" x14ac:dyDescent="0.3">
      <c r="A68" t="s">
        <v>59</v>
      </c>
      <c r="B68" t="s">
        <v>419</v>
      </c>
      <c r="C68">
        <v>1</v>
      </c>
      <c r="D68" cm="1">
        <f t="array" ref="D68">VLOOKUP(OrderLines[[#This Row],[SKU]:[SKU]],Menu[],MATCH(OrderLines[[#Headers],[UnitPrice]],Menu[#Headers],0),FALSE)</f>
        <v>50.19</v>
      </c>
      <c r="E68" cm="1">
        <f t="array" ref="E68">VLOOKUP(OrderLines[[#This Row],[SKU]:[SKU]],Menu[],MATCH(OrderLines[[#Headers],[UnitCost]],Menu[#Headers],0),FALSE)</f>
        <v>22.61</v>
      </c>
      <c r="F68" t="str" cm="1">
        <f t="array" ref="F68">VLOOKUP(OrderLines[[#This Row],[SKU]:[SKU]],Menu[],MATCH(OrderLines[[#Headers],[Category]],Menu[#Headers],0),FALSE)</f>
        <v>Snack</v>
      </c>
      <c r="G68" t="str" cm="1">
        <f t="array" ref="G68">_xlfn.TEXTJOIN("+",TRUE,_xlfn._xlws.SORT(_xlfn.UNIQUE(_xlfn._xlws.FILTER(OrderLines[Category],OrderLines[OrderID]=OrderLines[[#This Row],[OrderID]]))))</f>
        <v>Beverage+Dessert+Snack</v>
      </c>
      <c r="H68" s="2" cm="1">
        <f t="array" ref="H68">INT(VLOOKUP(OrderLines[[#This Row],[OrderID]:[OrderID]],Orders[],MATCH(OrderLines[[#Headers],[OrderDateTime]],Orders[#Headers],0),FALSE))</f>
        <v>45840</v>
      </c>
      <c r="I68" t="str" cm="1">
        <f t="array" ref="I68">VLOOKUP(OrderLines[[#This Row],[OrderID]:[OrderID]],Orders[],MATCH(OrderLines[[#Headers],[Branch]],Orders[#Headers],0),FALSE)</f>
        <v>Head Office Café</v>
      </c>
      <c r="J68" cm="1">
        <f t="array" ref="J68">VLOOKUP(OrderLines[[#This Row],[OrderID]:[OrderID]],Orders[],MATCH(OrderLines[[#Headers],[DiscountPct]],Orders[#Headers],0),FALSE)</f>
        <v>0.03</v>
      </c>
      <c r="K68" t="str" cm="1">
        <f t="array" ref="K68">VLOOKUP(OrderLines[[#This Row],[OrderID]:[OrderID]],Orders[],MATCH(OrderLines[[#Headers],[PaymentType]],Orders[#Headers],0),FALSE)</f>
        <v>Card</v>
      </c>
      <c r="L68" t="str" cm="1">
        <f t="array" ref="L68">VLOOKUP(OrderLines[[#This Row],[OrderID]:[OrderID]],Orders[],MATCH(OrderLines[[#Headers],[Shift]],Orders[#Headers],0),FALSE)</f>
        <v>Breakfast</v>
      </c>
      <c r="M68" s="8">
        <f>(OrderLines[[#This Row],[Qty]]*OrderLines[[#This Row],[UnitPrice]])*(1-OrderLines[[#This Row],[DiscountPct]])</f>
        <v>48.684299999999993</v>
      </c>
      <c r="N68" t="str">
        <f>IF(AND(COUNTIFS(OrderLines[OrderID],OrderLines[[#This Row],[OrderID]],OrderLines[Category],"Hot Meal"),COUNTIFS(OrderLines[OrderID],OrderLines[[#This Row],[OrderID]],OrderLines[Category],"Beverage")),"Combo","Single")</f>
        <v>Single</v>
      </c>
      <c r="O68" s="8" t="str" cm="1">
        <f t="array" ref="O68">IF(SUMPRODUCT(OrderLines[UnitPrice],OrderLines[Qty],OrderLines[DiscountPct],--(OrderLines[OrderID] = OrderLines[[#This Row],[OrderID]]))&gt;40,"High Discount","Ok")</f>
        <v>Ok</v>
      </c>
      <c r="P68">
        <f>OrderLines[[#This Row],[UnitCost]]*OrderLines[[#This Row],[Qty]]</f>
        <v>22.61</v>
      </c>
      <c r="Q68" s="8">
        <f>OrderLines[[#This Row],[LineNetAmount]]-OrderLines[[#This Row],[Food Cost]]</f>
        <v>26.074299999999994</v>
      </c>
    </row>
    <row r="69" spans="1:17" x14ac:dyDescent="0.3">
      <c r="A69" t="s">
        <v>59</v>
      </c>
      <c r="B69" t="s">
        <v>414</v>
      </c>
      <c r="C69">
        <v>2</v>
      </c>
      <c r="D69" cm="1">
        <f t="array" ref="D69">VLOOKUP(OrderLines[[#This Row],[SKU]:[SKU]],Menu[],MATCH(OrderLines[[#Headers],[UnitPrice]],Menu[#Headers],0),FALSE)</f>
        <v>116.8</v>
      </c>
      <c r="E69" cm="1">
        <f t="array" ref="E69">VLOOKUP(OrderLines[[#This Row],[SKU]:[SKU]],Menu[],MATCH(OrderLines[[#Headers],[UnitCost]],Menu[#Headers],0),FALSE)</f>
        <v>48.97</v>
      </c>
      <c r="F69" t="str" cm="1">
        <f t="array" ref="F69">VLOOKUP(OrderLines[[#This Row],[SKU]:[SKU]],Menu[],MATCH(OrderLines[[#Headers],[Category]],Menu[#Headers],0),FALSE)</f>
        <v>Dessert</v>
      </c>
      <c r="G69" t="str" cm="1">
        <f t="array" ref="G69">_xlfn.TEXTJOIN("+",TRUE,_xlfn._xlws.SORT(_xlfn.UNIQUE(_xlfn._xlws.FILTER(OrderLines[Category],OrderLines[OrderID]=OrderLines[[#This Row],[OrderID]]))))</f>
        <v>Beverage+Dessert+Snack</v>
      </c>
      <c r="H69" s="2" cm="1">
        <f t="array" ref="H69">INT(VLOOKUP(OrderLines[[#This Row],[OrderID]:[OrderID]],Orders[],MATCH(OrderLines[[#Headers],[OrderDateTime]],Orders[#Headers],0),FALSE))</f>
        <v>45840</v>
      </c>
      <c r="I69" t="str" cm="1">
        <f t="array" ref="I69">VLOOKUP(OrderLines[[#This Row],[OrderID]:[OrderID]],Orders[],MATCH(OrderLines[[#Headers],[Branch]],Orders[#Headers],0),FALSE)</f>
        <v>Head Office Café</v>
      </c>
      <c r="J69" cm="1">
        <f t="array" ref="J69">VLOOKUP(OrderLines[[#This Row],[OrderID]:[OrderID]],Orders[],MATCH(OrderLines[[#Headers],[DiscountPct]],Orders[#Headers],0),FALSE)</f>
        <v>0.03</v>
      </c>
      <c r="K69" t="str" cm="1">
        <f t="array" ref="K69">VLOOKUP(OrderLines[[#This Row],[OrderID]:[OrderID]],Orders[],MATCH(OrderLines[[#Headers],[PaymentType]],Orders[#Headers],0),FALSE)</f>
        <v>Card</v>
      </c>
      <c r="L69" t="str" cm="1">
        <f t="array" ref="L69">VLOOKUP(OrderLines[[#This Row],[OrderID]:[OrderID]],Orders[],MATCH(OrderLines[[#Headers],[Shift]],Orders[#Headers],0),FALSE)</f>
        <v>Breakfast</v>
      </c>
      <c r="M69" s="8">
        <f>(OrderLines[[#This Row],[Qty]]*OrderLines[[#This Row],[UnitPrice]])*(1-OrderLines[[#This Row],[DiscountPct]])</f>
        <v>226.59199999999998</v>
      </c>
      <c r="N69" t="str">
        <f>IF(AND(COUNTIFS(OrderLines[OrderID],OrderLines[[#This Row],[OrderID]],OrderLines[Category],"Hot Meal"),COUNTIFS(OrderLines[OrderID],OrderLines[[#This Row],[OrderID]],OrderLines[Category],"Beverage")),"Combo","Single")</f>
        <v>Single</v>
      </c>
      <c r="O69" s="8" t="str" cm="1">
        <f t="array" ref="O69">IF(SUMPRODUCT(OrderLines[UnitPrice],OrderLines[Qty],OrderLines[DiscountPct],--(OrderLines[OrderID] = OrderLines[[#This Row],[OrderID]]))&gt;40,"High Discount","Ok")</f>
        <v>Ok</v>
      </c>
      <c r="P69">
        <f>OrderLines[[#This Row],[UnitCost]]*OrderLines[[#This Row],[Qty]]</f>
        <v>97.94</v>
      </c>
      <c r="Q69" s="8">
        <f>OrderLines[[#This Row],[LineNetAmount]]-OrderLines[[#This Row],[Food Cost]]</f>
        <v>128.65199999999999</v>
      </c>
    </row>
    <row r="70" spans="1:17" x14ac:dyDescent="0.3">
      <c r="A70" t="s">
        <v>59</v>
      </c>
      <c r="B70" t="s">
        <v>408</v>
      </c>
      <c r="C70">
        <v>1</v>
      </c>
      <c r="D70" cm="1">
        <f t="array" ref="D70">VLOOKUP(OrderLines[[#This Row],[SKU]:[SKU]],Menu[],MATCH(OrderLines[[#Headers],[UnitPrice]],Menu[#Headers],0),FALSE)</f>
        <v>70.540000000000006</v>
      </c>
      <c r="E70" cm="1">
        <f t="array" ref="E70">VLOOKUP(OrderLines[[#This Row],[SKU]:[SKU]],Menu[],MATCH(OrderLines[[#Headers],[UnitCost]],Menu[#Headers],0),FALSE)</f>
        <v>35.81</v>
      </c>
      <c r="F70" t="str" cm="1">
        <f t="array" ref="F70">VLOOKUP(OrderLines[[#This Row],[SKU]:[SKU]],Menu[],MATCH(OrderLines[[#Headers],[Category]],Menu[#Headers],0),FALSE)</f>
        <v>Snack</v>
      </c>
      <c r="G70" t="str" cm="1">
        <f t="array" ref="G70">_xlfn.TEXTJOIN("+",TRUE,_xlfn._xlws.SORT(_xlfn.UNIQUE(_xlfn._xlws.FILTER(OrderLines[Category],OrderLines[OrderID]=OrderLines[[#This Row],[OrderID]]))))</f>
        <v>Beverage+Dessert+Snack</v>
      </c>
      <c r="H70" s="2" cm="1">
        <f t="array" ref="H70">INT(VLOOKUP(OrderLines[[#This Row],[OrderID]:[OrderID]],Orders[],MATCH(OrderLines[[#Headers],[OrderDateTime]],Orders[#Headers],0),FALSE))</f>
        <v>45840</v>
      </c>
      <c r="I70" t="str" cm="1">
        <f t="array" ref="I70">VLOOKUP(OrderLines[[#This Row],[OrderID]:[OrderID]],Orders[],MATCH(OrderLines[[#Headers],[Branch]],Orders[#Headers],0),FALSE)</f>
        <v>Head Office Café</v>
      </c>
      <c r="J70" cm="1">
        <f t="array" ref="J70">VLOOKUP(OrderLines[[#This Row],[OrderID]:[OrderID]],Orders[],MATCH(OrderLines[[#Headers],[DiscountPct]],Orders[#Headers],0),FALSE)</f>
        <v>0.03</v>
      </c>
      <c r="K70" t="str" cm="1">
        <f t="array" ref="K70">VLOOKUP(OrderLines[[#This Row],[OrderID]:[OrderID]],Orders[],MATCH(OrderLines[[#Headers],[PaymentType]],Orders[#Headers],0),FALSE)</f>
        <v>Card</v>
      </c>
      <c r="L70" t="str" cm="1">
        <f t="array" ref="L70">VLOOKUP(OrderLines[[#This Row],[OrderID]:[OrderID]],Orders[],MATCH(OrderLines[[#Headers],[Shift]],Orders[#Headers],0),FALSE)</f>
        <v>Breakfast</v>
      </c>
      <c r="M70" s="8">
        <f>(OrderLines[[#This Row],[Qty]]*OrderLines[[#This Row],[UnitPrice]])*(1-OrderLines[[#This Row],[DiscountPct]])</f>
        <v>68.4238</v>
      </c>
      <c r="N70" t="str">
        <f>IF(AND(COUNTIFS(OrderLines[OrderID],OrderLines[[#This Row],[OrderID]],OrderLines[Category],"Hot Meal"),COUNTIFS(OrderLines[OrderID],OrderLines[[#This Row],[OrderID]],OrderLines[Category],"Beverage")),"Combo","Single")</f>
        <v>Single</v>
      </c>
      <c r="O70" s="8" t="str" cm="1">
        <f t="array" ref="O70">IF(SUMPRODUCT(OrderLines[UnitPrice],OrderLines[Qty],OrderLines[DiscountPct],--(OrderLines[OrderID] = OrderLines[[#This Row],[OrderID]]))&gt;40,"High Discount","Ok")</f>
        <v>Ok</v>
      </c>
      <c r="P70">
        <f>OrderLines[[#This Row],[UnitCost]]*OrderLines[[#This Row],[Qty]]</f>
        <v>35.81</v>
      </c>
      <c r="Q70" s="8">
        <f>OrderLines[[#This Row],[LineNetAmount]]-OrderLines[[#This Row],[Food Cost]]</f>
        <v>32.613799999999998</v>
      </c>
    </row>
    <row r="71" spans="1:17" x14ac:dyDescent="0.3">
      <c r="A71" t="s">
        <v>59</v>
      </c>
      <c r="B71" t="s">
        <v>410</v>
      </c>
      <c r="C71">
        <v>2</v>
      </c>
      <c r="D71" cm="1">
        <f t="array" ref="D71">VLOOKUP(OrderLines[[#This Row],[SKU]:[SKU]],Menu[],MATCH(OrderLines[[#Headers],[UnitPrice]],Menu[#Headers],0),FALSE)</f>
        <v>20.11</v>
      </c>
      <c r="E71" cm="1">
        <f t="array" ref="E71">VLOOKUP(OrderLines[[#This Row],[SKU]:[SKU]],Menu[],MATCH(OrderLines[[#Headers],[UnitCost]],Menu[#Headers],0),FALSE)</f>
        <v>8</v>
      </c>
      <c r="F71" t="str" cm="1">
        <f t="array" ref="F71">VLOOKUP(OrderLines[[#This Row],[SKU]:[SKU]],Menu[],MATCH(OrderLines[[#Headers],[Category]],Menu[#Headers],0),FALSE)</f>
        <v>Beverage</v>
      </c>
      <c r="G71" t="str" cm="1">
        <f t="array" ref="G71">_xlfn.TEXTJOIN("+",TRUE,_xlfn._xlws.SORT(_xlfn.UNIQUE(_xlfn._xlws.FILTER(OrderLines[Category],OrderLines[OrderID]=OrderLines[[#This Row],[OrderID]]))))</f>
        <v>Beverage+Dessert+Snack</v>
      </c>
      <c r="H71" s="2" cm="1">
        <f t="array" ref="H71">INT(VLOOKUP(OrderLines[[#This Row],[OrderID]:[OrderID]],Orders[],MATCH(OrderLines[[#Headers],[OrderDateTime]],Orders[#Headers],0),FALSE))</f>
        <v>45840</v>
      </c>
      <c r="I71" t="str" cm="1">
        <f t="array" ref="I71">VLOOKUP(OrderLines[[#This Row],[OrderID]:[OrderID]],Orders[],MATCH(OrderLines[[#Headers],[Branch]],Orders[#Headers],0),FALSE)</f>
        <v>Head Office Café</v>
      </c>
      <c r="J71" cm="1">
        <f t="array" ref="J71">VLOOKUP(OrderLines[[#This Row],[OrderID]:[OrderID]],Orders[],MATCH(OrderLines[[#Headers],[DiscountPct]],Orders[#Headers],0),FALSE)</f>
        <v>0.03</v>
      </c>
      <c r="K71" t="str" cm="1">
        <f t="array" ref="K71">VLOOKUP(OrderLines[[#This Row],[OrderID]:[OrderID]],Orders[],MATCH(OrderLines[[#Headers],[PaymentType]],Orders[#Headers],0),FALSE)</f>
        <v>Card</v>
      </c>
      <c r="L71" t="str" cm="1">
        <f t="array" ref="L71">VLOOKUP(OrderLines[[#This Row],[OrderID]:[OrderID]],Orders[],MATCH(OrderLines[[#Headers],[Shift]],Orders[#Headers],0),FALSE)</f>
        <v>Breakfast</v>
      </c>
      <c r="M71" s="8">
        <f>(OrderLines[[#This Row],[Qty]]*OrderLines[[#This Row],[UnitPrice]])*(1-OrderLines[[#This Row],[DiscountPct]])</f>
        <v>39.013399999999997</v>
      </c>
      <c r="N71" t="str">
        <f>IF(AND(COUNTIFS(OrderLines[OrderID],OrderLines[[#This Row],[OrderID]],OrderLines[Category],"Hot Meal"),COUNTIFS(OrderLines[OrderID],OrderLines[[#This Row],[OrderID]],OrderLines[Category],"Beverage")),"Combo","Single")</f>
        <v>Single</v>
      </c>
      <c r="O71" s="8" t="str" cm="1">
        <f t="array" ref="O71">IF(SUMPRODUCT(OrderLines[UnitPrice],OrderLines[Qty],OrderLines[DiscountPct],--(OrderLines[OrderID] = OrderLines[[#This Row],[OrderID]]))&gt;40,"High Discount","Ok")</f>
        <v>Ok</v>
      </c>
      <c r="P71">
        <f>OrderLines[[#This Row],[UnitCost]]*OrderLines[[#This Row],[Qty]]</f>
        <v>16</v>
      </c>
      <c r="Q71" s="8">
        <f>OrderLines[[#This Row],[LineNetAmount]]-OrderLines[[#This Row],[Food Cost]]</f>
        <v>23.013399999999997</v>
      </c>
    </row>
    <row r="72" spans="1:17" x14ac:dyDescent="0.3">
      <c r="A72" t="s">
        <v>60</v>
      </c>
      <c r="B72" t="s">
        <v>419</v>
      </c>
      <c r="C72">
        <v>3</v>
      </c>
      <c r="D72" cm="1">
        <f t="array" ref="D72">VLOOKUP(OrderLines[[#This Row],[SKU]:[SKU]],Menu[],MATCH(OrderLines[[#Headers],[UnitPrice]],Menu[#Headers],0),FALSE)</f>
        <v>50.19</v>
      </c>
      <c r="E72" cm="1">
        <f t="array" ref="E72">VLOOKUP(OrderLines[[#This Row],[SKU]:[SKU]],Menu[],MATCH(OrderLines[[#Headers],[UnitCost]],Menu[#Headers],0),FALSE)</f>
        <v>22.61</v>
      </c>
      <c r="F72" t="str" cm="1">
        <f t="array" ref="F72">VLOOKUP(OrderLines[[#This Row],[SKU]:[SKU]],Menu[],MATCH(OrderLines[[#Headers],[Category]],Menu[#Headers],0),FALSE)</f>
        <v>Snack</v>
      </c>
      <c r="G72" t="str" cm="1">
        <f t="array" ref="G72">_xlfn.TEXTJOIN("+",TRUE,_xlfn._xlws.SORT(_xlfn.UNIQUE(_xlfn._xlws.FILTER(OrderLines[Category],OrderLines[OrderID]=OrderLines[[#This Row],[OrderID]]))))</f>
        <v>Snack</v>
      </c>
      <c r="H72" s="2" cm="1">
        <f t="array" ref="H72">INT(VLOOKUP(OrderLines[[#This Row],[OrderID]:[OrderID]],Orders[],MATCH(OrderLines[[#Headers],[OrderDateTime]],Orders[#Headers],0),FALSE))</f>
        <v>45852</v>
      </c>
      <c r="I72" t="str" cm="1">
        <f t="array" ref="I72">VLOOKUP(OrderLines[[#This Row],[OrderID]:[OrderID]],Orders[],MATCH(OrderLines[[#Headers],[Branch]],Orders[#Headers],0),FALSE)</f>
        <v>Plant 2 Canteen</v>
      </c>
      <c r="J72" cm="1">
        <f t="array" ref="J72">VLOOKUP(OrderLines[[#This Row],[OrderID]:[OrderID]],Orders[],MATCH(OrderLines[[#Headers],[DiscountPct]],Orders[#Headers],0),FALSE)</f>
        <v>7.0000000000000007E-2</v>
      </c>
      <c r="K72" t="str" cm="1">
        <f t="array" ref="K72">VLOOKUP(OrderLines[[#This Row],[OrderID]:[OrderID]],Orders[],MATCH(OrderLines[[#Headers],[PaymentType]],Orders[#Headers],0),FALSE)</f>
        <v>Cash</v>
      </c>
      <c r="L72" t="str" cm="1">
        <f t="array" ref="L72">VLOOKUP(OrderLines[[#This Row],[OrderID]:[OrderID]],Orders[],MATCH(OrderLines[[#Headers],[Shift]],Orders[#Headers],0),FALSE)</f>
        <v>Breakfast</v>
      </c>
      <c r="M72" s="8">
        <f>(OrderLines[[#This Row],[Qty]]*OrderLines[[#This Row],[UnitPrice]])*(1-OrderLines[[#This Row],[DiscountPct]])</f>
        <v>140.03009999999998</v>
      </c>
      <c r="N72" t="str">
        <f>IF(AND(COUNTIFS(OrderLines[OrderID],OrderLines[[#This Row],[OrderID]],OrderLines[Category],"Hot Meal"),COUNTIFS(OrderLines[OrderID],OrderLines[[#This Row],[OrderID]],OrderLines[Category],"Beverage")),"Combo","Single")</f>
        <v>Single</v>
      </c>
      <c r="O72" s="8" t="str" cm="1">
        <f t="array" ref="O72">IF(SUMPRODUCT(OrderLines[UnitPrice],OrderLines[Qty],OrderLines[DiscountPct],--(OrderLines[OrderID] = OrderLines[[#This Row],[OrderID]]))&gt;40,"High Discount","Ok")</f>
        <v>Ok</v>
      </c>
      <c r="P72">
        <f>OrderLines[[#This Row],[UnitCost]]*OrderLines[[#This Row],[Qty]]</f>
        <v>67.83</v>
      </c>
      <c r="Q72" s="8">
        <f>OrderLines[[#This Row],[LineNetAmount]]-OrderLines[[#This Row],[Food Cost]]</f>
        <v>72.200099999999978</v>
      </c>
    </row>
    <row r="73" spans="1:17" x14ac:dyDescent="0.3">
      <c r="A73" t="s">
        <v>62</v>
      </c>
      <c r="B73" t="s">
        <v>409</v>
      </c>
      <c r="C73">
        <v>1</v>
      </c>
      <c r="D73" cm="1">
        <f t="array" ref="D73">VLOOKUP(OrderLines[[#This Row],[SKU]:[SKU]],Menu[],MATCH(OrderLines[[#Headers],[UnitPrice]],Menu[#Headers],0),FALSE)</f>
        <v>28.43</v>
      </c>
      <c r="E73" cm="1">
        <f t="array" ref="E73">VLOOKUP(OrderLines[[#This Row],[SKU]:[SKU]],Menu[],MATCH(OrderLines[[#Headers],[UnitCost]],Menu[#Headers],0),FALSE)</f>
        <v>13.89</v>
      </c>
      <c r="F73" t="str" cm="1">
        <f t="array" ref="F73">VLOOKUP(OrderLines[[#This Row],[SKU]:[SKU]],Menu[],MATCH(OrderLines[[#Headers],[Category]],Menu[#Headers],0),FALSE)</f>
        <v>Beverage</v>
      </c>
      <c r="G73" t="str" cm="1">
        <f t="array" ref="G73">_xlfn.TEXTJOIN("+",TRUE,_xlfn._xlws.SORT(_xlfn.UNIQUE(_xlfn._xlws.FILTER(OrderLines[Category],OrderLines[OrderID]=OrderLines[[#This Row],[OrderID]]))))</f>
        <v>Beverage+Hot Meal+Snack</v>
      </c>
      <c r="H73" s="2" cm="1">
        <f t="array" ref="H73">INT(VLOOKUP(OrderLines[[#This Row],[OrderID]:[OrderID]],Orders[],MATCH(OrderLines[[#Headers],[OrderDateTime]],Orders[#Headers],0),FALSE))</f>
        <v>45854</v>
      </c>
      <c r="I73" t="str" cm="1">
        <f t="array" ref="I73">VLOOKUP(OrderLines[[#This Row],[OrderID]:[OrderID]],Orders[],MATCH(OrderLines[[#Headers],[Branch]],Orders[#Headers],0),FALSE)</f>
        <v>Plant 2 Canteen</v>
      </c>
      <c r="J73" cm="1">
        <f t="array" ref="J73">VLOOKUP(OrderLines[[#This Row],[OrderID]:[OrderID]],Orders[],MATCH(OrderLines[[#Headers],[DiscountPct]],Orders[#Headers],0),FALSE)</f>
        <v>0.12</v>
      </c>
      <c r="K73" t="str" cm="1">
        <f t="array" ref="K73">VLOOKUP(OrderLines[[#This Row],[OrderID]:[OrderID]],Orders[],MATCH(OrderLines[[#Headers],[PaymentType]],Orders[#Headers],0),FALSE)</f>
        <v>UPI</v>
      </c>
      <c r="L73" t="str" cm="1">
        <f t="array" ref="L73">VLOOKUP(OrderLines[[#This Row],[OrderID]:[OrderID]],Orders[],MATCH(OrderLines[[#Headers],[Shift]],Orders[#Headers],0),FALSE)</f>
        <v>Breakfast</v>
      </c>
      <c r="M73" s="8">
        <f>(OrderLines[[#This Row],[Qty]]*OrderLines[[#This Row],[UnitPrice]])*(1-OrderLines[[#This Row],[DiscountPct]])</f>
        <v>25.0184</v>
      </c>
      <c r="N73" t="str">
        <f>IF(AND(COUNTIFS(OrderLines[OrderID],OrderLines[[#This Row],[OrderID]],OrderLines[Category],"Hot Meal"),COUNTIFS(OrderLines[OrderID],OrderLines[[#This Row],[OrderID]],OrderLines[Category],"Beverage")),"Combo","Single")</f>
        <v>Combo</v>
      </c>
      <c r="O73" s="8" t="str" cm="1">
        <f t="array" ref="O73">IF(SUMPRODUCT(OrderLines[UnitPrice],OrderLines[Qty],OrderLines[DiscountPct],--(OrderLines[OrderID] = OrderLines[[#This Row],[OrderID]]))&gt;40,"High Discount","Ok")</f>
        <v>High Discount</v>
      </c>
      <c r="P73">
        <f>OrderLines[[#This Row],[UnitCost]]*OrderLines[[#This Row],[Qty]]</f>
        <v>13.89</v>
      </c>
      <c r="Q73" s="8">
        <f>OrderLines[[#This Row],[LineNetAmount]]-OrderLines[[#This Row],[Food Cost]]</f>
        <v>11.128399999999999</v>
      </c>
    </row>
    <row r="74" spans="1:17" x14ac:dyDescent="0.3">
      <c r="A74" t="s">
        <v>62</v>
      </c>
      <c r="B74" t="s">
        <v>407</v>
      </c>
      <c r="C74">
        <v>1</v>
      </c>
      <c r="D74" cm="1">
        <f t="array" ref="D74">VLOOKUP(OrderLines[[#This Row],[SKU]:[SKU]],Menu[],MATCH(OrderLines[[#Headers],[UnitPrice]],Menu[#Headers],0),FALSE)</f>
        <v>246.09</v>
      </c>
      <c r="E74" cm="1">
        <f t="array" ref="E74">VLOOKUP(OrderLines[[#This Row],[SKU]:[SKU]],Menu[],MATCH(OrderLines[[#Headers],[UnitCost]],Menu[#Headers],0),FALSE)</f>
        <v>112.08</v>
      </c>
      <c r="F74" t="str" cm="1">
        <f t="array" ref="F74">VLOOKUP(OrderLines[[#This Row],[SKU]:[SKU]],Menu[],MATCH(OrderLines[[#Headers],[Category]],Menu[#Headers],0),FALSE)</f>
        <v>Hot Meal</v>
      </c>
      <c r="G74" t="str" cm="1">
        <f t="array" ref="G74">_xlfn.TEXTJOIN("+",TRUE,_xlfn._xlws.SORT(_xlfn.UNIQUE(_xlfn._xlws.FILTER(OrderLines[Category],OrderLines[OrderID]=OrderLines[[#This Row],[OrderID]]))))</f>
        <v>Beverage+Hot Meal+Snack</v>
      </c>
      <c r="H74" s="2" cm="1">
        <f t="array" ref="H74">INT(VLOOKUP(OrderLines[[#This Row],[OrderID]:[OrderID]],Orders[],MATCH(OrderLines[[#Headers],[OrderDateTime]],Orders[#Headers],0),FALSE))</f>
        <v>45854</v>
      </c>
      <c r="I74" t="str" cm="1">
        <f t="array" ref="I74">VLOOKUP(OrderLines[[#This Row],[OrderID]:[OrderID]],Orders[],MATCH(OrderLines[[#Headers],[Branch]],Orders[#Headers],0),FALSE)</f>
        <v>Plant 2 Canteen</v>
      </c>
      <c r="J74" cm="1">
        <f t="array" ref="J74">VLOOKUP(OrderLines[[#This Row],[OrderID]:[OrderID]],Orders[],MATCH(OrderLines[[#Headers],[DiscountPct]],Orders[#Headers],0),FALSE)</f>
        <v>0.12</v>
      </c>
      <c r="K74" t="str" cm="1">
        <f t="array" ref="K74">VLOOKUP(OrderLines[[#This Row],[OrderID]:[OrderID]],Orders[],MATCH(OrderLines[[#Headers],[PaymentType]],Orders[#Headers],0),FALSE)</f>
        <v>UPI</v>
      </c>
      <c r="L74" t="str" cm="1">
        <f t="array" ref="L74">VLOOKUP(OrderLines[[#This Row],[OrderID]:[OrderID]],Orders[],MATCH(OrderLines[[#Headers],[Shift]],Orders[#Headers],0),FALSE)</f>
        <v>Breakfast</v>
      </c>
      <c r="M74" s="8">
        <f>(OrderLines[[#This Row],[Qty]]*OrderLines[[#This Row],[UnitPrice]])*(1-OrderLines[[#This Row],[DiscountPct]])</f>
        <v>216.5592</v>
      </c>
      <c r="N74" t="str">
        <f>IF(AND(COUNTIFS(OrderLines[OrderID],OrderLines[[#This Row],[OrderID]],OrderLines[Category],"Hot Meal"),COUNTIFS(OrderLines[OrderID],OrderLines[[#This Row],[OrderID]],OrderLines[Category],"Beverage")),"Combo","Single")</f>
        <v>Combo</v>
      </c>
      <c r="O74" s="8" t="str" cm="1">
        <f t="array" ref="O74">IF(SUMPRODUCT(OrderLines[UnitPrice],OrderLines[Qty],OrderLines[DiscountPct],--(OrderLines[OrderID] = OrderLines[[#This Row],[OrderID]]))&gt;40,"High Discount","Ok")</f>
        <v>High Discount</v>
      </c>
      <c r="P74">
        <f>OrderLines[[#This Row],[UnitCost]]*OrderLines[[#This Row],[Qty]]</f>
        <v>112.08</v>
      </c>
      <c r="Q74" s="8">
        <f>OrderLines[[#This Row],[LineNetAmount]]-OrderLines[[#This Row],[Food Cost]]</f>
        <v>104.47920000000001</v>
      </c>
    </row>
    <row r="75" spans="1:17" x14ac:dyDescent="0.3">
      <c r="A75" t="s">
        <v>62</v>
      </c>
      <c r="B75" t="s">
        <v>408</v>
      </c>
      <c r="C75">
        <v>2</v>
      </c>
      <c r="D75" cm="1">
        <f t="array" ref="D75">VLOOKUP(OrderLines[[#This Row],[SKU]:[SKU]],Menu[],MATCH(OrderLines[[#Headers],[UnitPrice]],Menu[#Headers],0),FALSE)</f>
        <v>70.540000000000006</v>
      </c>
      <c r="E75" cm="1">
        <f t="array" ref="E75">VLOOKUP(OrderLines[[#This Row],[SKU]:[SKU]],Menu[],MATCH(OrderLines[[#Headers],[UnitCost]],Menu[#Headers],0),FALSE)</f>
        <v>35.81</v>
      </c>
      <c r="F75" t="str" cm="1">
        <f t="array" ref="F75">VLOOKUP(OrderLines[[#This Row],[SKU]:[SKU]],Menu[],MATCH(OrderLines[[#Headers],[Category]],Menu[#Headers],0),FALSE)</f>
        <v>Snack</v>
      </c>
      <c r="G75" t="str" cm="1">
        <f t="array" ref="G75">_xlfn.TEXTJOIN("+",TRUE,_xlfn._xlws.SORT(_xlfn.UNIQUE(_xlfn._xlws.FILTER(OrderLines[Category],OrderLines[OrderID]=OrderLines[[#This Row],[OrderID]]))))</f>
        <v>Beverage+Hot Meal+Snack</v>
      </c>
      <c r="H75" s="2" cm="1">
        <f t="array" ref="H75">INT(VLOOKUP(OrderLines[[#This Row],[OrderID]:[OrderID]],Orders[],MATCH(OrderLines[[#Headers],[OrderDateTime]],Orders[#Headers],0),FALSE))</f>
        <v>45854</v>
      </c>
      <c r="I75" t="str" cm="1">
        <f t="array" ref="I75">VLOOKUP(OrderLines[[#This Row],[OrderID]:[OrderID]],Orders[],MATCH(OrderLines[[#Headers],[Branch]],Orders[#Headers],0),FALSE)</f>
        <v>Plant 2 Canteen</v>
      </c>
      <c r="J75" cm="1">
        <f t="array" ref="J75">VLOOKUP(OrderLines[[#This Row],[OrderID]:[OrderID]],Orders[],MATCH(OrderLines[[#Headers],[DiscountPct]],Orders[#Headers],0),FALSE)</f>
        <v>0.12</v>
      </c>
      <c r="K75" t="str" cm="1">
        <f t="array" ref="K75">VLOOKUP(OrderLines[[#This Row],[OrderID]:[OrderID]],Orders[],MATCH(OrderLines[[#Headers],[PaymentType]],Orders[#Headers],0),FALSE)</f>
        <v>UPI</v>
      </c>
      <c r="L75" t="str" cm="1">
        <f t="array" ref="L75">VLOOKUP(OrderLines[[#This Row],[OrderID]:[OrderID]],Orders[],MATCH(OrderLines[[#Headers],[Shift]],Orders[#Headers],0),FALSE)</f>
        <v>Breakfast</v>
      </c>
      <c r="M75" s="8">
        <f>(OrderLines[[#This Row],[Qty]]*OrderLines[[#This Row],[UnitPrice]])*(1-OrderLines[[#This Row],[DiscountPct]])</f>
        <v>124.1504</v>
      </c>
      <c r="N75" t="str">
        <f>IF(AND(COUNTIFS(OrderLines[OrderID],OrderLines[[#This Row],[OrderID]],OrderLines[Category],"Hot Meal"),COUNTIFS(OrderLines[OrderID],OrderLines[[#This Row],[OrderID]],OrderLines[Category],"Beverage")),"Combo","Single")</f>
        <v>Combo</v>
      </c>
      <c r="O75" s="8" t="str" cm="1">
        <f t="array" ref="O75">IF(SUMPRODUCT(OrderLines[UnitPrice],OrderLines[Qty],OrderLines[DiscountPct],--(OrderLines[OrderID] = OrderLines[[#This Row],[OrderID]]))&gt;40,"High Discount","Ok")</f>
        <v>High Discount</v>
      </c>
      <c r="P75">
        <f>OrderLines[[#This Row],[UnitCost]]*OrderLines[[#This Row],[Qty]]</f>
        <v>71.62</v>
      </c>
      <c r="Q75" s="8">
        <f>OrderLines[[#This Row],[LineNetAmount]]-OrderLines[[#This Row],[Food Cost]]</f>
        <v>52.5304</v>
      </c>
    </row>
    <row r="76" spans="1:17" x14ac:dyDescent="0.3">
      <c r="A76" t="s">
        <v>63</v>
      </c>
      <c r="B76" t="s">
        <v>413</v>
      </c>
      <c r="C76">
        <v>1</v>
      </c>
      <c r="D76" cm="1">
        <f t="array" ref="D76">VLOOKUP(OrderLines[[#This Row],[SKU]:[SKU]],Menu[],MATCH(OrderLines[[#Headers],[UnitPrice]],Menu[#Headers],0),FALSE)</f>
        <v>54.2</v>
      </c>
      <c r="E76" cm="1">
        <f t="array" ref="E76">VLOOKUP(OrderLines[[#This Row],[SKU]:[SKU]],Menu[],MATCH(OrderLines[[#Headers],[UnitCost]],Menu[#Headers],0),FALSE)</f>
        <v>21.95</v>
      </c>
      <c r="F76" t="str" cm="1">
        <f t="array" ref="F76">VLOOKUP(OrderLines[[#This Row],[SKU]:[SKU]],Menu[],MATCH(OrderLines[[#Headers],[Category]],Menu[#Headers],0),FALSE)</f>
        <v>Dessert</v>
      </c>
      <c r="G76" t="str" cm="1">
        <f t="array" ref="G76">_xlfn.TEXTJOIN("+",TRUE,_xlfn._xlws.SORT(_xlfn.UNIQUE(_xlfn._xlws.FILTER(OrderLines[Category],OrderLines[OrderID]=OrderLines[[#This Row],[OrderID]]))))</f>
        <v>Dessert+Hot Meal</v>
      </c>
      <c r="H76" s="2" cm="1">
        <f t="array" ref="H76">INT(VLOOKUP(OrderLines[[#This Row],[OrderID]:[OrderID]],Orders[],MATCH(OrderLines[[#Headers],[OrderDateTime]],Orders[#Headers],0),FALSE))</f>
        <v>45872</v>
      </c>
      <c r="I76" t="str" cm="1">
        <f t="array" ref="I76">VLOOKUP(OrderLines[[#This Row],[OrderID]:[OrderID]],Orders[],MATCH(OrderLines[[#Headers],[Branch]],Orders[#Headers],0),FALSE)</f>
        <v>Plant 1 Canteen</v>
      </c>
      <c r="J76" cm="1">
        <f t="array" ref="J76">VLOOKUP(OrderLines[[#This Row],[OrderID]:[OrderID]],Orders[],MATCH(OrderLines[[#Headers],[DiscountPct]],Orders[#Headers],0),FALSE)</f>
        <v>0.06</v>
      </c>
      <c r="K76" t="str" cm="1">
        <f t="array" ref="K76">VLOOKUP(OrderLines[[#This Row],[OrderID]:[OrderID]],Orders[],MATCH(OrderLines[[#Headers],[PaymentType]],Orders[#Headers],0),FALSE)</f>
        <v>UPI</v>
      </c>
      <c r="L76" t="str" cm="1">
        <f t="array" ref="L76">VLOOKUP(OrderLines[[#This Row],[OrderID]:[OrderID]],Orders[],MATCH(OrderLines[[#Headers],[Shift]],Orders[#Headers],0),FALSE)</f>
        <v>Lunch</v>
      </c>
      <c r="M76" s="8">
        <f>(OrderLines[[#This Row],[Qty]]*OrderLines[[#This Row],[UnitPrice]])*(1-OrderLines[[#This Row],[DiscountPct]])</f>
        <v>50.948</v>
      </c>
      <c r="N76" t="str">
        <f>IF(AND(COUNTIFS(OrderLines[OrderID],OrderLines[[#This Row],[OrderID]],OrderLines[Category],"Hot Meal"),COUNTIFS(OrderLines[OrderID],OrderLines[[#This Row],[OrderID]],OrderLines[Category],"Beverage")),"Combo","Single")</f>
        <v>Single</v>
      </c>
      <c r="O76" s="8" t="str" cm="1">
        <f t="array" ref="O76">IF(SUMPRODUCT(OrderLines[UnitPrice],OrderLines[Qty],OrderLines[DiscountPct],--(OrderLines[OrderID] = OrderLines[[#This Row],[OrderID]]))&gt;40,"High Discount","Ok")</f>
        <v>Ok</v>
      </c>
      <c r="P76">
        <f>OrderLines[[#This Row],[UnitCost]]*OrderLines[[#This Row],[Qty]]</f>
        <v>21.95</v>
      </c>
      <c r="Q76" s="8">
        <f>OrderLines[[#This Row],[LineNetAmount]]-OrderLines[[#This Row],[Food Cost]]</f>
        <v>28.998000000000001</v>
      </c>
    </row>
    <row r="77" spans="1:17" x14ac:dyDescent="0.3">
      <c r="A77" t="s">
        <v>63</v>
      </c>
      <c r="B77" t="s">
        <v>417</v>
      </c>
      <c r="C77">
        <v>2</v>
      </c>
      <c r="D77" cm="1">
        <f t="array" ref="D77">VLOOKUP(OrderLines[[#This Row],[SKU]:[SKU]],Menu[],MATCH(OrderLines[[#Headers],[UnitPrice]],Menu[#Headers],0),FALSE)</f>
        <v>146.4</v>
      </c>
      <c r="E77" cm="1">
        <f t="array" ref="E77">VLOOKUP(OrderLines[[#This Row],[SKU]:[SKU]],Menu[],MATCH(OrderLines[[#Headers],[UnitCost]],Menu[#Headers],0),FALSE)</f>
        <v>80.92</v>
      </c>
      <c r="F77" t="str" cm="1">
        <f t="array" ref="F77">VLOOKUP(OrderLines[[#This Row],[SKU]:[SKU]],Menu[],MATCH(OrderLines[[#Headers],[Category]],Menu[#Headers],0),FALSE)</f>
        <v>Hot Meal</v>
      </c>
      <c r="G77" t="str" cm="1">
        <f t="array" ref="G77">_xlfn.TEXTJOIN("+",TRUE,_xlfn._xlws.SORT(_xlfn.UNIQUE(_xlfn._xlws.FILTER(OrderLines[Category],OrderLines[OrderID]=OrderLines[[#This Row],[OrderID]]))))</f>
        <v>Dessert+Hot Meal</v>
      </c>
      <c r="H77" s="2" cm="1">
        <f t="array" ref="H77">INT(VLOOKUP(OrderLines[[#This Row],[OrderID]:[OrderID]],Orders[],MATCH(OrderLines[[#Headers],[OrderDateTime]],Orders[#Headers],0),FALSE))</f>
        <v>45872</v>
      </c>
      <c r="I77" t="str" cm="1">
        <f t="array" ref="I77">VLOOKUP(OrderLines[[#This Row],[OrderID]:[OrderID]],Orders[],MATCH(OrderLines[[#Headers],[Branch]],Orders[#Headers],0),FALSE)</f>
        <v>Plant 1 Canteen</v>
      </c>
      <c r="J77" cm="1">
        <f t="array" ref="J77">VLOOKUP(OrderLines[[#This Row],[OrderID]:[OrderID]],Orders[],MATCH(OrderLines[[#Headers],[DiscountPct]],Orders[#Headers],0),FALSE)</f>
        <v>0.06</v>
      </c>
      <c r="K77" t="str" cm="1">
        <f t="array" ref="K77">VLOOKUP(OrderLines[[#This Row],[OrderID]:[OrderID]],Orders[],MATCH(OrderLines[[#Headers],[PaymentType]],Orders[#Headers],0),FALSE)</f>
        <v>UPI</v>
      </c>
      <c r="L77" t="str" cm="1">
        <f t="array" ref="L77">VLOOKUP(OrderLines[[#This Row],[OrderID]:[OrderID]],Orders[],MATCH(OrderLines[[#Headers],[Shift]],Orders[#Headers],0),FALSE)</f>
        <v>Lunch</v>
      </c>
      <c r="M77" s="8">
        <f>(OrderLines[[#This Row],[Qty]]*OrderLines[[#This Row],[UnitPrice]])*(1-OrderLines[[#This Row],[DiscountPct]])</f>
        <v>275.23199999999997</v>
      </c>
      <c r="N77" t="str">
        <f>IF(AND(COUNTIFS(OrderLines[OrderID],OrderLines[[#This Row],[OrderID]],OrderLines[Category],"Hot Meal"),COUNTIFS(OrderLines[OrderID],OrderLines[[#This Row],[OrderID]],OrderLines[Category],"Beverage")),"Combo","Single")</f>
        <v>Single</v>
      </c>
      <c r="O77" s="8" t="str" cm="1">
        <f t="array" ref="O77">IF(SUMPRODUCT(OrderLines[UnitPrice],OrderLines[Qty],OrderLines[DiscountPct],--(OrderLines[OrderID] = OrderLines[[#This Row],[OrderID]]))&gt;40,"High Discount","Ok")</f>
        <v>Ok</v>
      </c>
      <c r="P77">
        <f>OrderLines[[#This Row],[UnitCost]]*OrderLines[[#This Row],[Qty]]</f>
        <v>161.84</v>
      </c>
      <c r="Q77" s="8">
        <f>OrderLines[[#This Row],[LineNetAmount]]-OrderLines[[#This Row],[Food Cost]]</f>
        <v>113.39199999999997</v>
      </c>
    </row>
    <row r="78" spans="1:17" x14ac:dyDescent="0.3">
      <c r="A78" t="s">
        <v>63</v>
      </c>
      <c r="B78" t="s">
        <v>414</v>
      </c>
      <c r="C78">
        <v>1</v>
      </c>
      <c r="D78" cm="1">
        <f t="array" ref="D78">VLOOKUP(OrderLines[[#This Row],[SKU]:[SKU]],Menu[],MATCH(OrderLines[[#Headers],[UnitPrice]],Menu[#Headers],0),FALSE)</f>
        <v>116.8</v>
      </c>
      <c r="E78" cm="1">
        <f t="array" ref="E78">VLOOKUP(OrderLines[[#This Row],[SKU]:[SKU]],Menu[],MATCH(OrderLines[[#Headers],[UnitCost]],Menu[#Headers],0),FALSE)</f>
        <v>48.97</v>
      </c>
      <c r="F78" t="str" cm="1">
        <f t="array" ref="F78">VLOOKUP(OrderLines[[#This Row],[SKU]:[SKU]],Menu[],MATCH(OrderLines[[#Headers],[Category]],Menu[#Headers],0),FALSE)</f>
        <v>Dessert</v>
      </c>
      <c r="G78" t="str" cm="1">
        <f t="array" ref="G78">_xlfn.TEXTJOIN("+",TRUE,_xlfn._xlws.SORT(_xlfn.UNIQUE(_xlfn._xlws.FILTER(OrderLines[Category],OrderLines[OrderID]=OrderLines[[#This Row],[OrderID]]))))</f>
        <v>Dessert+Hot Meal</v>
      </c>
      <c r="H78" s="2" cm="1">
        <f t="array" ref="H78">INT(VLOOKUP(OrderLines[[#This Row],[OrderID]:[OrderID]],Orders[],MATCH(OrderLines[[#Headers],[OrderDateTime]],Orders[#Headers],0),FALSE))</f>
        <v>45872</v>
      </c>
      <c r="I78" t="str" cm="1">
        <f t="array" ref="I78">VLOOKUP(OrderLines[[#This Row],[OrderID]:[OrderID]],Orders[],MATCH(OrderLines[[#Headers],[Branch]],Orders[#Headers],0),FALSE)</f>
        <v>Plant 1 Canteen</v>
      </c>
      <c r="J78" cm="1">
        <f t="array" ref="J78">VLOOKUP(OrderLines[[#This Row],[OrderID]:[OrderID]],Orders[],MATCH(OrderLines[[#Headers],[DiscountPct]],Orders[#Headers],0),FALSE)</f>
        <v>0.06</v>
      </c>
      <c r="K78" t="str" cm="1">
        <f t="array" ref="K78">VLOOKUP(OrderLines[[#This Row],[OrderID]:[OrderID]],Orders[],MATCH(OrderLines[[#Headers],[PaymentType]],Orders[#Headers],0),FALSE)</f>
        <v>UPI</v>
      </c>
      <c r="L78" t="str" cm="1">
        <f t="array" ref="L78">VLOOKUP(OrderLines[[#This Row],[OrderID]:[OrderID]],Orders[],MATCH(OrderLines[[#Headers],[Shift]],Orders[#Headers],0),FALSE)</f>
        <v>Lunch</v>
      </c>
      <c r="M78" s="8">
        <f>(OrderLines[[#This Row],[Qty]]*OrderLines[[#This Row],[UnitPrice]])*(1-OrderLines[[#This Row],[DiscountPct]])</f>
        <v>109.79199999999999</v>
      </c>
      <c r="N78" t="str">
        <f>IF(AND(COUNTIFS(OrderLines[OrderID],OrderLines[[#This Row],[OrderID]],OrderLines[Category],"Hot Meal"),COUNTIFS(OrderLines[OrderID],OrderLines[[#This Row],[OrderID]],OrderLines[Category],"Beverage")),"Combo","Single")</f>
        <v>Single</v>
      </c>
      <c r="O78" s="8" t="str" cm="1">
        <f t="array" ref="O78">IF(SUMPRODUCT(OrderLines[UnitPrice],OrderLines[Qty],OrderLines[DiscountPct],--(OrderLines[OrderID] = OrderLines[[#This Row],[OrderID]]))&gt;40,"High Discount","Ok")</f>
        <v>Ok</v>
      </c>
      <c r="P78">
        <f>OrderLines[[#This Row],[UnitCost]]*OrderLines[[#This Row],[Qty]]</f>
        <v>48.97</v>
      </c>
      <c r="Q78" s="8">
        <f>OrderLines[[#This Row],[LineNetAmount]]-OrderLines[[#This Row],[Food Cost]]</f>
        <v>60.821999999999989</v>
      </c>
    </row>
    <row r="79" spans="1:17" x14ac:dyDescent="0.3">
      <c r="A79" t="s">
        <v>65</v>
      </c>
      <c r="B79" t="s">
        <v>413</v>
      </c>
      <c r="C79">
        <v>1</v>
      </c>
      <c r="D79" cm="1">
        <f t="array" ref="D79">VLOOKUP(OrderLines[[#This Row],[SKU]:[SKU]],Menu[],MATCH(OrderLines[[#Headers],[UnitPrice]],Menu[#Headers],0),FALSE)</f>
        <v>54.2</v>
      </c>
      <c r="E79" cm="1">
        <f t="array" ref="E79">VLOOKUP(OrderLines[[#This Row],[SKU]:[SKU]],Menu[],MATCH(OrderLines[[#Headers],[UnitCost]],Menu[#Headers],0),FALSE)</f>
        <v>21.95</v>
      </c>
      <c r="F79" t="str" cm="1">
        <f t="array" ref="F79">VLOOKUP(OrderLines[[#This Row],[SKU]:[SKU]],Menu[],MATCH(OrderLines[[#Headers],[Category]],Menu[#Headers],0),FALSE)</f>
        <v>Dessert</v>
      </c>
      <c r="G79" t="str" cm="1">
        <f t="array" ref="G79">_xlfn.TEXTJOIN("+",TRUE,_xlfn._xlws.SORT(_xlfn.UNIQUE(_xlfn._xlws.FILTER(OrderLines[Category],OrderLines[OrderID]=OrderLines[[#This Row],[OrderID]]))))</f>
        <v>Beverage+Dessert+Hot Meal</v>
      </c>
      <c r="H79" s="2" cm="1">
        <f t="array" ref="H79">INT(VLOOKUP(OrderLines[[#This Row],[OrderID]:[OrderID]],Orders[],MATCH(OrderLines[[#Headers],[OrderDateTime]],Orders[#Headers],0),FALSE))</f>
        <v>45888</v>
      </c>
      <c r="I79" t="str" cm="1">
        <f t="array" ref="I79">VLOOKUP(OrderLines[[#This Row],[OrderID]:[OrderID]],Orders[],MATCH(OrderLines[[#Headers],[Branch]],Orders[#Headers],0),FALSE)</f>
        <v>Plant 2 Canteen</v>
      </c>
      <c r="J79" cm="1">
        <f t="array" ref="J79">VLOOKUP(OrderLines[[#This Row],[OrderID]:[OrderID]],Orders[],MATCH(OrderLines[[#Headers],[DiscountPct]],Orders[#Headers],0),FALSE)</f>
        <v>0.12</v>
      </c>
      <c r="K79" t="str" cm="1">
        <f t="array" ref="K79">VLOOKUP(OrderLines[[#This Row],[OrderID]:[OrderID]],Orders[],MATCH(OrderLines[[#Headers],[PaymentType]],Orders[#Headers],0),FALSE)</f>
        <v>Cash</v>
      </c>
      <c r="L79" t="str" cm="1">
        <f t="array" ref="L79">VLOOKUP(OrderLines[[#This Row],[OrderID]:[OrderID]],Orders[],MATCH(OrderLines[[#Headers],[Shift]],Orders[#Headers],0),FALSE)</f>
        <v>Breakfast</v>
      </c>
      <c r="M79" s="8">
        <f>(OrderLines[[#This Row],[Qty]]*OrderLines[[#This Row],[UnitPrice]])*(1-OrderLines[[#This Row],[DiscountPct]])</f>
        <v>47.696000000000005</v>
      </c>
      <c r="N79" t="str">
        <f>IF(AND(COUNTIFS(OrderLines[OrderID],OrderLines[[#This Row],[OrderID]],OrderLines[Category],"Hot Meal"),COUNTIFS(OrderLines[OrderID],OrderLines[[#This Row],[OrderID]],OrderLines[Category],"Beverage")),"Combo","Single")</f>
        <v>Combo</v>
      </c>
      <c r="O79" s="8" t="str" cm="1">
        <f t="array" ref="O79">IF(SUMPRODUCT(OrderLines[UnitPrice],OrderLines[Qty],OrderLines[DiscountPct],--(OrderLines[OrderID] = OrderLines[[#This Row],[OrderID]]))&gt;40,"High Discount","Ok")</f>
        <v>High Discount</v>
      </c>
      <c r="P79">
        <f>OrderLines[[#This Row],[UnitCost]]*OrderLines[[#This Row],[Qty]]</f>
        <v>21.95</v>
      </c>
      <c r="Q79" s="8">
        <f>OrderLines[[#This Row],[LineNetAmount]]-OrderLines[[#This Row],[Food Cost]]</f>
        <v>25.746000000000006</v>
      </c>
    </row>
    <row r="80" spans="1:17" x14ac:dyDescent="0.3">
      <c r="A80" t="s">
        <v>65</v>
      </c>
      <c r="B80" t="s">
        <v>414</v>
      </c>
      <c r="C80">
        <v>1</v>
      </c>
      <c r="D80" cm="1">
        <f t="array" ref="D80">VLOOKUP(OrderLines[[#This Row],[SKU]:[SKU]],Menu[],MATCH(OrderLines[[#Headers],[UnitPrice]],Menu[#Headers],0),FALSE)</f>
        <v>116.8</v>
      </c>
      <c r="E80" cm="1">
        <f t="array" ref="E80">VLOOKUP(OrderLines[[#This Row],[SKU]:[SKU]],Menu[],MATCH(OrderLines[[#Headers],[UnitCost]],Menu[#Headers],0),FALSE)</f>
        <v>48.97</v>
      </c>
      <c r="F80" t="str" cm="1">
        <f t="array" ref="F80">VLOOKUP(OrderLines[[#This Row],[SKU]:[SKU]],Menu[],MATCH(OrderLines[[#Headers],[Category]],Menu[#Headers],0),FALSE)</f>
        <v>Dessert</v>
      </c>
      <c r="G80" t="str" cm="1">
        <f t="array" ref="G80">_xlfn.TEXTJOIN("+",TRUE,_xlfn._xlws.SORT(_xlfn.UNIQUE(_xlfn._xlws.FILTER(OrderLines[Category],OrderLines[OrderID]=OrderLines[[#This Row],[OrderID]]))))</f>
        <v>Beverage+Dessert+Hot Meal</v>
      </c>
      <c r="H80" s="2" cm="1">
        <f t="array" ref="H80">INT(VLOOKUP(OrderLines[[#This Row],[OrderID]:[OrderID]],Orders[],MATCH(OrderLines[[#Headers],[OrderDateTime]],Orders[#Headers],0),FALSE))</f>
        <v>45888</v>
      </c>
      <c r="I80" t="str" cm="1">
        <f t="array" ref="I80">VLOOKUP(OrderLines[[#This Row],[OrderID]:[OrderID]],Orders[],MATCH(OrderLines[[#Headers],[Branch]],Orders[#Headers],0),FALSE)</f>
        <v>Plant 2 Canteen</v>
      </c>
      <c r="J80" cm="1">
        <f t="array" ref="J80">VLOOKUP(OrderLines[[#This Row],[OrderID]:[OrderID]],Orders[],MATCH(OrderLines[[#Headers],[DiscountPct]],Orders[#Headers],0),FALSE)</f>
        <v>0.12</v>
      </c>
      <c r="K80" t="str" cm="1">
        <f t="array" ref="K80">VLOOKUP(OrderLines[[#This Row],[OrderID]:[OrderID]],Orders[],MATCH(OrderLines[[#Headers],[PaymentType]],Orders[#Headers],0),FALSE)</f>
        <v>Cash</v>
      </c>
      <c r="L80" t="str" cm="1">
        <f t="array" ref="L80">VLOOKUP(OrderLines[[#This Row],[OrderID]:[OrderID]],Orders[],MATCH(OrderLines[[#Headers],[Shift]],Orders[#Headers],0),FALSE)</f>
        <v>Breakfast</v>
      </c>
      <c r="M80" s="8">
        <f>(OrderLines[[#This Row],[Qty]]*OrderLines[[#This Row],[UnitPrice]])*(1-OrderLines[[#This Row],[DiscountPct]])</f>
        <v>102.78399999999999</v>
      </c>
      <c r="N80" t="str">
        <f>IF(AND(COUNTIFS(OrderLines[OrderID],OrderLines[[#This Row],[OrderID]],OrderLines[Category],"Hot Meal"),COUNTIFS(OrderLines[OrderID],OrderLines[[#This Row],[OrderID]],OrderLines[Category],"Beverage")),"Combo","Single")</f>
        <v>Combo</v>
      </c>
      <c r="O80" s="8" t="str" cm="1">
        <f t="array" ref="O80">IF(SUMPRODUCT(OrderLines[UnitPrice],OrderLines[Qty],OrderLines[DiscountPct],--(OrderLines[OrderID] = OrderLines[[#This Row],[OrderID]]))&gt;40,"High Discount","Ok")</f>
        <v>High Discount</v>
      </c>
      <c r="P80">
        <f>OrderLines[[#This Row],[UnitCost]]*OrderLines[[#This Row],[Qty]]</f>
        <v>48.97</v>
      </c>
      <c r="Q80" s="8">
        <f>OrderLines[[#This Row],[LineNetAmount]]-OrderLines[[#This Row],[Food Cost]]</f>
        <v>53.813999999999993</v>
      </c>
    </row>
    <row r="81" spans="1:17" x14ac:dyDescent="0.3">
      <c r="A81" t="s">
        <v>65</v>
      </c>
      <c r="B81" t="s">
        <v>404</v>
      </c>
      <c r="C81">
        <v>2</v>
      </c>
      <c r="D81" cm="1">
        <f t="array" ref="D81">VLOOKUP(OrderLines[[#This Row],[SKU]:[SKU]],Menu[],MATCH(OrderLines[[#Headers],[UnitPrice]],Menu[#Headers],0),FALSE)</f>
        <v>32.979999999999997</v>
      </c>
      <c r="E81" cm="1">
        <f t="array" ref="E81">VLOOKUP(OrderLines[[#This Row],[SKU]:[SKU]],Menu[],MATCH(OrderLines[[#Headers],[UnitCost]],Menu[#Headers],0),FALSE)</f>
        <v>11.84</v>
      </c>
      <c r="F81" t="str" cm="1">
        <f t="array" ref="F81">VLOOKUP(OrderLines[[#This Row],[SKU]:[SKU]],Menu[],MATCH(OrderLines[[#Headers],[Category]],Menu[#Headers],0),FALSE)</f>
        <v>Beverage</v>
      </c>
      <c r="G81" t="str" cm="1">
        <f t="array" ref="G81">_xlfn.TEXTJOIN("+",TRUE,_xlfn._xlws.SORT(_xlfn.UNIQUE(_xlfn._xlws.FILTER(OrderLines[Category],OrderLines[OrderID]=OrderLines[[#This Row],[OrderID]]))))</f>
        <v>Beverage+Dessert+Hot Meal</v>
      </c>
      <c r="H81" s="2" cm="1">
        <f t="array" ref="H81">INT(VLOOKUP(OrderLines[[#This Row],[OrderID]:[OrderID]],Orders[],MATCH(OrderLines[[#Headers],[OrderDateTime]],Orders[#Headers],0),FALSE))</f>
        <v>45888</v>
      </c>
      <c r="I81" t="str" cm="1">
        <f t="array" ref="I81">VLOOKUP(OrderLines[[#This Row],[OrderID]:[OrderID]],Orders[],MATCH(OrderLines[[#Headers],[Branch]],Orders[#Headers],0),FALSE)</f>
        <v>Plant 2 Canteen</v>
      </c>
      <c r="J81" cm="1">
        <f t="array" ref="J81">VLOOKUP(OrderLines[[#This Row],[OrderID]:[OrderID]],Orders[],MATCH(OrderLines[[#Headers],[DiscountPct]],Orders[#Headers],0),FALSE)</f>
        <v>0.12</v>
      </c>
      <c r="K81" t="str" cm="1">
        <f t="array" ref="K81">VLOOKUP(OrderLines[[#This Row],[OrderID]:[OrderID]],Orders[],MATCH(OrderLines[[#Headers],[PaymentType]],Orders[#Headers],0),FALSE)</f>
        <v>Cash</v>
      </c>
      <c r="L81" t="str" cm="1">
        <f t="array" ref="L81">VLOOKUP(OrderLines[[#This Row],[OrderID]:[OrderID]],Orders[],MATCH(OrderLines[[#Headers],[Shift]],Orders[#Headers],0),FALSE)</f>
        <v>Breakfast</v>
      </c>
      <c r="M81" s="8">
        <f>(OrderLines[[#This Row],[Qty]]*OrderLines[[#This Row],[UnitPrice]])*(1-OrderLines[[#This Row],[DiscountPct]])</f>
        <v>58.044799999999995</v>
      </c>
      <c r="N81" t="str">
        <f>IF(AND(COUNTIFS(OrderLines[OrderID],OrderLines[[#This Row],[OrderID]],OrderLines[Category],"Hot Meal"),COUNTIFS(OrderLines[OrderID],OrderLines[[#This Row],[OrderID]],OrderLines[Category],"Beverage")),"Combo","Single")</f>
        <v>Combo</v>
      </c>
      <c r="O81" s="8" t="str" cm="1">
        <f t="array" ref="O81">IF(SUMPRODUCT(OrderLines[UnitPrice],OrderLines[Qty],OrderLines[DiscountPct],--(OrderLines[OrderID] = OrderLines[[#This Row],[OrderID]]))&gt;40,"High Discount","Ok")</f>
        <v>High Discount</v>
      </c>
      <c r="P81">
        <f>OrderLines[[#This Row],[UnitCost]]*OrderLines[[#This Row],[Qty]]</f>
        <v>23.68</v>
      </c>
      <c r="Q81" s="8">
        <f>OrderLines[[#This Row],[LineNetAmount]]-OrderLines[[#This Row],[Food Cost]]</f>
        <v>34.364799999999995</v>
      </c>
    </row>
    <row r="82" spans="1:17" x14ac:dyDescent="0.3">
      <c r="A82" t="s">
        <v>65</v>
      </c>
      <c r="B82" t="s">
        <v>417</v>
      </c>
      <c r="C82">
        <v>2</v>
      </c>
      <c r="D82" cm="1">
        <f t="array" ref="D82">VLOOKUP(OrderLines[[#This Row],[SKU]:[SKU]],Menu[],MATCH(OrderLines[[#Headers],[UnitPrice]],Menu[#Headers],0),FALSE)</f>
        <v>146.4</v>
      </c>
      <c r="E82" cm="1">
        <f t="array" ref="E82">VLOOKUP(OrderLines[[#This Row],[SKU]:[SKU]],Menu[],MATCH(OrderLines[[#Headers],[UnitCost]],Menu[#Headers],0),FALSE)</f>
        <v>80.92</v>
      </c>
      <c r="F82" t="str" cm="1">
        <f t="array" ref="F82">VLOOKUP(OrderLines[[#This Row],[SKU]:[SKU]],Menu[],MATCH(OrderLines[[#Headers],[Category]],Menu[#Headers],0),FALSE)</f>
        <v>Hot Meal</v>
      </c>
      <c r="G82" t="str" cm="1">
        <f t="array" ref="G82">_xlfn.TEXTJOIN("+",TRUE,_xlfn._xlws.SORT(_xlfn.UNIQUE(_xlfn._xlws.FILTER(OrderLines[Category],OrderLines[OrderID]=OrderLines[[#This Row],[OrderID]]))))</f>
        <v>Beverage+Dessert+Hot Meal</v>
      </c>
      <c r="H82" s="2" cm="1">
        <f t="array" ref="H82">INT(VLOOKUP(OrderLines[[#This Row],[OrderID]:[OrderID]],Orders[],MATCH(OrderLines[[#Headers],[OrderDateTime]],Orders[#Headers],0),FALSE))</f>
        <v>45888</v>
      </c>
      <c r="I82" t="str" cm="1">
        <f t="array" ref="I82">VLOOKUP(OrderLines[[#This Row],[OrderID]:[OrderID]],Orders[],MATCH(OrderLines[[#Headers],[Branch]],Orders[#Headers],0),FALSE)</f>
        <v>Plant 2 Canteen</v>
      </c>
      <c r="J82" cm="1">
        <f t="array" ref="J82">VLOOKUP(OrderLines[[#This Row],[OrderID]:[OrderID]],Orders[],MATCH(OrderLines[[#Headers],[DiscountPct]],Orders[#Headers],0),FALSE)</f>
        <v>0.12</v>
      </c>
      <c r="K82" t="str" cm="1">
        <f t="array" ref="K82">VLOOKUP(OrderLines[[#This Row],[OrderID]:[OrderID]],Orders[],MATCH(OrderLines[[#Headers],[PaymentType]],Orders[#Headers],0),FALSE)</f>
        <v>Cash</v>
      </c>
      <c r="L82" t="str" cm="1">
        <f t="array" ref="L82">VLOOKUP(OrderLines[[#This Row],[OrderID]:[OrderID]],Orders[],MATCH(OrderLines[[#Headers],[Shift]],Orders[#Headers],0),FALSE)</f>
        <v>Breakfast</v>
      </c>
      <c r="M82" s="8">
        <f>(OrderLines[[#This Row],[Qty]]*OrderLines[[#This Row],[UnitPrice]])*(1-OrderLines[[#This Row],[DiscountPct]])</f>
        <v>257.66399999999999</v>
      </c>
      <c r="N82" t="str">
        <f>IF(AND(COUNTIFS(OrderLines[OrderID],OrderLines[[#This Row],[OrderID]],OrderLines[Category],"Hot Meal"),COUNTIFS(OrderLines[OrderID],OrderLines[[#This Row],[OrderID]],OrderLines[Category],"Beverage")),"Combo","Single")</f>
        <v>Combo</v>
      </c>
      <c r="O82" s="8" t="str" cm="1">
        <f t="array" ref="O82">IF(SUMPRODUCT(OrderLines[UnitPrice],OrderLines[Qty],OrderLines[DiscountPct],--(OrderLines[OrderID] = OrderLines[[#This Row],[OrderID]]))&gt;40,"High Discount","Ok")</f>
        <v>High Discount</v>
      </c>
      <c r="P82">
        <f>OrderLines[[#This Row],[UnitCost]]*OrderLines[[#This Row],[Qty]]</f>
        <v>161.84</v>
      </c>
      <c r="Q82" s="8">
        <f>OrderLines[[#This Row],[LineNetAmount]]-OrderLines[[#This Row],[Food Cost]]</f>
        <v>95.823999999999984</v>
      </c>
    </row>
    <row r="83" spans="1:17" x14ac:dyDescent="0.3">
      <c r="A83" t="s">
        <v>66</v>
      </c>
      <c r="B83" t="s">
        <v>418</v>
      </c>
      <c r="C83">
        <v>1</v>
      </c>
      <c r="D83" cm="1">
        <f t="array" ref="D83">VLOOKUP(OrderLines[[#This Row],[SKU]:[SKU]],Menu[],MATCH(OrderLines[[#Headers],[UnitPrice]],Menu[#Headers],0),FALSE)</f>
        <v>39.950000000000003</v>
      </c>
      <c r="E83" cm="1">
        <f t="array" ref="E83">VLOOKUP(OrderLines[[#This Row],[SKU]:[SKU]],Menu[],MATCH(OrderLines[[#Headers],[UnitCost]],Menu[#Headers],0),FALSE)</f>
        <v>15.51</v>
      </c>
      <c r="F83" t="str" cm="1">
        <f t="array" ref="F83">VLOOKUP(OrderLines[[#This Row],[SKU]:[SKU]],Menu[],MATCH(OrderLines[[#Headers],[Category]],Menu[#Headers],0),FALSE)</f>
        <v>Snack</v>
      </c>
      <c r="G83" t="str" cm="1">
        <f t="array" ref="G83">_xlfn.TEXTJOIN("+",TRUE,_xlfn._xlws.SORT(_xlfn.UNIQUE(_xlfn._xlws.FILTER(OrderLines[Category],OrderLines[OrderID]=OrderLines[[#This Row],[OrderID]]))))</f>
        <v>Dessert+Snack</v>
      </c>
      <c r="H83" s="2" cm="1">
        <f t="array" ref="H83">INT(VLOOKUP(OrderLines[[#This Row],[OrderID]:[OrderID]],Orders[],MATCH(OrderLines[[#Headers],[OrderDateTime]],Orders[#Headers],0),FALSE))</f>
        <v>45880</v>
      </c>
      <c r="I83" t="str" cm="1">
        <f t="array" ref="I83">VLOOKUP(OrderLines[[#This Row],[OrderID]:[OrderID]],Orders[],MATCH(OrderLines[[#Headers],[Branch]],Orders[#Headers],0),FALSE)</f>
        <v>Plant 2 Canteen</v>
      </c>
      <c r="J83" cm="1">
        <f t="array" ref="J83">VLOOKUP(OrderLines[[#This Row],[OrderID]:[OrderID]],Orders[],MATCH(OrderLines[[#Headers],[DiscountPct]],Orders[#Headers],0),FALSE)</f>
        <v>0</v>
      </c>
      <c r="K83" t="str" cm="1">
        <f t="array" ref="K83">VLOOKUP(OrderLines[[#This Row],[OrderID]:[OrderID]],Orders[],MATCH(OrderLines[[#Headers],[PaymentType]],Orders[#Headers],0),FALSE)</f>
        <v>Cash</v>
      </c>
      <c r="L83" t="str" cm="1">
        <f t="array" ref="L83">VLOOKUP(OrderLines[[#This Row],[OrderID]:[OrderID]],Orders[],MATCH(OrderLines[[#Headers],[Shift]],Orders[#Headers],0),FALSE)</f>
        <v>Breakfast</v>
      </c>
      <c r="M83" s="8">
        <f>(OrderLines[[#This Row],[Qty]]*OrderLines[[#This Row],[UnitPrice]])*(1-OrderLines[[#This Row],[DiscountPct]])</f>
        <v>39.950000000000003</v>
      </c>
      <c r="N83" t="str">
        <f>IF(AND(COUNTIFS(OrderLines[OrderID],OrderLines[[#This Row],[OrderID]],OrderLines[Category],"Hot Meal"),COUNTIFS(OrderLines[OrderID],OrderLines[[#This Row],[OrderID]],OrderLines[Category],"Beverage")),"Combo","Single")</f>
        <v>Single</v>
      </c>
      <c r="O83" s="8" t="str" cm="1">
        <f t="array" ref="O83">IF(SUMPRODUCT(OrderLines[UnitPrice],OrderLines[Qty],OrderLines[DiscountPct],--(OrderLines[OrderID] = OrderLines[[#This Row],[OrderID]]))&gt;40,"High Discount","Ok")</f>
        <v>Ok</v>
      </c>
      <c r="P83">
        <f>OrderLines[[#This Row],[UnitCost]]*OrderLines[[#This Row],[Qty]]</f>
        <v>15.51</v>
      </c>
      <c r="Q83" s="8">
        <f>OrderLines[[#This Row],[LineNetAmount]]-OrderLines[[#This Row],[Food Cost]]</f>
        <v>24.440000000000005</v>
      </c>
    </row>
    <row r="84" spans="1:17" x14ac:dyDescent="0.3">
      <c r="A84" t="s">
        <v>66</v>
      </c>
      <c r="B84" t="s">
        <v>414</v>
      </c>
      <c r="C84">
        <v>3</v>
      </c>
      <c r="D84" cm="1">
        <f t="array" ref="D84">VLOOKUP(OrderLines[[#This Row],[SKU]:[SKU]],Menu[],MATCH(OrderLines[[#Headers],[UnitPrice]],Menu[#Headers],0),FALSE)</f>
        <v>116.8</v>
      </c>
      <c r="E84" cm="1">
        <f t="array" ref="E84">VLOOKUP(OrderLines[[#This Row],[SKU]:[SKU]],Menu[],MATCH(OrderLines[[#Headers],[UnitCost]],Menu[#Headers],0),FALSE)</f>
        <v>48.97</v>
      </c>
      <c r="F84" t="str" cm="1">
        <f t="array" ref="F84">VLOOKUP(OrderLines[[#This Row],[SKU]:[SKU]],Menu[],MATCH(OrderLines[[#Headers],[Category]],Menu[#Headers],0),FALSE)</f>
        <v>Dessert</v>
      </c>
      <c r="G84" t="str" cm="1">
        <f t="array" ref="G84">_xlfn.TEXTJOIN("+",TRUE,_xlfn._xlws.SORT(_xlfn.UNIQUE(_xlfn._xlws.FILTER(OrderLines[Category],OrderLines[OrderID]=OrderLines[[#This Row],[OrderID]]))))</f>
        <v>Dessert+Snack</v>
      </c>
      <c r="H84" s="2" cm="1">
        <f t="array" ref="H84">INT(VLOOKUP(OrderLines[[#This Row],[OrderID]:[OrderID]],Orders[],MATCH(OrderLines[[#Headers],[OrderDateTime]],Orders[#Headers],0),FALSE))</f>
        <v>45880</v>
      </c>
      <c r="I84" t="str" cm="1">
        <f t="array" ref="I84">VLOOKUP(OrderLines[[#This Row],[OrderID]:[OrderID]],Orders[],MATCH(OrderLines[[#Headers],[Branch]],Orders[#Headers],0),FALSE)</f>
        <v>Plant 2 Canteen</v>
      </c>
      <c r="J84" cm="1">
        <f t="array" ref="J84">VLOOKUP(OrderLines[[#This Row],[OrderID]:[OrderID]],Orders[],MATCH(OrderLines[[#Headers],[DiscountPct]],Orders[#Headers],0),FALSE)</f>
        <v>0</v>
      </c>
      <c r="K84" t="str" cm="1">
        <f t="array" ref="K84">VLOOKUP(OrderLines[[#This Row],[OrderID]:[OrderID]],Orders[],MATCH(OrderLines[[#Headers],[PaymentType]],Orders[#Headers],0),FALSE)</f>
        <v>Cash</v>
      </c>
      <c r="L84" t="str" cm="1">
        <f t="array" ref="L84">VLOOKUP(OrderLines[[#This Row],[OrderID]:[OrderID]],Orders[],MATCH(OrderLines[[#Headers],[Shift]],Orders[#Headers],0),FALSE)</f>
        <v>Breakfast</v>
      </c>
      <c r="M84" s="8">
        <f>(OrderLines[[#This Row],[Qty]]*OrderLines[[#This Row],[UnitPrice]])*(1-OrderLines[[#This Row],[DiscountPct]])</f>
        <v>350.4</v>
      </c>
      <c r="N84" t="str">
        <f>IF(AND(COUNTIFS(OrderLines[OrderID],OrderLines[[#This Row],[OrderID]],OrderLines[Category],"Hot Meal"),COUNTIFS(OrderLines[OrderID],OrderLines[[#This Row],[OrderID]],OrderLines[Category],"Beverage")),"Combo","Single")</f>
        <v>Single</v>
      </c>
      <c r="O84" s="8" t="str" cm="1">
        <f t="array" ref="O84">IF(SUMPRODUCT(OrderLines[UnitPrice],OrderLines[Qty],OrderLines[DiscountPct],--(OrderLines[OrderID] = OrderLines[[#This Row],[OrderID]]))&gt;40,"High Discount","Ok")</f>
        <v>Ok</v>
      </c>
      <c r="P84">
        <f>OrderLines[[#This Row],[UnitCost]]*OrderLines[[#This Row],[Qty]]</f>
        <v>146.91</v>
      </c>
      <c r="Q84" s="8">
        <f>OrderLines[[#This Row],[LineNetAmount]]-OrderLines[[#This Row],[Food Cost]]</f>
        <v>203.48999999999998</v>
      </c>
    </row>
    <row r="85" spans="1:17" x14ac:dyDescent="0.3">
      <c r="A85" t="s">
        <v>67</v>
      </c>
      <c r="B85" t="s">
        <v>404</v>
      </c>
      <c r="C85">
        <v>1</v>
      </c>
      <c r="D85" cm="1">
        <f t="array" ref="D85">VLOOKUP(OrderLines[[#This Row],[SKU]:[SKU]],Menu[],MATCH(OrderLines[[#Headers],[UnitPrice]],Menu[#Headers],0),FALSE)</f>
        <v>32.979999999999997</v>
      </c>
      <c r="E85" cm="1">
        <f t="array" ref="E85">VLOOKUP(OrderLines[[#This Row],[SKU]:[SKU]],Menu[],MATCH(OrderLines[[#Headers],[UnitCost]],Menu[#Headers],0),FALSE)</f>
        <v>11.84</v>
      </c>
      <c r="F85" t="str" cm="1">
        <f t="array" ref="F85">VLOOKUP(OrderLines[[#This Row],[SKU]:[SKU]],Menu[],MATCH(OrderLines[[#Headers],[Category]],Menu[#Headers],0),FALSE)</f>
        <v>Beverage</v>
      </c>
      <c r="G85" t="str" cm="1">
        <f t="array" ref="G85">_xlfn.TEXTJOIN("+",TRUE,_xlfn._xlws.SORT(_xlfn.UNIQUE(_xlfn._xlws.FILTER(OrderLines[Category],OrderLines[OrderID]=OrderLines[[#This Row],[OrderID]]))))</f>
        <v>Beverage+Snack</v>
      </c>
      <c r="H85" s="2" cm="1">
        <f t="array" ref="H85">INT(VLOOKUP(OrderLines[[#This Row],[OrderID]:[OrderID]],Orders[],MATCH(OrderLines[[#Headers],[OrderDateTime]],Orders[#Headers],0),FALSE))</f>
        <v>45851</v>
      </c>
      <c r="I85" t="str" cm="1">
        <f t="array" ref="I85">VLOOKUP(OrderLines[[#This Row],[OrderID]:[OrderID]],Orders[],MATCH(OrderLines[[#Headers],[Branch]],Orders[#Headers],0),FALSE)</f>
        <v>Head Office Café</v>
      </c>
      <c r="J85" cm="1">
        <f t="array" ref="J85">VLOOKUP(OrderLines[[#This Row],[OrderID]:[OrderID]],Orders[],MATCH(OrderLines[[#Headers],[DiscountPct]],Orders[#Headers],0),FALSE)</f>
        <v>0.09</v>
      </c>
      <c r="K85" t="str" cm="1">
        <f t="array" ref="K85">VLOOKUP(OrderLines[[#This Row],[OrderID]:[OrderID]],Orders[],MATCH(OrderLines[[#Headers],[PaymentType]],Orders[#Headers],0),FALSE)</f>
        <v>Cash</v>
      </c>
      <c r="L85" t="str" cm="1">
        <f t="array" ref="L85">VLOOKUP(OrderLines[[#This Row],[OrderID]:[OrderID]],Orders[],MATCH(OrderLines[[#Headers],[Shift]],Orders[#Headers],0),FALSE)</f>
        <v>Dinner</v>
      </c>
      <c r="M85" s="8">
        <f>(OrderLines[[#This Row],[Qty]]*OrderLines[[#This Row],[UnitPrice]])*(1-OrderLines[[#This Row],[DiscountPct]])</f>
        <v>30.011799999999997</v>
      </c>
      <c r="N85" t="str">
        <f>IF(AND(COUNTIFS(OrderLines[OrderID],OrderLines[[#This Row],[OrderID]],OrderLines[Category],"Hot Meal"),COUNTIFS(OrderLines[OrderID],OrderLines[[#This Row],[OrderID]],OrderLines[Category],"Beverage")),"Combo","Single")</f>
        <v>Single</v>
      </c>
      <c r="O85" s="8" t="str" cm="1">
        <f t="array" ref="O85">IF(SUMPRODUCT(OrderLines[UnitPrice],OrderLines[Qty],OrderLines[DiscountPct],--(OrderLines[OrderID] = OrderLines[[#This Row],[OrderID]]))&gt;40,"High Discount","Ok")</f>
        <v>Ok</v>
      </c>
      <c r="P85">
        <f>OrderLines[[#This Row],[UnitCost]]*OrderLines[[#This Row],[Qty]]</f>
        <v>11.84</v>
      </c>
      <c r="Q85" s="8">
        <f>OrderLines[[#This Row],[LineNetAmount]]-OrderLines[[#This Row],[Food Cost]]</f>
        <v>18.171799999999998</v>
      </c>
    </row>
    <row r="86" spans="1:17" x14ac:dyDescent="0.3">
      <c r="A86" t="s">
        <v>67</v>
      </c>
      <c r="B86" t="s">
        <v>418</v>
      </c>
      <c r="C86">
        <v>1</v>
      </c>
      <c r="D86" cm="1">
        <f t="array" ref="D86">VLOOKUP(OrderLines[[#This Row],[SKU]:[SKU]],Menu[],MATCH(OrderLines[[#Headers],[UnitPrice]],Menu[#Headers],0),FALSE)</f>
        <v>39.950000000000003</v>
      </c>
      <c r="E86" cm="1">
        <f t="array" ref="E86">VLOOKUP(OrderLines[[#This Row],[SKU]:[SKU]],Menu[],MATCH(OrderLines[[#Headers],[UnitCost]],Menu[#Headers],0),FALSE)</f>
        <v>15.51</v>
      </c>
      <c r="F86" t="str" cm="1">
        <f t="array" ref="F86">VLOOKUP(OrderLines[[#This Row],[SKU]:[SKU]],Menu[],MATCH(OrderLines[[#Headers],[Category]],Menu[#Headers],0),FALSE)</f>
        <v>Snack</v>
      </c>
      <c r="G86" t="str" cm="1">
        <f t="array" ref="G86">_xlfn.TEXTJOIN("+",TRUE,_xlfn._xlws.SORT(_xlfn.UNIQUE(_xlfn._xlws.FILTER(OrderLines[Category],OrderLines[OrderID]=OrderLines[[#This Row],[OrderID]]))))</f>
        <v>Beverage+Snack</v>
      </c>
      <c r="H86" s="2" cm="1">
        <f t="array" ref="H86">INT(VLOOKUP(OrderLines[[#This Row],[OrderID]:[OrderID]],Orders[],MATCH(OrderLines[[#Headers],[OrderDateTime]],Orders[#Headers],0),FALSE))</f>
        <v>45851</v>
      </c>
      <c r="I86" t="str" cm="1">
        <f t="array" ref="I86">VLOOKUP(OrderLines[[#This Row],[OrderID]:[OrderID]],Orders[],MATCH(OrderLines[[#Headers],[Branch]],Orders[#Headers],0),FALSE)</f>
        <v>Head Office Café</v>
      </c>
      <c r="J86" cm="1">
        <f t="array" ref="J86">VLOOKUP(OrderLines[[#This Row],[OrderID]:[OrderID]],Orders[],MATCH(OrderLines[[#Headers],[DiscountPct]],Orders[#Headers],0),FALSE)</f>
        <v>0.09</v>
      </c>
      <c r="K86" t="str" cm="1">
        <f t="array" ref="K86">VLOOKUP(OrderLines[[#This Row],[OrderID]:[OrderID]],Orders[],MATCH(OrderLines[[#Headers],[PaymentType]],Orders[#Headers],0),FALSE)</f>
        <v>Cash</v>
      </c>
      <c r="L86" t="str" cm="1">
        <f t="array" ref="L86">VLOOKUP(OrderLines[[#This Row],[OrderID]:[OrderID]],Orders[],MATCH(OrderLines[[#Headers],[Shift]],Orders[#Headers],0),FALSE)</f>
        <v>Dinner</v>
      </c>
      <c r="M86" s="8">
        <f>(OrderLines[[#This Row],[Qty]]*OrderLines[[#This Row],[UnitPrice]])*(1-OrderLines[[#This Row],[DiscountPct]])</f>
        <v>36.354500000000002</v>
      </c>
      <c r="N86" t="str">
        <f>IF(AND(COUNTIFS(OrderLines[OrderID],OrderLines[[#This Row],[OrderID]],OrderLines[Category],"Hot Meal"),COUNTIFS(OrderLines[OrderID],OrderLines[[#This Row],[OrderID]],OrderLines[Category],"Beverage")),"Combo","Single")</f>
        <v>Single</v>
      </c>
      <c r="O86" s="8" t="str" cm="1">
        <f t="array" ref="O86">IF(SUMPRODUCT(OrderLines[UnitPrice],OrderLines[Qty],OrderLines[DiscountPct],--(OrderLines[OrderID] = OrderLines[[#This Row],[OrderID]]))&gt;40,"High Discount","Ok")</f>
        <v>Ok</v>
      </c>
      <c r="P86">
        <f>OrderLines[[#This Row],[UnitCost]]*OrderLines[[#This Row],[Qty]]</f>
        <v>15.51</v>
      </c>
      <c r="Q86" s="8">
        <f>OrderLines[[#This Row],[LineNetAmount]]-OrderLines[[#This Row],[Food Cost]]</f>
        <v>20.844500000000004</v>
      </c>
    </row>
    <row r="87" spans="1:17" x14ac:dyDescent="0.3">
      <c r="A87" t="s">
        <v>67</v>
      </c>
      <c r="B87" t="s">
        <v>411</v>
      </c>
      <c r="C87">
        <v>1</v>
      </c>
      <c r="D87" cm="1">
        <f t="array" ref="D87">VLOOKUP(OrderLines[[#This Row],[SKU]:[SKU]],Menu[],MATCH(OrderLines[[#Headers],[UnitPrice]],Menu[#Headers],0),FALSE)</f>
        <v>22.2</v>
      </c>
      <c r="E87" cm="1">
        <f t="array" ref="E87">VLOOKUP(OrderLines[[#This Row],[SKU]:[SKU]],Menu[],MATCH(OrderLines[[#Headers],[UnitCost]],Menu[#Headers],0),FALSE)</f>
        <v>9.3800000000000008</v>
      </c>
      <c r="F87" t="str" cm="1">
        <f t="array" ref="F87">VLOOKUP(OrderLines[[#This Row],[SKU]:[SKU]],Menu[],MATCH(OrderLines[[#Headers],[Category]],Menu[#Headers],0),FALSE)</f>
        <v>Beverage</v>
      </c>
      <c r="G87" t="str" cm="1">
        <f t="array" ref="G87">_xlfn.TEXTJOIN("+",TRUE,_xlfn._xlws.SORT(_xlfn.UNIQUE(_xlfn._xlws.FILTER(OrderLines[Category],OrderLines[OrderID]=OrderLines[[#This Row],[OrderID]]))))</f>
        <v>Beverage+Snack</v>
      </c>
      <c r="H87" s="2" cm="1">
        <f t="array" ref="H87">INT(VLOOKUP(OrderLines[[#This Row],[OrderID]:[OrderID]],Orders[],MATCH(OrderLines[[#Headers],[OrderDateTime]],Orders[#Headers],0),FALSE))</f>
        <v>45851</v>
      </c>
      <c r="I87" t="str" cm="1">
        <f t="array" ref="I87">VLOOKUP(OrderLines[[#This Row],[OrderID]:[OrderID]],Orders[],MATCH(OrderLines[[#Headers],[Branch]],Orders[#Headers],0),FALSE)</f>
        <v>Head Office Café</v>
      </c>
      <c r="J87" cm="1">
        <f t="array" ref="J87">VLOOKUP(OrderLines[[#This Row],[OrderID]:[OrderID]],Orders[],MATCH(OrderLines[[#Headers],[DiscountPct]],Orders[#Headers],0),FALSE)</f>
        <v>0.09</v>
      </c>
      <c r="K87" t="str" cm="1">
        <f t="array" ref="K87">VLOOKUP(OrderLines[[#This Row],[OrderID]:[OrderID]],Orders[],MATCH(OrderLines[[#Headers],[PaymentType]],Orders[#Headers],0),FALSE)</f>
        <v>Cash</v>
      </c>
      <c r="L87" t="str" cm="1">
        <f t="array" ref="L87">VLOOKUP(OrderLines[[#This Row],[OrderID]:[OrderID]],Orders[],MATCH(OrderLines[[#Headers],[Shift]],Orders[#Headers],0),FALSE)</f>
        <v>Dinner</v>
      </c>
      <c r="M87" s="8">
        <f>(OrderLines[[#This Row],[Qty]]*OrderLines[[#This Row],[UnitPrice]])*(1-OrderLines[[#This Row],[DiscountPct]])</f>
        <v>20.202000000000002</v>
      </c>
      <c r="N87" t="str">
        <f>IF(AND(COUNTIFS(OrderLines[OrderID],OrderLines[[#This Row],[OrderID]],OrderLines[Category],"Hot Meal"),COUNTIFS(OrderLines[OrderID],OrderLines[[#This Row],[OrderID]],OrderLines[Category],"Beverage")),"Combo","Single")</f>
        <v>Single</v>
      </c>
      <c r="O87" s="8" t="str" cm="1">
        <f t="array" ref="O87">IF(SUMPRODUCT(OrderLines[UnitPrice],OrderLines[Qty],OrderLines[DiscountPct],--(OrderLines[OrderID] = OrderLines[[#This Row],[OrderID]]))&gt;40,"High Discount","Ok")</f>
        <v>Ok</v>
      </c>
      <c r="P87">
        <f>OrderLines[[#This Row],[UnitCost]]*OrderLines[[#This Row],[Qty]]</f>
        <v>9.3800000000000008</v>
      </c>
      <c r="Q87" s="8">
        <f>OrderLines[[#This Row],[LineNetAmount]]-OrderLines[[#This Row],[Food Cost]]</f>
        <v>10.822000000000001</v>
      </c>
    </row>
    <row r="88" spans="1:17" x14ac:dyDescent="0.3">
      <c r="A88" t="s">
        <v>68</v>
      </c>
      <c r="B88" t="s">
        <v>414</v>
      </c>
      <c r="C88">
        <v>1</v>
      </c>
      <c r="D88" cm="1">
        <f t="array" ref="D88">VLOOKUP(OrderLines[[#This Row],[SKU]:[SKU]],Menu[],MATCH(OrderLines[[#Headers],[UnitPrice]],Menu[#Headers],0),FALSE)</f>
        <v>116.8</v>
      </c>
      <c r="E88" cm="1">
        <f t="array" ref="E88">VLOOKUP(OrderLines[[#This Row],[SKU]:[SKU]],Menu[],MATCH(OrderLines[[#Headers],[UnitCost]],Menu[#Headers],0),FALSE)</f>
        <v>48.97</v>
      </c>
      <c r="F88" t="str" cm="1">
        <f t="array" ref="F88">VLOOKUP(OrderLines[[#This Row],[SKU]:[SKU]],Menu[],MATCH(OrderLines[[#Headers],[Category]],Menu[#Headers],0),FALSE)</f>
        <v>Dessert</v>
      </c>
      <c r="G88" t="str" cm="1">
        <f t="array" ref="G88">_xlfn.TEXTJOIN("+",TRUE,_xlfn._xlws.SORT(_xlfn.UNIQUE(_xlfn._xlws.FILTER(OrderLines[Category],OrderLines[OrderID]=OrderLines[[#This Row],[OrderID]]))))</f>
        <v>Beverage+Dessert+Hot Meal</v>
      </c>
      <c r="H88" s="2" cm="1">
        <f t="array" ref="H88">INT(VLOOKUP(OrderLines[[#This Row],[OrderID]:[OrderID]],Orders[],MATCH(OrderLines[[#Headers],[OrderDateTime]],Orders[#Headers],0),FALSE))</f>
        <v>45892</v>
      </c>
      <c r="I88" t="str" cm="1">
        <f t="array" ref="I88">VLOOKUP(OrderLines[[#This Row],[OrderID]:[OrderID]],Orders[],MATCH(OrderLines[[#Headers],[Branch]],Orders[#Headers],0),FALSE)</f>
        <v>Head Office Café</v>
      </c>
      <c r="J88" cm="1">
        <f t="array" ref="J88">VLOOKUP(OrderLines[[#This Row],[OrderID]:[OrderID]],Orders[],MATCH(OrderLines[[#Headers],[DiscountPct]],Orders[#Headers],0),FALSE)</f>
        <v>0.06</v>
      </c>
      <c r="K88" t="str" cm="1">
        <f t="array" ref="K88">VLOOKUP(OrderLines[[#This Row],[OrderID]:[OrderID]],Orders[],MATCH(OrderLines[[#Headers],[PaymentType]],Orders[#Headers],0),FALSE)</f>
        <v>UPI</v>
      </c>
      <c r="L88" t="str" cm="1">
        <f t="array" ref="L88">VLOOKUP(OrderLines[[#This Row],[OrderID]:[OrderID]],Orders[],MATCH(OrderLines[[#Headers],[Shift]],Orders[#Headers],0),FALSE)</f>
        <v>Dinner</v>
      </c>
      <c r="M88" s="8">
        <f>(OrderLines[[#This Row],[Qty]]*OrderLines[[#This Row],[UnitPrice]])*(1-OrderLines[[#This Row],[DiscountPct]])</f>
        <v>109.79199999999999</v>
      </c>
      <c r="N88" t="str">
        <f>IF(AND(COUNTIFS(OrderLines[OrderID],OrderLines[[#This Row],[OrderID]],OrderLines[Category],"Hot Meal"),COUNTIFS(OrderLines[OrderID],OrderLines[[#This Row],[OrderID]],OrderLines[Category],"Beverage")),"Combo","Single")</f>
        <v>Combo</v>
      </c>
      <c r="O88" s="8" t="str" cm="1">
        <f t="array" ref="O88">IF(SUMPRODUCT(OrderLines[UnitPrice],OrderLines[Qty],OrderLines[DiscountPct],--(OrderLines[OrderID] = OrderLines[[#This Row],[OrderID]]))&gt;40,"High Discount","Ok")</f>
        <v>High Discount</v>
      </c>
      <c r="P88">
        <f>OrderLines[[#This Row],[UnitCost]]*OrderLines[[#This Row],[Qty]]</f>
        <v>48.97</v>
      </c>
      <c r="Q88" s="8">
        <f>OrderLines[[#This Row],[LineNetAmount]]-OrderLines[[#This Row],[Food Cost]]</f>
        <v>60.821999999999989</v>
      </c>
    </row>
    <row r="89" spans="1:17" x14ac:dyDescent="0.3">
      <c r="A89" t="s">
        <v>68</v>
      </c>
      <c r="B89" t="s">
        <v>416</v>
      </c>
      <c r="C89">
        <v>2</v>
      </c>
      <c r="D89" cm="1">
        <f t="array" ref="D89">VLOOKUP(OrderLines[[#This Row],[SKU]:[SKU]],Menu[],MATCH(OrderLines[[#Headers],[UnitPrice]],Menu[#Headers],0),FALSE)</f>
        <v>227.61</v>
      </c>
      <c r="E89" cm="1">
        <f t="array" ref="E89">VLOOKUP(OrderLines[[#This Row],[SKU]:[SKU]],Menu[],MATCH(OrderLines[[#Headers],[UnitCost]],Menu[#Headers],0),FALSE)</f>
        <v>96.22</v>
      </c>
      <c r="F89" t="str" cm="1">
        <f t="array" ref="F89">VLOOKUP(OrderLines[[#This Row],[SKU]:[SKU]],Menu[],MATCH(OrderLines[[#Headers],[Category]],Menu[#Headers],0),FALSE)</f>
        <v>Hot Meal</v>
      </c>
      <c r="G89" t="str" cm="1">
        <f t="array" ref="G89">_xlfn.TEXTJOIN("+",TRUE,_xlfn._xlws.SORT(_xlfn.UNIQUE(_xlfn._xlws.FILTER(OrderLines[Category],OrderLines[OrderID]=OrderLines[[#This Row],[OrderID]]))))</f>
        <v>Beverage+Dessert+Hot Meal</v>
      </c>
      <c r="H89" s="2" cm="1">
        <f t="array" ref="H89">INT(VLOOKUP(OrderLines[[#This Row],[OrderID]:[OrderID]],Orders[],MATCH(OrderLines[[#Headers],[OrderDateTime]],Orders[#Headers],0),FALSE))</f>
        <v>45892</v>
      </c>
      <c r="I89" t="str" cm="1">
        <f t="array" ref="I89">VLOOKUP(OrderLines[[#This Row],[OrderID]:[OrderID]],Orders[],MATCH(OrderLines[[#Headers],[Branch]],Orders[#Headers],0),FALSE)</f>
        <v>Head Office Café</v>
      </c>
      <c r="J89" cm="1">
        <f t="array" ref="J89">VLOOKUP(OrderLines[[#This Row],[OrderID]:[OrderID]],Orders[],MATCH(OrderLines[[#Headers],[DiscountPct]],Orders[#Headers],0),FALSE)</f>
        <v>0.06</v>
      </c>
      <c r="K89" t="str" cm="1">
        <f t="array" ref="K89">VLOOKUP(OrderLines[[#This Row],[OrderID]:[OrderID]],Orders[],MATCH(OrderLines[[#Headers],[PaymentType]],Orders[#Headers],0),FALSE)</f>
        <v>UPI</v>
      </c>
      <c r="L89" t="str" cm="1">
        <f t="array" ref="L89">VLOOKUP(OrderLines[[#This Row],[OrderID]:[OrderID]],Orders[],MATCH(OrderLines[[#Headers],[Shift]],Orders[#Headers],0),FALSE)</f>
        <v>Dinner</v>
      </c>
      <c r="M89" s="8">
        <f>(OrderLines[[#This Row],[Qty]]*OrderLines[[#This Row],[UnitPrice]])*(1-OrderLines[[#This Row],[DiscountPct]])</f>
        <v>427.90679999999998</v>
      </c>
      <c r="N89" t="str">
        <f>IF(AND(COUNTIFS(OrderLines[OrderID],OrderLines[[#This Row],[OrderID]],OrderLines[Category],"Hot Meal"),COUNTIFS(OrderLines[OrderID],OrderLines[[#This Row],[OrderID]],OrderLines[Category],"Beverage")),"Combo","Single")</f>
        <v>Combo</v>
      </c>
      <c r="O89" s="8" t="str" cm="1">
        <f t="array" ref="O89">IF(SUMPRODUCT(OrderLines[UnitPrice],OrderLines[Qty],OrderLines[DiscountPct],--(OrderLines[OrderID] = OrderLines[[#This Row],[OrderID]]))&gt;40,"High Discount","Ok")</f>
        <v>High Discount</v>
      </c>
      <c r="P89">
        <f>OrderLines[[#This Row],[UnitCost]]*OrderLines[[#This Row],[Qty]]</f>
        <v>192.44</v>
      </c>
      <c r="Q89" s="8">
        <f>OrderLines[[#This Row],[LineNetAmount]]-OrderLines[[#This Row],[Food Cost]]</f>
        <v>235.46679999999998</v>
      </c>
    </row>
    <row r="90" spans="1:17" x14ac:dyDescent="0.3">
      <c r="A90" t="s">
        <v>68</v>
      </c>
      <c r="B90" t="s">
        <v>403</v>
      </c>
      <c r="C90">
        <v>1</v>
      </c>
      <c r="D90" cm="1">
        <f t="array" ref="D90">VLOOKUP(OrderLines[[#This Row],[SKU]:[SKU]],Menu[],MATCH(OrderLines[[#Headers],[UnitPrice]],Menu[#Headers],0),FALSE)</f>
        <v>76.55</v>
      </c>
      <c r="E90" cm="1">
        <f t="array" ref="E90">VLOOKUP(OrderLines[[#This Row],[SKU]:[SKU]],Menu[],MATCH(OrderLines[[#Headers],[UnitCost]],Menu[#Headers],0),FALSE)</f>
        <v>38.229999999999997</v>
      </c>
      <c r="F90" t="str" cm="1">
        <f t="array" ref="F90">VLOOKUP(OrderLines[[#This Row],[SKU]:[SKU]],Menu[],MATCH(OrderLines[[#Headers],[Category]],Menu[#Headers],0),FALSE)</f>
        <v>Dessert</v>
      </c>
      <c r="G90" t="str" cm="1">
        <f t="array" ref="G90">_xlfn.TEXTJOIN("+",TRUE,_xlfn._xlws.SORT(_xlfn.UNIQUE(_xlfn._xlws.FILTER(OrderLines[Category],OrderLines[OrderID]=OrderLines[[#This Row],[OrderID]]))))</f>
        <v>Beverage+Dessert+Hot Meal</v>
      </c>
      <c r="H90" s="2" cm="1">
        <f t="array" ref="H90">INT(VLOOKUP(OrderLines[[#This Row],[OrderID]:[OrderID]],Orders[],MATCH(OrderLines[[#Headers],[OrderDateTime]],Orders[#Headers],0),FALSE))</f>
        <v>45892</v>
      </c>
      <c r="I90" t="str" cm="1">
        <f t="array" ref="I90">VLOOKUP(OrderLines[[#This Row],[OrderID]:[OrderID]],Orders[],MATCH(OrderLines[[#Headers],[Branch]],Orders[#Headers],0),FALSE)</f>
        <v>Head Office Café</v>
      </c>
      <c r="J90" cm="1">
        <f t="array" ref="J90">VLOOKUP(OrderLines[[#This Row],[OrderID]:[OrderID]],Orders[],MATCH(OrderLines[[#Headers],[DiscountPct]],Orders[#Headers],0),FALSE)</f>
        <v>0.06</v>
      </c>
      <c r="K90" t="str" cm="1">
        <f t="array" ref="K90">VLOOKUP(OrderLines[[#This Row],[OrderID]:[OrderID]],Orders[],MATCH(OrderLines[[#Headers],[PaymentType]],Orders[#Headers],0),FALSE)</f>
        <v>UPI</v>
      </c>
      <c r="L90" t="str" cm="1">
        <f t="array" ref="L90">VLOOKUP(OrderLines[[#This Row],[OrderID]:[OrderID]],Orders[],MATCH(OrderLines[[#Headers],[Shift]],Orders[#Headers],0),FALSE)</f>
        <v>Dinner</v>
      </c>
      <c r="M90" s="8">
        <f>(OrderLines[[#This Row],[Qty]]*OrderLines[[#This Row],[UnitPrice]])*(1-OrderLines[[#This Row],[DiscountPct]])</f>
        <v>71.956999999999994</v>
      </c>
      <c r="N90" t="str">
        <f>IF(AND(COUNTIFS(OrderLines[OrderID],OrderLines[[#This Row],[OrderID]],OrderLines[Category],"Hot Meal"),COUNTIFS(OrderLines[OrderID],OrderLines[[#This Row],[OrderID]],OrderLines[Category],"Beverage")),"Combo","Single")</f>
        <v>Combo</v>
      </c>
      <c r="O90" s="8" t="str" cm="1">
        <f t="array" ref="O90">IF(SUMPRODUCT(OrderLines[UnitPrice],OrderLines[Qty],OrderLines[DiscountPct],--(OrderLines[OrderID] = OrderLines[[#This Row],[OrderID]]))&gt;40,"High Discount","Ok")</f>
        <v>High Discount</v>
      </c>
      <c r="P90">
        <f>OrderLines[[#This Row],[UnitCost]]*OrderLines[[#This Row],[Qty]]</f>
        <v>38.229999999999997</v>
      </c>
      <c r="Q90" s="8">
        <f>OrderLines[[#This Row],[LineNetAmount]]-OrderLines[[#This Row],[Food Cost]]</f>
        <v>33.726999999999997</v>
      </c>
    </row>
    <row r="91" spans="1:17" x14ac:dyDescent="0.3">
      <c r="A91" t="s">
        <v>68</v>
      </c>
      <c r="B91" t="s">
        <v>409</v>
      </c>
      <c r="C91">
        <v>1</v>
      </c>
      <c r="D91" cm="1">
        <f t="array" ref="D91">VLOOKUP(OrderLines[[#This Row],[SKU]:[SKU]],Menu[],MATCH(OrderLines[[#Headers],[UnitPrice]],Menu[#Headers],0),FALSE)</f>
        <v>28.43</v>
      </c>
      <c r="E91" cm="1">
        <f t="array" ref="E91">VLOOKUP(OrderLines[[#This Row],[SKU]:[SKU]],Menu[],MATCH(OrderLines[[#Headers],[UnitCost]],Menu[#Headers],0),FALSE)</f>
        <v>13.89</v>
      </c>
      <c r="F91" t="str" cm="1">
        <f t="array" ref="F91">VLOOKUP(OrderLines[[#This Row],[SKU]:[SKU]],Menu[],MATCH(OrderLines[[#Headers],[Category]],Menu[#Headers],0),FALSE)</f>
        <v>Beverage</v>
      </c>
      <c r="G91" t="str" cm="1">
        <f t="array" ref="G91">_xlfn.TEXTJOIN("+",TRUE,_xlfn._xlws.SORT(_xlfn.UNIQUE(_xlfn._xlws.FILTER(OrderLines[Category],OrderLines[OrderID]=OrderLines[[#This Row],[OrderID]]))))</f>
        <v>Beverage+Dessert+Hot Meal</v>
      </c>
      <c r="H91" s="2" cm="1">
        <f t="array" ref="H91">INT(VLOOKUP(OrderLines[[#This Row],[OrderID]:[OrderID]],Orders[],MATCH(OrderLines[[#Headers],[OrderDateTime]],Orders[#Headers],0),FALSE))</f>
        <v>45892</v>
      </c>
      <c r="I91" t="str" cm="1">
        <f t="array" ref="I91">VLOOKUP(OrderLines[[#This Row],[OrderID]:[OrderID]],Orders[],MATCH(OrderLines[[#Headers],[Branch]],Orders[#Headers],0),FALSE)</f>
        <v>Head Office Café</v>
      </c>
      <c r="J91" cm="1">
        <f t="array" ref="J91">VLOOKUP(OrderLines[[#This Row],[OrderID]:[OrderID]],Orders[],MATCH(OrderLines[[#Headers],[DiscountPct]],Orders[#Headers],0),FALSE)</f>
        <v>0.06</v>
      </c>
      <c r="K91" t="str" cm="1">
        <f t="array" ref="K91">VLOOKUP(OrderLines[[#This Row],[OrderID]:[OrderID]],Orders[],MATCH(OrderLines[[#Headers],[PaymentType]],Orders[#Headers],0),FALSE)</f>
        <v>UPI</v>
      </c>
      <c r="L91" t="str" cm="1">
        <f t="array" ref="L91">VLOOKUP(OrderLines[[#This Row],[OrderID]:[OrderID]],Orders[],MATCH(OrderLines[[#Headers],[Shift]],Orders[#Headers],0),FALSE)</f>
        <v>Dinner</v>
      </c>
      <c r="M91" s="8">
        <f>(OrderLines[[#This Row],[Qty]]*OrderLines[[#This Row],[UnitPrice]])*(1-OrderLines[[#This Row],[DiscountPct]])</f>
        <v>26.7242</v>
      </c>
      <c r="N91" t="str">
        <f>IF(AND(COUNTIFS(OrderLines[OrderID],OrderLines[[#This Row],[OrderID]],OrderLines[Category],"Hot Meal"),COUNTIFS(OrderLines[OrderID],OrderLines[[#This Row],[OrderID]],OrderLines[Category],"Beverage")),"Combo","Single")</f>
        <v>Combo</v>
      </c>
      <c r="O91" s="8" t="str" cm="1">
        <f t="array" ref="O91">IF(SUMPRODUCT(OrderLines[UnitPrice],OrderLines[Qty],OrderLines[DiscountPct],--(OrderLines[OrderID] = OrderLines[[#This Row],[OrderID]]))&gt;40,"High Discount","Ok")</f>
        <v>High Discount</v>
      </c>
      <c r="P91">
        <f>OrderLines[[#This Row],[UnitCost]]*OrderLines[[#This Row],[Qty]]</f>
        <v>13.89</v>
      </c>
      <c r="Q91" s="8">
        <f>OrderLines[[#This Row],[LineNetAmount]]-OrderLines[[#This Row],[Food Cost]]</f>
        <v>12.834199999999999</v>
      </c>
    </row>
    <row r="92" spans="1:17" x14ac:dyDescent="0.3">
      <c r="A92" t="s">
        <v>70</v>
      </c>
      <c r="B92" t="s">
        <v>419</v>
      </c>
      <c r="C92">
        <v>1</v>
      </c>
      <c r="D92" cm="1">
        <f t="array" ref="D92">VLOOKUP(OrderLines[[#This Row],[SKU]:[SKU]],Menu[],MATCH(OrderLines[[#Headers],[UnitPrice]],Menu[#Headers],0),FALSE)</f>
        <v>50.19</v>
      </c>
      <c r="E92" cm="1">
        <f t="array" ref="E92">VLOOKUP(OrderLines[[#This Row],[SKU]:[SKU]],Menu[],MATCH(OrderLines[[#Headers],[UnitCost]],Menu[#Headers],0),FALSE)</f>
        <v>22.61</v>
      </c>
      <c r="F92" t="str" cm="1">
        <f t="array" ref="F92">VLOOKUP(OrderLines[[#This Row],[SKU]:[SKU]],Menu[],MATCH(OrderLines[[#Headers],[Category]],Menu[#Headers],0),FALSE)</f>
        <v>Snack</v>
      </c>
      <c r="G92" t="str" cm="1">
        <f t="array" ref="G92">_xlfn.TEXTJOIN("+",TRUE,_xlfn._xlws.SORT(_xlfn.UNIQUE(_xlfn._xlws.FILTER(OrderLines[Category],OrderLines[OrderID]=OrderLines[[#This Row],[OrderID]]))))</f>
        <v>Hot Meal+Snack</v>
      </c>
      <c r="H92" s="2" cm="1">
        <f t="array" ref="H92">INT(VLOOKUP(OrderLines[[#This Row],[OrderID]:[OrderID]],Orders[],MATCH(OrderLines[[#Headers],[OrderDateTime]],Orders[#Headers],0),FALSE))</f>
        <v>45850</v>
      </c>
      <c r="I92" t="str" cm="1">
        <f t="array" ref="I92">VLOOKUP(OrderLines[[#This Row],[OrderID]:[OrderID]],Orders[],MATCH(OrderLines[[#Headers],[Branch]],Orders[#Headers],0),FALSE)</f>
        <v>Plant 1 Canteen</v>
      </c>
      <c r="J92" cm="1">
        <f t="array" ref="J92">VLOOKUP(OrderLines[[#This Row],[OrderID]:[OrderID]],Orders[],MATCH(OrderLines[[#Headers],[DiscountPct]],Orders[#Headers],0),FALSE)</f>
        <v>0.05</v>
      </c>
      <c r="K92" t="str" cm="1">
        <f t="array" ref="K92">VLOOKUP(OrderLines[[#This Row],[OrderID]:[OrderID]],Orders[],MATCH(OrderLines[[#Headers],[PaymentType]],Orders[#Headers],0),FALSE)</f>
        <v>Cash</v>
      </c>
      <c r="L92" t="str" cm="1">
        <f t="array" ref="L92">VLOOKUP(OrderLines[[#This Row],[OrderID]:[OrderID]],Orders[],MATCH(OrderLines[[#Headers],[Shift]],Orders[#Headers],0),FALSE)</f>
        <v>Breakfast</v>
      </c>
      <c r="M92" s="8">
        <f>(OrderLines[[#This Row],[Qty]]*OrderLines[[#This Row],[UnitPrice]])*(1-OrderLines[[#This Row],[DiscountPct]])</f>
        <v>47.680499999999995</v>
      </c>
      <c r="N92" t="str">
        <f>IF(AND(COUNTIFS(OrderLines[OrderID],OrderLines[[#This Row],[OrderID]],OrderLines[Category],"Hot Meal"),COUNTIFS(OrderLines[OrderID],OrderLines[[#This Row],[OrderID]],OrderLines[Category],"Beverage")),"Combo","Single")</f>
        <v>Single</v>
      </c>
      <c r="O92" s="8" t="str" cm="1">
        <f t="array" ref="O92">IF(SUMPRODUCT(OrderLines[UnitPrice],OrderLines[Qty],OrderLines[DiscountPct],--(OrderLines[OrderID] = OrderLines[[#This Row],[OrderID]]))&gt;40,"High Discount","Ok")</f>
        <v>Ok</v>
      </c>
      <c r="P92">
        <f>OrderLines[[#This Row],[UnitCost]]*OrderLines[[#This Row],[Qty]]</f>
        <v>22.61</v>
      </c>
      <c r="Q92" s="8">
        <f>OrderLines[[#This Row],[LineNetAmount]]-OrderLines[[#This Row],[Food Cost]]</f>
        <v>25.070499999999996</v>
      </c>
    </row>
    <row r="93" spans="1:17" x14ac:dyDescent="0.3">
      <c r="A93" t="s">
        <v>70</v>
      </c>
      <c r="B93" t="s">
        <v>405</v>
      </c>
      <c r="C93">
        <v>1</v>
      </c>
      <c r="D93" cm="1">
        <f t="array" ref="D93">VLOOKUP(OrderLines[[#This Row],[SKU]:[SKU]],Menu[],MATCH(OrderLines[[#Headers],[UnitPrice]],Menu[#Headers],0),FALSE)</f>
        <v>170.83</v>
      </c>
      <c r="E93" cm="1">
        <f t="array" ref="E93">VLOOKUP(OrderLines[[#This Row],[SKU]:[SKU]],Menu[],MATCH(OrderLines[[#Headers],[UnitCost]],Menu[#Headers],0),FALSE)</f>
        <v>74.069999999999993</v>
      </c>
      <c r="F93" t="str" cm="1">
        <f t="array" ref="F93">VLOOKUP(OrderLines[[#This Row],[SKU]:[SKU]],Menu[],MATCH(OrderLines[[#Headers],[Category]],Menu[#Headers],0),FALSE)</f>
        <v>Hot Meal</v>
      </c>
      <c r="G93" t="str" cm="1">
        <f t="array" ref="G93">_xlfn.TEXTJOIN("+",TRUE,_xlfn._xlws.SORT(_xlfn.UNIQUE(_xlfn._xlws.FILTER(OrderLines[Category],OrderLines[OrderID]=OrderLines[[#This Row],[OrderID]]))))</f>
        <v>Hot Meal+Snack</v>
      </c>
      <c r="H93" s="2" cm="1">
        <f t="array" ref="H93">INT(VLOOKUP(OrderLines[[#This Row],[OrderID]:[OrderID]],Orders[],MATCH(OrderLines[[#Headers],[OrderDateTime]],Orders[#Headers],0),FALSE))</f>
        <v>45850</v>
      </c>
      <c r="I93" t="str" cm="1">
        <f t="array" ref="I93">VLOOKUP(OrderLines[[#This Row],[OrderID]:[OrderID]],Orders[],MATCH(OrderLines[[#Headers],[Branch]],Orders[#Headers],0),FALSE)</f>
        <v>Plant 1 Canteen</v>
      </c>
      <c r="J93" cm="1">
        <f t="array" ref="J93">VLOOKUP(OrderLines[[#This Row],[OrderID]:[OrderID]],Orders[],MATCH(OrderLines[[#Headers],[DiscountPct]],Orders[#Headers],0),FALSE)</f>
        <v>0.05</v>
      </c>
      <c r="K93" t="str" cm="1">
        <f t="array" ref="K93">VLOOKUP(OrderLines[[#This Row],[OrderID]:[OrderID]],Orders[],MATCH(OrderLines[[#Headers],[PaymentType]],Orders[#Headers],0),FALSE)</f>
        <v>Cash</v>
      </c>
      <c r="L93" t="str" cm="1">
        <f t="array" ref="L93">VLOOKUP(OrderLines[[#This Row],[OrderID]:[OrderID]],Orders[],MATCH(OrderLines[[#Headers],[Shift]],Orders[#Headers],0),FALSE)</f>
        <v>Breakfast</v>
      </c>
      <c r="M93" s="8">
        <f>(OrderLines[[#This Row],[Qty]]*OrderLines[[#This Row],[UnitPrice]])*(1-OrderLines[[#This Row],[DiscountPct]])</f>
        <v>162.2885</v>
      </c>
      <c r="N93" t="str">
        <f>IF(AND(COUNTIFS(OrderLines[OrderID],OrderLines[[#This Row],[OrderID]],OrderLines[Category],"Hot Meal"),COUNTIFS(OrderLines[OrderID],OrderLines[[#This Row],[OrderID]],OrderLines[Category],"Beverage")),"Combo","Single")</f>
        <v>Single</v>
      </c>
      <c r="O93" s="8" t="str" cm="1">
        <f t="array" ref="O93">IF(SUMPRODUCT(OrderLines[UnitPrice],OrderLines[Qty],OrderLines[DiscountPct],--(OrderLines[OrderID] = OrderLines[[#This Row],[OrderID]]))&gt;40,"High Discount","Ok")</f>
        <v>Ok</v>
      </c>
      <c r="P93">
        <f>OrderLines[[#This Row],[UnitCost]]*OrderLines[[#This Row],[Qty]]</f>
        <v>74.069999999999993</v>
      </c>
      <c r="Q93" s="8">
        <f>OrderLines[[#This Row],[LineNetAmount]]-OrderLines[[#This Row],[Food Cost]]</f>
        <v>88.218500000000006</v>
      </c>
    </row>
    <row r="94" spans="1:17" x14ac:dyDescent="0.3">
      <c r="A94" t="s">
        <v>71</v>
      </c>
      <c r="B94" t="s">
        <v>405</v>
      </c>
      <c r="C94">
        <v>2</v>
      </c>
      <c r="D94" cm="1">
        <f t="array" ref="D94">VLOOKUP(OrderLines[[#This Row],[SKU]:[SKU]],Menu[],MATCH(OrderLines[[#Headers],[UnitPrice]],Menu[#Headers],0),FALSE)</f>
        <v>170.83</v>
      </c>
      <c r="E94" cm="1">
        <f t="array" ref="E94">VLOOKUP(OrderLines[[#This Row],[SKU]:[SKU]],Menu[],MATCH(OrderLines[[#Headers],[UnitCost]],Menu[#Headers],0),FALSE)</f>
        <v>74.069999999999993</v>
      </c>
      <c r="F94" t="str" cm="1">
        <f t="array" ref="F94">VLOOKUP(OrderLines[[#This Row],[SKU]:[SKU]],Menu[],MATCH(OrderLines[[#Headers],[Category]],Menu[#Headers],0),FALSE)</f>
        <v>Hot Meal</v>
      </c>
      <c r="G94" t="str" cm="1">
        <f t="array" ref="G94">_xlfn.TEXTJOIN("+",TRUE,_xlfn._xlws.SORT(_xlfn.UNIQUE(_xlfn._xlws.FILTER(OrderLines[Category],OrderLines[OrderID]=OrderLines[[#This Row],[OrderID]]))))</f>
        <v>Hot Meal</v>
      </c>
      <c r="H94" s="2" cm="1">
        <f t="array" ref="H94">INT(VLOOKUP(OrderLines[[#This Row],[OrderID]:[OrderID]],Orders[],MATCH(OrderLines[[#Headers],[OrderDateTime]],Orders[#Headers],0),FALSE))</f>
        <v>45842</v>
      </c>
      <c r="I94" t="str" cm="1">
        <f t="array" ref="I94">VLOOKUP(OrderLines[[#This Row],[OrderID]:[OrderID]],Orders[],MATCH(OrderLines[[#Headers],[Branch]],Orders[#Headers],0),FALSE)</f>
        <v>Plant 2 Canteen</v>
      </c>
      <c r="J94" cm="1">
        <f t="array" ref="J94">VLOOKUP(OrderLines[[#This Row],[OrderID]:[OrderID]],Orders[],MATCH(OrderLines[[#Headers],[DiscountPct]],Orders[#Headers],0),FALSE)</f>
        <v>0.06</v>
      </c>
      <c r="K94" t="str" cm="1">
        <f t="array" ref="K94">VLOOKUP(OrderLines[[#This Row],[OrderID]:[OrderID]],Orders[],MATCH(OrderLines[[#Headers],[PaymentType]],Orders[#Headers],0),FALSE)</f>
        <v>UPI</v>
      </c>
      <c r="L94" t="str" cm="1">
        <f t="array" ref="L94">VLOOKUP(OrderLines[[#This Row],[OrderID]:[OrderID]],Orders[],MATCH(OrderLines[[#Headers],[Shift]],Orders[#Headers],0),FALSE)</f>
        <v>Dinner</v>
      </c>
      <c r="M94" s="8">
        <f>(OrderLines[[#This Row],[Qty]]*OrderLines[[#This Row],[UnitPrice]])*(1-OrderLines[[#This Row],[DiscountPct]])</f>
        <v>321.16039999999998</v>
      </c>
      <c r="N94" t="str">
        <f>IF(AND(COUNTIFS(OrderLines[OrderID],OrderLines[[#This Row],[OrderID]],OrderLines[Category],"Hot Meal"),COUNTIFS(OrderLines[OrderID],OrderLines[[#This Row],[OrderID]],OrderLines[Category],"Beverage")),"Combo","Single")</f>
        <v>Single</v>
      </c>
      <c r="O94" s="8" t="str" cm="1">
        <f t="array" ref="O94">IF(SUMPRODUCT(OrderLines[UnitPrice],OrderLines[Qty],OrderLines[DiscountPct],--(OrderLines[OrderID] = OrderLines[[#This Row],[OrderID]]))&gt;40,"High Discount","Ok")</f>
        <v>Ok</v>
      </c>
      <c r="P94">
        <f>OrderLines[[#This Row],[UnitCost]]*OrderLines[[#This Row],[Qty]]</f>
        <v>148.13999999999999</v>
      </c>
      <c r="Q94" s="8">
        <f>OrderLines[[#This Row],[LineNetAmount]]-OrderLines[[#This Row],[Food Cost]]</f>
        <v>173.0204</v>
      </c>
    </row>
    <row r="95" spans="1:17" x14ac:dyDescent="0.3">
      <c r="A95" t="s">
        <v>73</v>
      </c>
      <c r="B95" t="s">
        <v>411</v>
      </c>
      <c r="C95">
        <v>1</v>
      </c>
      <c r="D95" cm="1">
        <f t="array" ref="D95">VLOOKUP(OrderLines[[#This Row],[SKU]:[SKU]],Menu[],MATCH(OrderLines[[#Headers],[UnitPrice]],Menu[#Headers],0),FALSE)</f>
        <v>22.2</v>
      </c>
      <c r="E95" cm="1">
        <f t="array" ref="E95">VLOOKUP(OrderLines[[#This Row],[SKU]:[SKU]],Menu[],MATCH(OrderLines[[#Headers],[UnitCost]],Menu[#Headers],0),FALSE)</f>
        <v>9.3800000000000008</v>
      </c>
      <c r="F95" t="str" cm="1">
        <f t="array" ref="F95">VLOOKUP(OrderLines[[#This Row],[SKU]:[SKU]],Menu[],MATCH(OrderLines[[#Headers],[Category]],Menu[#Headers],0),FALSE)</f>
        <v>Beverage</v>
      </c>
      <c r="G95" t="str" cm="1">
        <f t="array" ref="G95">_xlfn.TEXTJOIN("+",TRUE,_xlfn._xlws.SORT(_xlfn.UNIQUE(_xlfn._xlws.FILTER(OrderLines[Category],OrderLines[OrderID]=OrderLines[[#This Row],[OrderID]]))))</f>
        <v>Beverage</v>
      </c>
      <c r="H95" s="2" cm="1">
        <f t="array" ref="H95">INT(VLOOKUP(OrderLines[[#This Row],[OrderID]:[OrderID]],Orders[],MATCH(OrderLines[[#Headers],[OrderDateTime]],Orders[#Headers],0),FALSE))</f>
        <v>45880</v>
      </c>
      <c r="I95" t="str" cm="1">
        <f t="array" ref="I95">VLOOKUP(OrderLines[[#This Row],[OrderID]:[OrderID]],Orders[],MATCH(OrderLines[[#Headers],[Branch]],Orders[#Headers],0),FALSE)</f>
        <v>Plant 1 Canteen</v>
      </c>
      <c r="J95" cm="1">
        <f t="array" ref="J95">VLOOKUP(OrderLines[[#This Row],[OrderID]:[OrderID]],Orders[],MATCH(OrderLines[[#Headers],[DiscountPct]],Orders[#Headers],0),FALSE)</f>
        <v>0</v>
      </c>
      <c r="K95" t="str" cm="1">
        <f t="array" ref="K95">VLOOKUP(OrderLines[[#This Row],[OrderID]:[OrderID]],Orders[],MATCH(OrderLines[[#Headers],[PaymentType]],Orders[#Headers],0),FALSE)</f>
        <v>Card</v>
      </c>
      <c r="L95" t="str" cm="1">
        <f t="array" ref="L95">VLOOKUP(OrderLines[[#This Row],[OrderID]:[OrderID]],Orders[],MATCH(OrderLines[[#Headers],[Shift]],Orders[#Headers],0),FALSE)</f>
        <v>Dinner</v>
      </c>
      <c r="M95" s="8">
        <f>(OrderLines[[#This Row],[Qty]]*OrderLines[[#This Row],[UnitPrice]])*(1-OrderLines[[#This Row],[DiscountPct]])</f>
        <v>22.2</v>
      </c>
      <c r="N95" t="str">
        <f>IF(AND(COUNTIFS(OrderLines[OrderID],OrderLines[[#This Row],[OrderID]],OrderLines[Category],"Hot Meal"),COUNTIFS(OrderLines[OrderID],OrderLines[[#This Row],[OrderID]],OrderLines[Category],"Beverage")),"Combo","Single")</f>
        <v>Single</v>
      </c>
      <c r="O95" s="8" t="str" cm="1">
        <f t="array" ref="O95">IF(SUMPRODUCT(OrderLines[UnitPrice],OrderLines[Qty],OrderLines[DiscountPct],--(OrderLines[OrderID] = OrderLines[[#This Row],[OrderID]]))&gt;40,"High Discount","Ok")</f>
        <v>Ok</v>
      </c>
      <c r="P95">
        <f>OrderLines[[#This Row],[UnitCost]]*OrderLines[[#This Row],[Qty]]</f>
        <v>9.3800000000000008</v>
      </c>
      <c r="Q95" s="8">
        <f>OrderLines[[#This Row],[LineNetAmount]]-OrderLines[[#This Row],[Food Cost]]</f>
        <v>12.819999999999999</v>
      </c>
    </row>
    <row r="96" spans="1:17" x14ac:dyDescent="0.3">
      <c r="A96" t="s">
        <v>73</v>
      </c>
      <c r="B96" t="s">
        <v>404</v>
      </c>
      <c r="C96">
        <v>2</v>
      </c>
      <c r="D96" cm="1">
        <f t="array" ref="D96">VLOOKUP(OrderLines[[#This Row],[SKU]:[SKU]],Menu[],MATCH(OrderLines[[#Headers],[UnitPrice]],Menu[#Headers],0),FALSE)</f>
        <v>32.979999999999997</v>
      </c>
      <c r="E96" cm="1">
        <f t="array" ref="E96">VLOOKUP(OrderLines[[#This Row],[SKU]:[SKU]],Menu[],MATCH(OrderLines[[#Headers],[UnitCost]],Menu[#Headers],0),FALSE)</f>
        <v>11.84</v>
      </c>
      <c r="F96" t="str" cm="1">
        <f t="array" ref="F96">VLOOKUP(OrderLines[[#This Row],[SKU]:[SKU]],Menu[],MATCH(OrderLines[[#Headers],[Category]],Menu[#Headers],0),FALSE)</f>
        <v>Beverage</v>
      </c>
      <c r="G96" t="str" cm="1">
        <f t="array" ref="G96">_xlfn.TEXTJOIN("+",TRUE,_xlfn._xlws.SORT(_xlfn.UNIQUE(_xlfn._xlws.FILTER(OrderLines[Category],OrderLines[OrderID]=OrderLines[[#This Row],[OrderID]]))))</f>
        <v>Beverage</v>
      </c>
      <c r="H96" s="2" cm="1">
        <f t="array" ref="H96">INT(VLOOKUP(OrderLines[[#This Row],[OrderID]:[OrderID]],Orders[],MATCH(OrderLines[[#Headers],[OrderDateTime]],Orders[#Headers],0),FALSE))</f>
        <v>45880</v>
      </c>
      <c r="I96" t="str" cm="1">
        <f t="array" ref="I96">VLOOKUP(OrderLines[[#This Row],[OrderID]:[OrderID]],Orders[],MATCH(OrderLines[[#Headers],[Branch]],Orders[#Headers],0),FALSE)</f>
        <v>Plant 1 Canteen</v>
      </c>
      <c r="J96" cm="1">
        <f t="array" ref="J96">VLOOKUP(OrderLines[[#This Row],[OrderID]:[OrderID]],Orders[],MATCH(OrderLines[[#Headers],[DiscountPct]],Orders[#Headers],0),FALSE)</f>
        <v>0</v>
      </c>
      <c r="K96" t="str" cm="1">
        <f t="array" ref="K96">VLOOKUP(OrderLines[[#This Row],[OrderID]:[OrderID]],Orders[],MATCH(OrderLines[[#Headers],[PaymentType]],Orders[#Headers],0),FALSE)</f>
        <v>Card</v>
      </c>
      <c r="L96" t="str" cm="1">
        <f t="array" ref="L96">VLOOKUP(OrderLines[[#This Row],[OrderID]:[OrderID]],Orders[],MATCH(OrderLines[[#Headers],[Shift]],Orders[#Headers],0),FALSE)</f>
        <v>Dinner</v>
      </c>
      <c r="M96" s="8">
        <f>(OrderLines[[#This Row],[Qty]]*OrderLines[[#This Row],[UnitPrice]])*(1-OrderLines[[#This Row],[DiscountPct]])</f>
        <v>65.959999999999994</v>
      </c>
      <c r="N96" t="str">
        <f>IF(AND(COUNTIFS(OrderLines[OrderID],OrderLines[[#This Row],[OrderID]],OrderLines[Category],"Hot Meal"),COUNTIFS(OrderLines[OrderID],OrderLines[[#This Row],[OrderID]],OrderLines[Category],"Beverage")),"Combo","Single")</f>
        <v>Single</v>
      </c>
      <c r="O96" s="8" t="str" cm="1">
        <f t="array" ref="O96">IF(SUMPRODUCT(OrderLines[UnitPrice],OrderLines[Qty],OrderLines[DiscountPct],--(OrderLines[OrderID] = OrderLines[[#This Row],[OrderID]]))&gt;40,"High Discount","Ok")</f>
        <v>Ok</v>
      </c>
      <c r="P96">
        <f>OrderLines[[#This Row],[UnitCost]]*OrderLines[[#This Row],[Qty]]</f>
        <v>23.68</v>
      </c>
      <c r="Q96" s="8">
        <f>OrderLines[[#This Row],[LineNetAmount]]-OrderLines[[#This Row],[Food Cost]]</f>
        <v>42.279999999999994</v>
      </c>
    </row>
    <row r="97" spans="1:17" x14ac:dyDescent="0.3">
      <c r="A97" t="s">
        <v>75</v>
      </c>
      <c r="B97" t="s">
        <v>405</v>
      </c>
      <c r="C97">
        <v>3</v>
      </c>
      <c r="D97" cm="1">
        <f t="array" ref="D97">VLOOKUP(OrderLines[[#This Row],[SKU]:[SKU]],Menu[],MATCH(OrderLines[[#Headers],[UnitPrice]],Menu[#Headers],0),FALSE)</f>
        <v>170.83</v>
      </c>
      <c r="E97" cm="1">
        <f t="array" ref="E97">VLOOKUP(OrderLines[[#This Row],[SKU]:[SKU]],Menu[],MATCH(OrderLines[[#Headers],[UnitCost]],Menu[#Headers],0),FALSE)</f>
        <v>74.069999999999993</v>
      </c>
      <c r="F97" t="str" cm="1">
        <f t="array" ref="F97">VLOOKUP(OrderLines[[#This Row],[SKU]:[SKU]],Menu[],MATCH(OrderLines[[#Headers],[Category]],Menu[#Headers],0),FALSE)</f>
        <v>Hot Meal</v>
      </c>
      <c r="G97" t="str" cm="1">
        <f t="array" ref="G97">_xlfn.TEXTJOIN("+",TRUE,_xlfn._xlws.SORT(_xlfn.UNIQUE(_xlfn._xlws.FILTER(OrderLines[Category],OrderLines[OrderID]=OrderLines[[#This Row],[OrderID]]))))</f>
        <v>Hot Meal</v>
      </c>
      <c r="H97" s="2" cm="1">
        <f t="array" ref="H97">INT(VLOOKUP(OrderLines[[#This Row],[OrderID]:[OrderID]],Orders[],MATCH(OrderLines[[#Headers],[OrderDateTime]],Orders[#Headers],0),FALSE))</f>
        <v>45843</v>
      </c>
      <c r="I97" t="str" cm="1">
        <f t="array" ref="I97">VLOOKUP(OrderLines[[#This Row],[OrderID]:[OrderID]],Orders[],MATCH(OrderLines[[#Headers],[Branch]],Orders[#Headers],0),FALSE)</f>
        <v>Plant 2 Canteen</v>
      </c>
      <c r="J97" cm="1">
        <f t="array" ref="J97">VLOOKUP(OrderLines[[#This Row],[OrderID]:[OrderID]],Orders[],MATCH(OrderLines[[#Headers],[DiscountPct]],Orders[#Headers],0),FALSE)</f>
        <v>0.05</v>
      </c>
      <c r="K97" t="str" cm="1">
        <f t="array" ref="K97">VLOOKUP(OrderLines[[#This Row],[OrderID]:[OrderID]],Orders[],MATCH(OrderLines[[#Headers],[PaymentType]],Orders[#Headers],0),FALSE)</f>
        <v>UPI</v>
      </c>
      <c r="L97" t="str" cm="1">
        <f t="array" ref="L97">VLOOKUP(OrderLines[[#This Row],[OrderID]:[OrderID]],Orders[],MATCH(OrderLines[[#Headers],[Shift]],Orders[#Headers],0),FALSE)</f>
        <v>Breakfast</v>
      </c>
      <c r="M97" s="8">
        <f>(OrderLines[[#This Row],[Qty]]*OrderLines[[#This Row],[UnitPrice]])*(1-OrderLines[[#This Row],[DiscountPct]])</f>
        <v>486.8655</v>
      </c>
      <c r="N97" t="str">
        <f>IF(AND(COUNTIFS(OrderLines[OrderID],OrderLines[[#This Row],[OrderID]],OrderLines[Category],"Hot Meal"),COUNTIFS(OrderLines[OrderID],OrderLines[[#This Row],[OrderID]],OrderLines[Category],"Beverage")),"Combo","Single")</f>
        <v>Single</v>
      </c>
      <c r="O97" s="8" t="str" cm="1">
        <f t="array" ref="O97">IF(SUMPRODUCT(OrderLines[UnitPrice],OrderLines[Qty],OrderLines[DiscountPct],--(OrderLines[OrderID] = OrderLines[[#This Row],[OrderID]]))&gt;40,"High Discount","Ok")</f>
        <v>Ok</v>
      </c>
      <c r="P97">
        <f>OrderLines[[#This Row],[UnitCost]]*OrderLines[[#This Row],[Qty]]</f>
        <v>222.20999999999998</v>
      </c>
      <c r="Q97" s="8">
        <f>OrderLines[[#This Row],[LineNetAmount]]-OrderLines[[#This Row],[Food Cost]]</f>
        <v>264.65550000000002</v>
      </c>
    </row>
    <row r="98" spans="1:17" x14ac:dyDescent="0.3">
      <c r="A98" t="s">
        <v>76</v>
      </c>
      <c r="B98" t="s">
        <v>404</v>
      </c>
      <c r="C98">
        <v>3</v>
      </c>
      <c r="D98" cm="1">
        <f t="array" ref="D98">VLOOKUP(OrderLines[[#This Row],[SKU]:[SKU]],Menu[],MATCH(OrderLines[[#Headers],[UnitPrice]],Menu[#Headers],0),FALSE)</f>
        <v>32.979999999999997</v>
      </c>
      <c r="E98" cm="1">
        <f t="array" ref="E98">VLOOKUP(OrderLines[[#This Row],[SKU]:[SKU]],Menu[],MATCH(OrderLines[[#Headers],[UnitCost]],Menu[#Headers],0),FALSE)</f>
        <v>11.84</v>
      </c>
      <c r="F98" t="str" cm="1">
        <f t="array" ref="F98">VLOOKUP(OrderLines[[#This Row],[SKU]:[SKU]],Menu[],MATCH(OrderLines[[#Headers],[Category]],Menu[#Headers],0),FALSE)</f>
        <v>Beverage</v>
      </c>
      <c r="G98" t="str" cm="1">
        <f t="array" ref="G98">_xlfn.TEXTJOIN("+",TRUE,_xlfn._xlws.SORT(_xlfn.UNIQUE(_xlfn._xlws.FILTER(OrderLines[Category],OrderLines[OrderID]=OrderLines[[#This Row],[OrderID]]))))</f>
        <v>Beverage+Hot Meal</v>
      </c>
      <c r="H98" s="2" cm="1">
        <f t="array" ref="H98">INT(VLOOKUP(OrderLines[[#This Row],[OrderID]:[OrderID]],Orders[],MATCH(OrderLines[[#Headers],[OrderDateTime]],Orders[#Headers],0),FALSE))</f>
        <v>45849</v>
      </c>
      <c r="I98" t="str" cm="1">
        <f t="array" ref="I98">VLOOKUP(OrderLines[[#This Row],[OrderID]:[OrderID]],Orders[],MATCH(OrderLines[[#Headers],[Branch]],Orders[#Headers],0),FALSE)</f>
        <v>Plant 2 Canteen</v>
      </c>
      <c r="J98" cm="1">
        <f t="array" ref="J98">VLOOKUP(OrderLines[[#This Row],[OrderID]:[OrderID]],Orders[],MATCH(OrderLines[[#Headers],[DiscountPct]],Orders[#Headers],0),FALSE)</f>
        <v>7.0000000000000007E-2</v>
      </c>
      <c r="K98" t="str" cm="1">
        <f t="array" ref="K98">VLOOKUP(OrderLines[[#This Row],[OrderID]:[OrderID]],Orders[],MATCH(OrderLines[[#Headers],[PaymentType]],Orders[#Headers],0),FALSE)</f>
        <v>Card</v>
      </c>
      <c r="L98" t="str" cm="1">
        <f t="array" ref="L98">VLOOKUP(OrderLines[[#This Row],[OrderID]:[OrderID]],Orders[],MATCH(OrderLines[[#Headers],[Shift]],Orders[#Headers],0),FALSE)</f>
        <v>Breakfast</v>
      </c>
      <c r="M98" s="8">
        <f>(OrderLines[[#This Row],[Qty]]*OrderLines[[#This Row],[UnitPrice]])*(1-OrderLines[[#This Row],[DiscountPct]])</f>
        <v>92.014199999999988</v>
      </c>
      <c r="N98" t="str">
        <f>IF(AND(COUNTIFS(OrderLines[OrderID],OrderLines[[#This Row],[OrderID]],OrderLines[Category],"Hot Meal"),COUNTIFS(OrderLines[OrderID],OrderLines[[#This Row],[OrderID]],OrderLines[Category],"Beverage")),"Combo","Single")</f>
        <v>Combo</v>
      </c>
      <c r="O98" s="8" t="str" cm="1">
        <f t="array" ref="O98">IF(SUMPRODUCT(OrderLines[UnitPrice],OrderLines[Qty],OrderLines[DiscountPct],--(OrderLines[OrderID] = OrderLines[[#This Row],[OrderID]]))&gt;40,"High Discount","Ok")</f>
        <v>High Discount</v>
      </c>
      <c r="P98">
        <f>OrderLines[[#This Row],[UnitCost]]*OrderLines[[#This Row],[Qty]]</f>
        <v>35.519999999999996</v>
      </c>
      <c r="Q98" s="8">
        <f>OrderLines[[#This Row],[LineNetAmount]]-OrderLines[[#This Row],[Food Cost]]</f>
        <v>56.494199999999992</v>
      </c>
    </row>
    <row r="99" spans="1:17" x14ac:dyDescent="0.3">
      <c r="A99" t="s">
        <v>76</v>
      </c>
      <c r="B99" t="s">
        <v>409</v>
      </c>
      <c r="C99">
        <v>1</v>
      </c>
      <c r="D99" cm="1">
        <f t="array" ref="D99">VLOOKUP(OrderLines[[#This Row],[SKU]:[SKU]],Menu[],MATCH(OrderLines[[#Headers],[UnitPrice]],Menu[#Headers],0),FALSE)</f>
        <v>28.43</v>
      </c>
      <c r="E99" cm="1">
        <f t="array" ref="E99">VLOOKUP(OrderLines[[#This Row],[SKU]:[SKU]],Menu[],MATCH(OrderLines[[#Headers],[UnitCost]],Menu[#Headers],0),FALSE)</f>
        <v>13.89</v>
      </c>
      <c r="F99" t="str" cm="1">
        <f t="array" ref="F99">VLOOKUP(OrderLines[[#This Row],[SKU]:[SKU]],Menu[],MATCH(OrderLines[[#Headers],[Category]],Menu[#Headers],0),FALSE)</f>
        <v>Beverage</v>
      </c>
      <c r="G99" t="str" cm="1">
        <f t="array" ref="G99">_xlfn.TEXTJOIN("+",TRUE,_xlfn._xlws.SORT(_xlfn.UNIQUE(_xlfn._xlws.FILTER(OrderLines[Category],OrderLines[OrderID]=OrderLines[[#This Row],[OrderID]]))))</f>
        <v>Beverage+Hot Meal</v>
      </c>
      <c r="H99" s="2" cm="1">
        <f t="array" ref="H99">INT(VLOOKUP(OrderLines[[#This Row],[OrderID]:[OrderID]],Orders[],MATCH(OrderLines[[#Headers],[OrderDateTime]],Orders[#Headers],0),FALSE))</f>
        <v>45849</v>
      </c>
      <c r="I99" t="str" cm="1">
        <f t="array" ref="I99">VLOOKUP(OrderLines[[#This Row],[OrderID]:[OrderID]],Orders[],MATCH(OrderLines[[#Headers],[Branch]],Orders[#Headers],0),FALSE)</f>
        <v>Plant 2 Canteen</v>
      </c>
      <c r="J99" cm="1">
        <f t="array" ref="J99">VLOOKUP(OrderLines[[#This Row],[OrderID]:[OrderID]],Orders[],MATCH(OrderLines[[#Headers],[DiscountPct]],Orders[#Headers],0),FALSE)</f>
        <v>7.0000000000000007E-2</v>
      </c>
      <c r="K99" t="str" cm="1">
        <f t="array" ref="K99">VLOOKUP(OrderLines[[#This Row],[OrderID]:[OrderID]],Orders[],MATCH(OrderLines[[#Headers],[PaymentType]],Orders[#Headers],0),FALSE)</f>
        <v>Card</v>
      </c>
      <c r="L99" t="str" cm="1">
        <f t="array" ref="L99">VLOOKUP(OrderLines[[#This Row],[OrderID]:[OrderID]],Orders[],MATCH(OrderLines[[#Headers],[Shift]],Orders[#Headers],0),FALSE)</f>
        <v>Breakfast</v>
      </c>
      <c r="M99" s="8">
        <f>(OrderLines[[#This Row],[Qty]]*OrderLines[[#This Row],[UnitPrice]])*(1-OrderLines[[#This Row],[DiscountPct]])</f>
        <v>26.439899999999998</v>
      </c>
      <c r="N99" t="str">
        <f>IF(AND(COUNTIFS(OrderLines[OrderID],OrderLines[[#This Row],[OrderID]],OrderLines[Category],"Hot Meal"),COUNTIFS(OrderLines[OrderID],OrderLines[[#This Row],[OrderID]],OrderLines[Category],"Beverage")),"Combo","Single")</f>
        <v>Combo</v>
      </c>
      <c r="O99" s="8" t="str" cm="1">
        <f t="array" ref="O99">IF(SUMPRODUCT(OrderLines[UnitPrice],OrderLines[Qty],OrderLines[DiscountPct],--(OrderLines[OrderID] = OrderLines[[#This Row],[OrderID]]))&gt;40,"High Discount","Ok")</f>
        <v>High Discount</v>
      </c>
      <c r="P99">
        <f>OrderLines[[#This Row],[UnitCost]]*OrderLines[[#This Row],[Qty]]</f>
        <v>13.89</v>
      </c>
      <c r="Q99" s="8">
        <f>OrderLines[[#This Row],[LineNetAmount]]-OrderLines[[#This Row],[Food Cost]]</f>
        <v>12.549899999999997</v>
      </c>
    </row>
    <row r="100" spans="1:17" x14ac:dyDescent="0.3">
      <c r="A100" t="s">
        <v>76</v>
      </c>
      <c r="B100" t="s">
        <v>415</v>
      </c>
      <c r="C100">
        <v>2</v>
      </c>
      <c r="D100" cm="1">
        <f t="array" ref="D100">VLOOKUP(OrderLines[[#This Row],[SKU]:[SKU]],Menu[],MATCH(OrderLines[[#Headers],[UnitPrice]],Menu[#Headers],0),FALSE)</f>
        <v>256.91000000000003</v>
      </c>
      <c r="E100" cm="1">
        <f t="array" ref="E100">VLOOKUP(OrderLines[[#This Row],[SKU]:[SKU]],Menu[],MATCH(OrderLines[[#Headers],[UnitCost]],Menu[#Headers],0),FALSE)</f>
        <v>121.24</v>
      </c>
      <c r="F100" t="str" cm="1">
        <f t="array" ref="F100">VLOOKUP(OrderLines[[#This Row],[SKU]:[SKU]],Menu[],MATCH(OrderLines[[#Headers],[Category]],Menu[#Headers],0),FALSE)</f>
        <v>Hot Meal</v>
      </c>
      <c r="G100" t="str" cm="1">
        <f t="array" ref="G100">_xlfn.TEXTJOIN("+",TRUE,_xlfn._xlws.SORT(_xlfn.UNIQUE(_xlfn._xlws.FILTER(OrderLines[Category],OrderLines[OrderID]=OrderLines[[#This Row],[OrderID]]))))</f>
        <v>Beverage+Hot Meal</v>
      </c>
      <c r="H100" s="2" cm="1">
        <f t="array" ref="H100">INT(VLOOKUP(OrderLines[[#This Row],[OrderID]:[OrderID]],Orders[],MATCH(OrderLines[[#Headers],[OrderDateTime]],Orders[#Headers],0),FALSE))</f>
        <v>45849</v>
      </c>
      <c r="I100" t="str" cm="1">
        <f t="array" ref="I100">VLOOKUP(OrderLines[[#This Row],[OrderID]:[OrderID]],Orders[],MATCH(OrderLines[[#Headers],[Branch]],Orders[#Headers],0),FALSE)</f>
        <v>Plant 2 Canteen</v>
      </c>
      <c r="J100" cm="1">
        <f t="array" ref="J100">VLOOKUP(OrderLines[[#This Row],[OrderID]:[OrderID]],Orders[],MATCH(OrderLines[[#Headers],[DiscountPct]],Orders[#Headers],0),FALSE)</f>
        <v>7.0000000000000007E-2</v>
      </c>
      <c r="K100" t="str" cm="1">
        <f t="array" ref="K100">VLOOKUP(OrderLines[[#This Row],[OrderID]:[OrderID]],Orders[],MATCH(OrderLines[[#Headers],[PaymentType]],Orders[#Headers],0),FALSE)</f>
        <v>Card</v>
      </c>
      <c r="L100" t="str" cm="1">
        <f t="array" ref="L100">VLOOKUP(OrderLines[[#This Row],[OrderID]:[OrderID]],Orders[],MATCH(OrderLines[[#Headers],[Shift]],Orders[#Headers],0),FALSE)</f>
        <v>Breakfast</v>
      </c>
      <c r="M100" s="8">
        <f>(OrderLines[[#This Row],[Qty]]*OrderLines[[#This Row],[UnitPrice]])*(1-OrderLines[[#This Row],[DiscountPct]])</f>
        <v>477.8526</v>
      </c>
      <c r="N100" t="str">
        <f>IF(AND(COUNTIFS(OrderLines[OrderID],OrderLines[[#This Row],[OrderID]],OrderLines[Category],"Hot Meal"),COUNTIFS(OrderLines[OrderID],OrderLines[[#This Row],[OrderID]],OrderLines[Category],"Beverage")),"Combo","Single")</f>
        <v>Combo</v>
      </c>
      <c r="O100" s="8" t="str" cm="1">
        <f t="array" ref="O100">IF(SUMPRODUCT(OrderLines[UnitPrice],OrderLines[Qty],OrderLines[DiscountPct],--(OrderLines[OrderID] = OrderLines[[#This Row],[OrderID]]))&gt;40,"High Discount","Ok")</f>
        <v>High Discount</v>
      </c>
      <c r="P100">
        <f>OrderLines[[#This Row],[UnitCost]]*OrderLines[[#This Row],[Qty]]</f>
        <v>242.48</v>
      </c>
      <c r="Q100" s="8">
        <f>OrderLines[[#This Row],[LineNetAmount]]-OrderLines[[#This Row],[Food Cost]]</f>
        <v>235.37260000000001</v>
      </c>
    </row>
    <row r="101" spans="1:17" x14ac:dyDescent="0.3">
      <c r="A101" t="s">
        <v>76</v>
      </c>
      <c r="B101" t="s">
        <v>402</v>
      </c>
      <c r="C101">
        <v>1</v>
      </c>
      <c r="D101" cm="1">
        <f t="array" ref="D101">VLOOKUP(OrderLines[[#This Row],[SKU]:[SKU]],Menu[],MATCH(OrderLines[[#Headers],[UnitPrice]],Menu[#Headers],0),FALSE)</f>
        <v>30.34</v>
      </c>
      <c r="E101" cm="1">
        <f t="array" ref="E101">VLOOKUP(OrderLines[[#This Row],[SKU]:[SKU]],Menu[],MATCH(OrderLines[[#Headers],[UnitCost]],Menu[#Headers],0),FALSE)</f>
        <v>14.18</v>
      </c>
      <c r="F101" t="str" cm="1">
        <f t="array" ref="F101">VLOOKUP(OrderLines[[#This Row],[SKU]:[SKU]],Menu[],MATCH(OrderLines[[#Headers],[Category]],Menu[#Headers],0),FALSE)</f>
        <v>Beverage</v>
      </c>
      <c r="G101" t="str" cm="1">
        <f t="array" ref="G101">_xlfn.TEXTJOIN("+",TRUE,_xlfn._xlws.SORT(_xlfn.UNIQUE(_xlfn._xlws.FILTER(OrderLines[Category],OrderLines[OrderID]=OrderLines[[#This Row],[OrderID]]))))</f>
        <v>Beverage+Hot Meal</v>
      </c>
      <c r="H101" s="2" cm="1">
        <f t="array" ref="H101">INT(VLOOKUP(OrderLines[[#This Row],[OrderID]:[OrderID]],Orders[],MATCH(OrderLines[[#Headers],[OrderDateTime]],Orders[#Headers],0),FALSE))</f>
        <v>45849</v>
      </c>
      <c r="I101" t="str" cm="1">
        <f t="array" ref="I101">VLOOKUP(OrderLines[[#This Row],[OrderID]:[OrderID]],Orders[],MATCH(OrderLines[[#Headers],[Branch]],Orders[#Headers],0),FALSE)</f>
        <v>Plant 2 Canteen</v>
      </c>
      <c r="J101" cm="1">
        <f t="array" ref="J101">VLOOKUP(OrderLines[[#This Row],[OrderID]:[OrderID]],Orders[],MATCH(OrderLines[[#Headers],[DiscountPct]],Orders[#Headers],0),FALSE)</f>
        <v>7.0000000000000007E-2</v>
      </c>
      <c r="K101" t="str" cm="1">
        <f t="array" ref="K101">VLOOKUP(OrderLines[[#This Row],[OrderID]:[OrderID]],Orders[],MATCH(OrderLines[[#Headers],[PaymentType]],Orders[#Headers],0),FALSE)</f>
        <v>Card</v>
      </c>
      <c r="L101" t="str" cm="1">
        <f t="array" ref="L101">VLOOKUP(OrderLines[[#This Row],[OrderID]:[OrderID]],Orders[],MATCH(OrderLines[[#Headers],[Shift]],Orders[#Headers],0),FALSE)</f>
        <v>Breakfast</v>
      </c>
      <c r="M101" s="8">
        <f>(OrderLines[[#This Row],[Qty]]*OrderLines[[#This Row],[UnitPrice]])*(1-OrderLines[[#This Row],[DiscountPct]])</f>
        <v>28.216199999999997</v>
      </c>
      <c r="N101" t="str">
        <f>IF(AND(COUNTIFS(OrderLines[OrderID],OrderLines[[#This Row],[OrderID]],OrderLines[Category],"Hot Meal"),COUNTIFS(OrderLines[OrderID],OrderLines[[#This Row],[OrderID]],OrderLines[Category],"Beverage")),"Combo","Single")</f>
        <v>Combo</v>
      </c>
      <c r="O101" s="8" t="str" cm="1">
        <f t="array" ref="O101">IF(SUMPRODUCT(OrderLines[UnitPrice],OrderLines[Qty],OrderLines[DiscountPct],--(OrderLines[OrderID] = OrderLines[[#This Row],[OrderID]]))&gt;40,"High Discount","Ok")</f>
        <v>High Discount</v>
      </c>
      <c r="P101">
        <f>OrderLines[[#This Row],[UnitCost]]*OrderLines[[#This Row],[Qty]]</f>
        <v>14.18</v>
      </c>
      <c r="Q101" s="8">
        <f>OrderLines[[#This Row],[LineNetAmount]]-OrderLines[[#This Row],[Food Cost]]</f>
        <v>14.036199999999997</v>
      </c>
    </row>
    <row r="102" spans="1:17" x14ac:dyDescent="0.3">
      <c r="A102" t="s">
        <v>77</v>
      </c>
      <c r="B102" t="s">
        <v>404</v>
      </c>
      <c r="C102">
        <v>3</v>
      </c>
      <c r="D102" cm="1">
        <f t="array" ref="D102">VLOOKUP(OrderLines[[#This Row],[SKU]:[SKU]],Menu[],MATCH(OrderLines[[#Headers],[UnitPrice]],Menu[#Headers],0),FALSE)</f>
        <v>32.979999999999997</v>
      </c>
      <c r="E102" cm="1">
        <f t="array" ref="E102">VLOOKUP(OrderLines[[#This Row],[SKU]:[SKU]],Menu[],MATCH(OrderLines[[#Headers],[UnitCost]],Menu[#Headers],0),FALSE)</f>
        <v>11.84</v>
      </c>
      <c r="F102" t="str" cm="1">
        <f t="array" ref="F102">VLOOKUP(OrderLines[[#This Row],[SKU]:[SKU]],Menu[],MATCH(OrderLines[[#Headers],[Category]],Menu[#Headers],0),FALSE)</f>
        <v>Beverage</v>
      </c>
      <c r="G102" t="str" cm="1">
        <f t="array" ref="G102">_xlfn.TEXTJOIN("+",TRUE,_xlfn._xlws.SORT(_xlfn.UNIQUE(_xlfn._xlws.FILTER(OrderLines[Category],OrderLines[OrderID]=OrderLines[[#This Row],[OrderID]]))))</f>
        <v>Beverage+Snack</v>
      </c>
      <c r="H102" s="2" cm="1">
        <f t="array" ref="H102">INT(VLOOKUP(OrderLines[[#This Row],[OrderID]:[OrderID]],Orders[],MATCH(OrderLines[[#Headers],[OrderDateTime]],Orders[#Headers],0),FALSE))</f>
        <v>45862</v>
      </c>
      <c r="I102" t="str" cm="1">
        <f t="array" ref="I102">VLOOKUP(OrderLines[[#This Row],[OrderID]:[OrderID]],Orders[],MATCH(OrderLines[[#Headers],[Branch]],Orders[#Headers],0),FALSE)</f>
        <v>Plant 1 Canteen</v>
      </c>
      <c r="J102" cm="1">
        <f t="array" ref="J102">VLOOKUP(OrderLines[[#This Row],[OrderID]:[OrderID]],Orders[],MATCH(OrderLines[[#Headers],[DiscountPct]],Orders[#Headers],0),FALSE)</f>
        <v>0.12</v>
      </c>
      <c r="K102" t="str" cm="1">
        <f t="array" ref="K102">VLOOKUP(OrderLines[[#This Row],[OrderID]:[OrderID]],Orders[],MATCH(OrderLines[[#Headers],[PaymentType]],Orders[#Headers],0),FALSE)</f>
        <v>Card</v>
      </c>
      <c r="L102" t="str" cm="1">
        <f t="array" ref="L102">VLOOKUP(OrderLines[[#This Row],[OrderID]:[OrderID]],Orders[],MATCH(OrderLines[[#Headers],[Shift]],Orders[#Headers],0),FALSE)</f>
        <v>Breakfast</v>
      </c>
      <c r="M102" s="8">
        <f>(OrderLines[[#This Row],[Qty]]*OrderLines[[#This Row],[UnitPrice]])*(1-OrderLines[[#This Row],[DiscountPct]])</f>
        <v>87.0672</v>
      </c>
      <c r="N102" t="str">
        <f>IF(AND(COUNTIFS(OrderLines[OrderID],OrderLines[[#This Row],[OrderID]],OrderLines[Category],"Hot Meal"),COUNTIFS(OrderLines[OrderID],OrderLines[[#This Row],[OrderID]],OrderLines[Category],"Beverage")),"Combo","Single")</f>
        <v>Single</v>
      </c>
      <c r="O102" s="8" t="str" cm="1">
        <f t="array" ref="O102">IF(SUMPRODUCT(OrderLines[UnitPrice],OrderLines[Qty],OrderLines[DiscountPct],--(OrderLines[OrderID] = OrderLines[[#This Row],[OrderID]]))&gt;40,"High Discount","Ok")</f>
        <v>Ok</v>
      </c>
      <c r="P102">
        <f>OrderLines[[#This Row],[UnitCost]]*OrderLines[[#This Row],[Qty]]</f>
        <v>35.519999999999996</v>
      </c>
      <c r="Q102" s="8">
        <f>OrderLines[[#This Row],[LineNetAmount]]-OrderLines[[#This Row],[Food Cost]]</f>
        <v>51.547200000000004</v>
      </c>
    </row>
    <row r="103" spans="1:17" x14ac:dyDescent="0.3">
      <c r="A103" t="s">
        <v>77</v>
      </c>
      <c r="B103" t="s">
        <v>408</v>
      </c>
      <c r="C103">
        <v>1</v>
      </c>
      <c r="D103" cm="1">
        <f t="array" ref="D103">VLOOKUP(OrderLines[[#This Row],[SKU]:[SKU]],Menu[],MATCH(OrderLines[[#Headers],[UnitPrice]],Menu[#Headers],0),FALSE)</f>
        <v>70.540000000000006</v>
      </c>
      <c r="E103" cm="1">
        <f t="array" ref="E103">VLOOKUP(OrderLines[[#This Row],[SKU]:[SKU]],Menu[],MATCH(OrderLines[[#Headers],[UnitCost]],Menu[#Headers],0),FALSE)</f>
        <v>35.81</v>
      </c>
      <c r="F103" t="str" cm="1">
        <f t="array" ref="F103">VLOOKUP(OrderLines[[#This Row],[SKU]:[SKU]],Menu[],MATCH(OrderLines[[#Headers],[Category]],Menu[#Headers],0),FALSE)</f>
        <v>Snack</v>
      </c>
      <c r="G103" t="str" cm="1">
        <f t="array" ref="G103">_xlfn.TEXTJOIN("+",TRUE,_xlfn._xlws.SORT(_xlfn.UNIQUE(_xlfn._xlws.FILTER(OrderLines[Category],OrderLines[OrderID]=OrderLines[[#This Row],[OrderID]]))))</f>
        <v>Beverage+Snack</v>
      </c>
      <c r="H103" s="2" cm="1">
        <f t="array" ref="H103">INT(VLOOKUP(OrderLines[[#This Row],[OrderID]:[OrderID]],Orders[],MATCH(OrderLines[[#Headers],[OrderDateTime]],Orders[#Headers],0),FALSE))</f>
        <v>45862</v>
      </c>
      <c r="I103" t="str" cm="1">
        <f t="array" ref="I103">VLOOKUP(OrderLines[[#This Row],[OrderID]:[OrderID]],Orders[],MATCH(OrderLines[[#Headers],[Branch]],Orders[#Headers],0),FALSE)</f>
        <v>Plant 1 Canteen</v>
      </c>
      <c r="J103" cm="1">
        <f t="array" ref="J103">VLOOKUP(OrderLines[[#This Row],[OrderID]:[OrderID]],Orders[],MATCH(OrderLines[[#Headers],[DiscountPct]],Orders[#Headers],0),FALSE)</f>
        <v>0.12</v>
      </c>
      <c r="K103" t="str" cm="1">
        <f t="array" ref="K103">VLOOKUP(OrderLines[[#This Row],[OrderID]:[OrderID]],Orders[],MATCH(OrderLines[[#Headers],[PaymentType]],Orders[#Headers],0),FALSE)</f>
        <v>Card</v>
      </c>
      <c r="L103" t="str" cm="1">
        <f t="array" ref="L103">VLOOKUP(OrderLines[[#This Row],[OrderID]:[OrderID]],Orders[],MATCH(OrderLines[[#Headers],[Shift]],Orders[#Headers],0),FALSE)</f>
        <v>Breakfast</v>
      </c>
      <c r="M103" s="8">
        <f>(OrderLines[[#This Row],[Qty]]*OrderLines[[#This Row],[UnitPrice]])*(1-OrderLines[[#This Row],[DiscountPct]])</f>
        <v>62.075200000000002</v>
      </c>
      <c r="N103" t="str">
        <f>IF(AND(COUNTIFS(OrderLines[OrderID],OrderLines[[#This Row],[OrderID]],OrderLines[Category],"Hot Meal"),COUNTIFS(OrderLines[OrderID],OrderLines[[#This Row],[OrderID]],OrderLines[Category],"Beverage")),"Combo","Single")</f>
        <v>Single</v>
      </c>
      <c r="O103" s="8" t="str" cm="1">
        <f t="array" ref="O103">IF(SUMPRODUCT(OrderLines[UnitPrice],OrderLines[Qty],OrderLines[DiscountPct],--(OrderLines[OrderID] = OrderLines[[#This Row],[OrderID]]))&gt;40,"High Discount","Ok")</f>
        <v>Ok</v>
      </c>
      <c r="P103">
        <f>OrderLines[[#This Row],[UnitCost]]*OrderLines[[#This Row],[Qty]]</f>
        <v>35.81</v>
      </c>
      <c r="Q103" s="8">
        <f>OrderLines[[#This Row],[LineNetAmount]]-OrderLines[[#This Row],[Food Cost]]</f>
        <v>26.2652</v>
      </c>
    </row>
    <row r="104" spans="1:17" x14ac:dyDescent="0.3">
      <c r="A104" t="s">
        <v>78</v>
      </c>
      <c r="B104" t="s">
        <v>412</v>
      </c>
      <c r="C104">
        <v>1</v>
      </c>
      <c r="D104" cm="1">
        <f t="array" ref="D104">VLOOKUP(OrderLines[[#This Row],[SKU]:[SKU]],Menu[],MATCH(OrderLines[[#Headers],[UnitPrice]],Menu[#Headers],0),FALSE)</f>
        <v>57.07</v>
      </c>
      <c r="E104" cm="1">
        <f t="array" ref="E104">VLOOKUP(OrderLines[[#This Row],[SKU]:[SKU]],Menu[],MATCH(OrderLines[[#Headers],[UnitCost]],Menu[#Headers],0),FALSE)</f>
        <v>29.14</v>
      </c>
      <c r="F104" t="str" cm="1">
        <f t="array" ref="F104">VLOOKUP(OrderLines[[#This Row],[SKU]:[SKU]],Menu[],MATCH(OrderLines[[#Headers],[Category]],Menu[#Headers],0),FALSE)</f>
        <v>Dessert</v>
      </c>
      <c r="G104" t="str" cm="1">
        <f t="array" ref="G104">_xlfn.TEXTJOIN("+",TRUE,_xlfn._xlws.SORT(_xlfn.UNIQUE(_xlfn._xlws.FILTER(OrderLines[Category],OrderLines[OrderID]=OrderLines[[#This Row],[OrderID]]))))</f>
        <v>Beverage+Dessert+Hot Meal</v>
      </c>
      <c r="H104" s="2" cm="1">
        <f t="array" ref="H104">INT(VLOOKUP(OrderLines[[#This Row],[OrderID]:[OrderID]],Orders[],MATCH(OrderLines[[#Headers],[OrderDateTime]],Orders[#Headers],0),FALSE))</f>
        <v>45856</v>
      </c>
      <c r="I104" t="str" cm="1">
        <f t="array" ref="I104">VLOOKUP(OrderLines[[#This Row],[OrderID]:[OrderID]],Orders[],MATCH(OrderLines[[#Headers],[Branch]],Orders[#Headers],0),FALSE)</f>
        <v>Head Office Café</v>
      </c>
      <c r="J104" cm="1">
        <f t="array" ref="J104">VLOOKUP(OrderLines[[#This Row],[OrderID]:[OrderID]],Orders[],MATCH(OrderLines[[#Headers],[DiscountPct]],Orders[#Headers],0),FALSE)</f>
        <v>0.04</v>
      </c>
      <c r="K104" t="str" cm="1">
        <f t="array" ref="K104">VLOOKUP(OrderLines[[#This Row],[OrderID]:[OrderID]],Orders[],MATCH(OrderLines[[#Headers],[PaymentType]],Orders[#Headers],0),FALSE)</f>
        <v>Card</v>
      </c>
      <c r="L104" t="str" cm="1">
        <f t="array" ref="L104">VLOOKUP(OrderLines[[#This Row],[OrderID]:[OrderID]],Orders[],MATCH(OrderLines[[#Headers],[Shift]],Orders[#Headers],0),FALSE)</f>
        <v>Lunch</v>
      </c>
      <c r="M104" s="8">
        <f>(OrderLines[[#This Row],[Qty]]*OrderLines[[#This Row],[UnitPrice]])*(1-OrderLines[[#This Row],[DiscountPct]])</f>
        <v>54.787199999999999</v>
      </c>
      <c r="N104" t="str">
        <f>IF(AND(COUNTIFS(OrderLines[OrderID],OrderLines[[#This Row],[OrderID]],OrderLines[Category],"Hot Meal"),COUNTIFS(OrderLines[OrderID],OrderLines[[#This Row],[OrderID]],OrderLines[Category],"Beverage")),"Combo","Single")</f>
        <v>Combo</v>
      </c>
      <c r="O104" s="8" t="str" cm="1">
        <f t="array" ref="O104">IF(SUMPRODUCT(OrderLines[UnitPrice],OrderLines[Qty],OrderLines[DiscountPct],--(OrderLines[OrderID] = OrderLines[[#This Row],[OrderID]]))&gt;40,"High Discount","Ok")</f>
        <v>Ok</v>
      </c>
      <c r="P104">
        <f>OrderLines[[#This Row],[UnitCost]]*OrderLines[[#This Row],[Qty]]</f>
        <v>29.14</v>
      </c>
      <c r="Q104" s="8">
        <f>OrderLines[[#This Row],[LineNetAmount]]-OrderLines[[#This Row],[Food Cost]]</f>
        <v>25.647199999999998</v>
      </c>
    </row>
    <row r="105" spans="1:17" x14ac:dyDescent="0.3">
      <c r="A105" t="s">
        <v>78</v>
      </c>
      <c r="B105" t="s">
        <v>411</v>
      </c>
      <c r="C105">
        <v>1</v>
      </c>
      <c r="D105" cm="1">
        <f t="array" ref="D105">VLOOKUP(OrderLines[[#This Row],[SKU]:[SKU]],Menu[],MATCH(OrderLines[[#Headers],[UnitPrice]],Menu[#Headers],0),FALSE)</f>
        <v>22.2</v>
      </c>
      <c r="E105" cm="1">
        <f t="array" ref="E105">VLOOKUP(OrderLines[[#This Row],[SKU]:[SKU]],Menu[],MATCH(OrderLines[[#Headers],[UnitCost]],Menu[#Headers],0),FALSE)</f>
        <v>9.3800000000000008</v>
      </c>
      <c r="F105" t="str" cm="1">
        <f t="array" ref="F105">VLOOKUP(OrderLines[[#This Row],[SKU]:[SKU]],Menu[],MATCH(OrderLines[[#Headers],[Category]],Menu[#Headers],0),FALSE)</f>
        <v>Beverage</v>
      </c>
      <c r="G105" t="str" cm="1">
        <f t="array" ref="G105">_xlfn.TEXTJOIN("+",TRUE,_xlfn._xlws.SORT(_xlfn.UNIQUE(_xlfn._xlws.FILTER(OrderLines[Category],OrderLines[OrderID]=OrderLines[[#This Row],[OrderID]]))))</f>
        <v>Beverage+Dessert+Hot Meal</v>
      </c>
      <c r="H105" s="2" cm="1">
        <f t="array" ref="H105">INT(VLOOKUP(OrderLines[[#This Row],[OrderID]:[OrderID]],Orders[],MATCH(OrderLines[[#Headers],[OrderDateTime]],Orders[#Headers],0),FALSE))</f>
        <v>45856</v>
      </c>
      <c r="I105" t="str" cm="1">
        <f t="array" ref="I105">VLOOKUP(OrderLines[[#This Row],[OrderID]:[OrderID]],Orders[],MATCH(OrderLines[[#Headers],[Branch]],Orders[#Headers],0),FALSE)</f>
        <v>Head Office Café</v>
      </c>
      <c r="J105" cm="1">
        <f t="array" ref="J105">VLOOKUP(OrderLines[[#This Row],[OrderID]:[OrderID]],Orders[],MATCH(OrderLines[[#Headers],[DiscountPct]],Orders[#Headers],0),FALSE)</f>
        <v>0.04</v>
      </c>
      <c r="K105" t="str" cm="1">
        <f t="array" ref="K105">VLOOKUP(OrderLines[[#This Row],[OrderID]:[OrderID]],Orders[],MATCH(OrderLines[[#Headers],[PaymentType]],Orders[#Headers],0),FALSE)</f>
        <v>Card</v>
      </c>
      <c r="L105" t="str" cm="1">
        <f t="array" ref="L105">VLOOKUP(OrderLines[[#This Row],[OrderID]:[OrderID]],Orders[],MATCH(OrderLines[[#Headers],[Shift]],Orders[#Headers],0),FALSE)</f>
        <v>Lunch</v>
      </c>
      <c r="M105" s="8">
        <f>(OrderLines[[#This Row],[Qty]]*OrderLines[[#This Row],[UnitPrice]])*(1-OrderLines[[#This Row],[DiscountPct]])</f>
        <v>21.311999999999998</v>
      </c>
      <c r="N105" t="str">
        <f>IF(AND(COUNTIFS(OrderLines[OrderID],OrderLines[[#This Row],[OrderID]],OrderLines[Category],"Hot Meal"),COUNTIFS(OrderLines[OrderID],OrderLines[[#This Row],[OrderID]],OrderLines[Category],"Beverage")),"Combo","Single")</f>
        <v>Combo</v>
      </c>
      <c r="O105" s="8" t="str" cm="1">
        <f t="array" ref="O105">IF(SUMPRODUCT(OrderLines[UnitPrice],OrderLines[Qty],OrderLines[DiscountPct],--(OrderLines[OrderID] = OrderLines[[#This Row],[OrderID]]))&gt;40,"High Discount","Ok")</f>
        <v>Ok</v>
      </c>
      <c r="P105">
        <f>OrderLines[[#This Row],[UnitCost]]*OrderLines[[#This Row],[Qty]]</f>
        <v>9.3800000000000008</v>
      </c>
      <c r="Q105" s="8">
        <f>OrderLines[[#This Row],[LineNetAmount]]-OrderLines[[#This Row],[Food Cost]]</f>
        <v>11.931999999999997</v>
      </c>
    </row>
    <row r="106" spans="1:17" x14ac:dyDescent="0.3">
      <c r="A106" t="s">
        <v>78</v>
      </c>
      <c r="B106" t="s">
        <v>416</v>
      </c>
      <c r="C106">
        <v>1</v>
      </c>
      <c r="D106" cm="1">
        <f t="array" ref="D106">VLOOKUP(OrderLines[[#This Row],[SKU]:[SKU]],Menu[],MATCH(OrderLines[[#Headers],[UnitPrice]],Menu[#Headers],0),FALSE)</f>
        <v>227.61</v>
      </c>
      <c r="E106" cm="1">
        <f t="array" ref="E106">VLOOKUP(OrderLines[[#This Row],[SKU]:[SKU]],Menu[],MATCH(OrderLines[[#Headers],[UnitCost]],Menu[#Headers],0),FALSE)</f>
        <v>96.22</v>
      </c>
      <c r="F106" t="str" cm="1">
        <f t="array" ref="F106">VLOOKUP(OrderLines[[#This Row],[SKU]:[SKU]],Menu[],MATCH(OrderLines[[#Headers],[Category]],Menu[#Headers],0),FALSE)</f>
        <v>Hot Meal</v>
      </c>
      <c r="G106" t="str" cm="1">
        <f t="array" ref="G106">_xlfn.TEXTJOIN("+",TRUE,_xlfn._xlws.SORT(_xlfn.UNIQUE(_xlfn._xlws.FILTER(OrderLines[Category],OrderLines[OrderID]=OrderLines[[#This Row],[OrderID]]))))</f>
        <v>Beverage+Dessert+Hot Meal</v>
      </c>
      <c r="H106" s="2" cm="1">
        <f t="array" ref="H106">INT(VLOOKUP(OrderLines[[#This Row],[OrderID]:[OrderID]],Orders[],MATCH(OrderLines[[#Headers],[OrderDateTime]],Orders[#Headers],0),FALSE))</f>
        <v>45856</v>
      </c>
      <c r="I106" t="str" cm="1">
        <f t="array" ref="I106">VLOOKUP(OrderLines[[#This Row],[OrderID]:[OrderID]],Orders[],MATCH(OrderLines[[#Headers],[Branch]],Orders[#Headers],0),FALSE)</f>
        <v>Head Office Café</v>
      </c>
      <c r="J106" cm="1">
        <f t="array" ref="J106">VLOOKUP(OrderLines[[#This Row],[OrderID]:[OrderID]],Orders[],MATCH(OrderLines[[#Headers],[DiscountPct]],Orders[#Headers],0),FALSE)</f>
        <v>0.04</v>
      </c>
      <c r="K106" t="str" cm="1">
        <f t="array" ref="K106">VLOOKUP(OrderLines[[#This Row],[OrderID]:[OrderID]],Orders[],MATCH(OrderLines[[#Headers],[PaymentType]],Orders[#Headers],0),FALSE)</f>
        <v>Card</v>
      </c>
      <c r="L106" t="str" cm="1">
        <f t="array" ref="L106">VLOOKUP(OrderLines[[#This Row],[OrderID]:[OrderID]],Orders[],MATCH(OrderLines[[#Headers],[Shift]],Orders[#Headers],0),FALSE)</f>
        <v>Lunch</v>
      </c>
      <c r="M106" s="8">
        <f>(OrderLines[[#This Row],[Qty]]*OrderLines[[#This Row],[UnitPrice]])*(1-OrderLines[[#This Row],[DiscountPct]])</f>
        <v>218.50560000000002</v>
      </c>
      <c r="N106" t="str">
        <f>IF(AND(COUNTIFS(OrderLines[OrderID],OrderLines[[#This Row],[OrderID]],OrderLines[Category],"Hot Meal"),COUNTIFS(OrderLines[OrderID],OrderLines[[#This Row],[OrderID]],OrderLines[Category],"Beverage")),"Combo","Single")</f>
        <v>Combo</v>
      </c>
      <c r="O106" s="8" t="str" cm="1">
        <f t="array" ref="O106">IF(SUMPRODUCT(OrderLines[UnitPrice],OrderLines[Qty],OrderLines[DiscountPct],--(OrderLines[OrderID] = OrderLines[[#This Row],[OrderID]]))&gt;40,"High Discount","Ok")</f>
        <v>Ok</v>
      </c>
      <c r="P106">
        <f>OrderLines[[#This Row],[UnitCost]]*OrderLines[[#This Row],[Qty]]</f>
        <v>96.22</v>
      </c>
      <c r="Q106" s="8">
        <f>OrderLines[[#This Row],[LineNetAmount]]-OrderLines[[#This Row],[Food Cost]]</f>
        <v>122.28560000000002</v>
      </c>
    </row>
    <row r="107" spans="1:17" x14ac:dyDescent="0.3">
      <c r="A107" t="s">
        <v>78</v>
      </c>
      <c r="B107" t="s">
        <v>413</v>
      </c>
      <c r="C107">
        <v>1</v>
      </c>
      <c r="D107" cm="1">
        <f t="array" ref="D107">VLOOKUP(OrderLines[[#This Row],[SKU]:[SKU]],Menu[],MATCH(OrderLines[[#Headers],[UnitPrice]],Menu[#Headers],0),FALSE)</f>
        <v>54.2</v>
      </c>
      <c r="E107" cm="1">
        <f t="array" ref="E107">VLOOKUP(OrderLines[[#This Row],[SKU]:[SKU]],Menu[],MATCH(OrderLines[[#Headers],[UnitCost]],Menu[#Headers],0),FALSE)</f>
        <v>21.95</v>
      </c>
      <c r="F107" t="str" cm="1">
        <f t="array" ref="F107">VLOOKUP(OrderLines[[#This Row],[SKU]:[SKU]],Menu[],MATCH(OrderLines[[#Headers],[Category]],Menu[#Headers],0),FALSE)</f>
        <v>Dessert</v>
      </c>
      <c r="G107" t="str" cm="1">
        <f t="array" ref="G107">_xlfn.TEXTJOIN("+",TRUE,_xlfn._xlws.SORT(_xlfn.UNIQUE(_xlfn._xlws.FILTER(OrderLines[Category],OrderLines[OrderID]=OrderLines[[#This Row],[OrderID]]))))</f>
        <v>Beverage+Dessert+Hot Meal</v>
      </c>
      <c r="H107" s="2" cm="1">
        <f t="array" ref="H107">INT(VLOOKUP(OrderLines[[#This Row],[OrderID]:[OrderID]],Orders[],MATCH(OrderLines[[#Headers],[OrderDateTime]],Orders[#Headers],0),FALSE))</f>
        <v>45856</v>
      </c>
      <c r="I107" t="str" cm="1">
        <f t="array" ref="I107">VLOOKUP(OrderLines[[#This Row],[OrderID]:[OrderID]],Orders[],MATCH(OrderLines[[#Headers],[Branch]],Orders[#Headers],0),FALSE)</f>
        <v>Head Office Café</v>
      </c>
      <c r="J107" cm="1">
        <f t="array" ref="J107">VLOOKUP(OrderLines[[#This Row],[OrderID]:[OrderID]],Orders[],MATCH(OrderLines[[#Headers],[DiscountPct]],Orders[#Headers],0),FALSE)</f>
        <v>0.04</v>
      </c>
      <c r="K107" t="str" cm="1">
        <f t="array" ref="K107">VLOOKUP(OrderLines[[#This Row],[OrderID]:[OrderID]],Orders[],MATCH(OrderLines[[#Headers],[PaymentType]],Orders[#Headers],0),FALSE)</f>
        <v>Card</v>
      </c>
      <c r="L107" t="str" cm="1">
        <f t="array" ref="L107">VLOOKUP(OrderLines[[#This Row],[OrderID]:[OrderID]],Orders[],MATCH(OrderLines[[#Headers],[Shift]],Orders[#Headers],0),FALSE)</f>
        <v>Lunch</v>
      </c>
      <c r="M107" s="8">
        <f>(OrderLines[[#This Row],[Qty]]*OrderLines[[#This Row],[UnitPrice]])*(1-OrderLines[[#This Row],[DiscountPct]])</f>
        <v>52.032000000000004</v>
      </c>
      <c r="N107" t="str">
        <f>IF(AND(COUNTIFS(OrderLines[OrderID],OrderLines[[#This Row],[OrderID]],OrderLines[Category],"Hot Meal"),COUNTIFS(OrderLines[OrderID],OrderLines[[#This Row],[OrderID]],OrderLines[Category],"Beverage")),"Combo","Single")</f>
        <v>Combo</v>
      </c>
      <c r="O107" s="8" t="str" cm="1">
        <f t="array" ref="O107">IF(SUMPRODUCT(OrderLines[UnitPrice],OrderLines[Qty],OrderLines[DiscountPct],--(OrderLines[OrderID] = OrderLines[[#This Row],[OrderID]]))&gt;40,"High Discount","Ok")</f>
        <v>Ok</v>
      </c>
      <c r="P107">
        <f>OrderLines[[#This Row],[UnitCost]]*OrderLines[[#This Row],[Qty]]</f>
        <v>21.95</v>
      </c>
      <c r="Q107" s="8">
        <f>OrderLines[[#This Row],[LineNetAmount]]-OrderLines[[#This Row],[Food Cost]]</f>
        <v>30.082000000000004</v>
      </c>
    </row>
    <row r="108" spans="1:17" x14ac:dyDescent="0.3">
      <c r="A108" t="s">
        <v>79</v>
      </c>
      <c r="B108" t="s">
        <v>411</v>
      </c>
      <c r="C108">
        <v>1</v>
      </c>
      <c r="D108" cm="1">
        <f t="array" ref="D108">VLOOKUP(OrderLines[[#This Row],[SKU]:[SKU]],Menu[],MATCH(OrderLines[[#Headers],[UnitPrice]],Menu[#Headers],0),FALSE)</f>
        <v>22.2</v>
      </c>
      <c r="E108" cm="1">
        <f t="array" ref="E108">VLOOKUP(OrderLines[[#This Row],[SKU]:[SKU]],Menu[],MATCH(OrderLines[[#Headers],[UnitCost]],Menu[#Headers],0),FALSE)</f>
        <v>9.3800000000000008</v>
      </c>
      <c r="F108" t="str" cm="1">
        <f t="array" ref="F108">VLOOKUP(OrderLines[[#This Row],[SKU]:[SKU]],Menu[],MATCH(OrderLines[[#Headers],[Category]],Menu[#Headers],0),FALSE)</f>
        <v>Beverage</v>
      </c>
      <c r="G108" t="str" cm="1">
        <f t="array" ref="G108">_xlfn.TEXTJOIN("+",TRUE,_xlfn._xlws.SORT(_xlfn.UNIQUE(_xlfn._xlws.FILTER(OrderLines[Category],OrderLines[OrderID]=OrderLines[[#This Row],[OrderID]]))))</f>
        <v>Beverage</v>
      </c>
      <c r="H108" s="2" cm="1">
        <f t="array" ref="H108">INT(VLOOKUP(OrderLines[[#This Row],[OrderID]:[OrderID]],Orders[],MATCH(OrderLines[[#Headers],[OrderDateTime]],Orders[#Headers],0),FALSE))</f>
        <v>45865</v>
      </c>
      <c r="I108" t="str" cm="1">
        <f t="array" ref="I108">VLOOKUP(OrderLines[[#This Row],[OrderID]:[OrderID]],Orders[],MATCH(OrderLines[[#Headers],[Branch]],Orders[#Headers],0),FALSE)</f>
        <v>Plant 1 Canteen</v>
      </c>
      <c r="J108" cm="1">
        <f t="array" ref="J108">VLOOKUP(OrderLines[[#This Row],[OrderID]:[OrderID]],Orders[],MATCH(OrderLines[[#Headers],[DiscountPct]],Orders[#Headers],0),FALSE)</f>
        <v>0.03</v>
      </c>
      <c r="K108" t="str" cm="1">
        <f t="array" ref="K108">VLOOKUP(OrderLines[[#This Row],[OrderID]:[OrderID]],Orders[],MATCH(OrderLines[[#Headers],[PaymentType]],Orders[#Headers],0),FALSE)</f>
        <v>Cash</v>
      </c>
      <c r="L108" t="str" cm="1">
        <f t="array" ref="L108">VLOOKUP(OrderLines[[#This Row],[OrderID]:[OrderID]],Orders[],MATCH(OrderLines[[#Headers],[Shift]],Orders[#Headers],0),FALSE)</f>
        <v>Breakfast</v>
      </c>
      <c r="M108" s="8">
        <f>(OrderLines[[#This Row],[Qty]]*OrderLines[[#This Row],[UnitPrice]])*(1-OrderLines[[#This Row],[DiscountPct]])</f>
        <v>21.533999999999999</v>
      </c>
      <c r="N108" t="str">
        <f>IF(AND(COUNTIFS(OrderLines[OrderID],OrderLines[[#This Row],[OrderID]],OrderLines[Category],"Hot Meal"),COUNTIFS(OrderLines[OrderID],OrderLines[[#This Row],[OrderID]],OrderLines[Category],"Beverage")),"Combo","Single")</f>
        <v>Single</v>
      </c>
      <c r="O108" s="8" t="str" cm="1">
        <f t="array" ref="O108">IF(SUMPRODUCT(OrderLines[UnitPrice],OrderLines[Qty],OrderLines[DiscountPct],--(OrderLines[OrderID] = OrderLines[[#This Row],[OrderID]]))&gt;40,"High Discount","Ok")</f>
        <v>Ok</v>
      </c>
      <c r="P108">
        <f>OrderLines[[#This Row],[UnitCost]]*OrderLines[[#This Row],[Qty]]</f>
        <v>9.3800000000000008</v>
      </c>
      <c r="Q108" s="8">
        <f>OrderLines[[#This Row],[LineNetAmount]]-OrderLines[[#This Row],[Food Cost]]</f>
        <v>12.153999999999998</v>
      </c>
    </row>
    <row r="109" spans="1:17" x14ac:dyDescent="0.3">
      <c r="A109" t="s">
        <v>80</v>
      </c>
      <c r="B109" t="s">
        <v>411</v>
      </c>
      <c r="C109">
        <v>1</v>
      </c>
      <c r="D109" cm="1">
        <f t="array" ref="D109">VLOOKUP(OrderLines[[#This Row],[SKU]:[SKU]],Menu[],MATCH(OrderLines[[#Headers],[UnitPrice]],Menu[#Headers],0),FALSE)</f>
        <v>22.2</v>
      </c>
      <c r="E109" cm="1">
        <f t="array" ref="E109">VLOOKUP(OrderLines[[#This Row],[SKU]:[SKU]],Menu[],MATCH(OrderLines[[#Headers],[UnitCost]],Menu[#Headers],0),FALSE)</f>
        <v>9.3800000000000008</v>
      </c>
      <c r="F109" t="str" cm="1">
        <f t="array" ref="F109">VLOOKUP(OrderLines[[#This Row],[SKU]:[SKU]],Menu[],MATCH(OrderLines[[#Headers],[Category]],Menu[#Headers],0),FALSE)</f>
        <v>Beverage</v>
      </c>
      <c r="G109" t="str" cm="1">
        <f t="array" ref="G109">_xlfn.TEXTJOIN("+",TRUE,_xlfn._xlws.SORT(_xlfn.UNIQUE(_xlfn._xlws.FILTER(OrderLines[Category],OrderLines[OrderID]=OrderLines[[#This Row],[OrderID]]))))</f>
        <v>Beverage+Snack</v>
      </c>
      <c r="H109" s="2" cm="1">
        <f t="array" ref="H109">INT(VLOOKUP(OrderLines[[#This Row],[OrderID]:[OrderID]],Orders[],MATCH(OrderLines[[#Headers],[OrderDateTime]],Orders[#Headers],0),FALSE))</f>
        <v>45843</v>
      </c>
      <c r="I109" t="str" cm="1">
        <f t="array" ref="I109">VLOOKUP(OrderLines[[#This Row],[OrderID]:[OrderID]],Orders[],MATCH(OrderLines[[#Headers],[Branch]],Orders[#Headers],0),FALSE)</f>
        <v>Plant 2 Canteen</v>
      </c>
      <c r="J109" cm="1">
        <f t="array" ref="J109">VLOOKUP(OrderLines[[#This Row],[OrderID]:[OrderID]],Orders[],MATCH(OrderLines[[#Headers],[DiscountPct]],Orders[#Headers],0),FALSE)</f>
        <v>0.04</v>
      </c>
      <c r="K109" t="str" cm="1">
        <f t="array" ref="K109">VLOOKUP(OrderLines[[#This Row],[OrderID]:[OrderID]],Orders[],MATCH(OrderLines[[#Headers],[PaymentType]],Orders[#Headers],0),FALSE)</f>
        <v>Cash</v>
      </c>
      <c r="L109" t="str" cm="1">
        <f t="array" ref="L109">VLOOKUP(OrderLines[[#This Row],[OrderID]:[OrderID]],Orders[],MATCH(OrderLines[[#Headers],[Shift]],Orders[#Headers],0),FALSE)</f>
        <v>Breakfast</v>
      </c>
      <c r="M109" s="8">
        <f>(OrderLines[[#This Row],[Qty]]*OrderLines[[#This Row],[UnitPrice]])*(1-OrderLines[[#This Row],[DiscountPct]])</f>
        <v>21.311999999999998</v>
      </c>
      <c r="N109" t="str">
        <f>IF(AND(COUNTIFS(OrderLines[OrderID],OrderLines[[#This Row],[OrderID]],OrderLines[Category],"Hot Meal"),COUNTIFS(OrderLines[OrderID],OrderLines[[#This Row],[OrderID]],OrderLines[Category],"Beverage")),"Combo","Single")</f>
        <v>Single</v>
      </c>
      <c r="O109" s="8" t="str" cm="1">
        <f t="array" ref="O109">IF(SUMPRODUCT(OrderLines[UnitPrice],OrderLines[Qty],OrderLines[DiscountPct],--(OrderLines[OrderID] = OrderLines[[#This Row],[OrderID]]))&gt;40,"High Discount","Ok")</f>
        <v>Ok</v>
      </c>
      <c r="P109">
        <f>OrderLines[[#This Row],[UnitCost]]*OrderLines[[#This Row],[Qty]]</f>
        <v>9.3800000000000008</v>
      </c>
      <c r="Q109" s="8">
        <f>OrderLines[[#This Row],[LineNetAmount]]-OrderLines[[#This Row],[Food Cost]]</f>
        <v>11.931999999999997</v>
      </c>
    </row>
    <row r="110" spans="1:17" x14ac:dyDescent="0.3">
      <c r="A110" t="s">
        <v>80</v>
      </c>
      <c r="B110" t="s">
        <v>401</v>
      </c>
      <c r="C110">
        <v>1</v>
      </c>
      <c r="D110" cm="1">
        <f t="array" ref="D110">VLOOKUP(OrderLines[[#This Row],[SKU]:[SKU]],Menu[],MATCH(OrderLines[[#Headers],[UnitPrice]],Menu[#Headers],0),FALSE)</f>
        <v>52.45</v>
      </c>
      <c r="E110" cm="1">
        <f t="array" ref="E110">VLOOKUP(OrderLines[[#This Row],[SKU]:[SKU]],Menu[],MATCH(OrderLines[[#Headers],[UnitCost]],Menu[#Headers],0),FALSE)</f>
        <v>25.8</v>
      </c>
      <c r="F110" t="str" cm="1">
        <f t="array" ref="F110">VLOOKUP(OrderLines[[#This Row],[SKU]:[SKU]],Menu[],MATCH(OrderLines[[#Headers],[Category]],Menu[#Headers],0),FALSE)</f>
        <v>Snack</v>
      </c>
      <c r="G110" t="str" cm="1">
        <f t="array" ref="G110">_xlfn.TEXTJOIN("+",TRUE,_xlfn._xlws.SORT(_xlfn.UNIQUE(_xlfn._xlws.FILTER(OrderLines[Category],OrderLines[OrderID]=OrderLines[[#This Row],[OrderID]]))))</f>
        <v>Beverage+Snack</v>
      </c>
      <c r="H110" s="2" cm="1">
        <f t="array" ref="H110">INT(VLOOKUP(OrderLines[[#This Row],[OrderID]:[OrderID]],Orders[],MATCH(OrderLines[[#Headers],[OrderDateTime]],Orders[#Headers],0),FALSE))</f>
        <v>45843</v>
      </c>
      <c r="I110" t="str" cm="1">
        <f t="array" ref="I110">VLOOKUP(OrderLines[[#This Row],[OrderID]:[OrderID]],Orders[],MATCH(OrderLines[[#Headers],[Branch]],Orders[#Headers],0),FALSE)</f>
        <v>Plant 2 Canteen</v>
      </c>
      <c r="J110" cm="1">
        <f t="array" ref="J110">VLOOKUP(OrderLines[[#This Row],[OrderID]:[OrderID]],Orders[],MATCH(OrderLines[[#Headers],[DiscountPct]],Orders[#Headers],0),FALSE)</f>
        <v>0.04</v>
      </c>
      <c r="K110" t="str" cm="1">
        <f t="array" ref="K110">VLOOKUP(OrderLines[[#This Row],[OrderID]:[OrderID]],Orders[],MATCH(OrderLines[[#Headers],[PaymentType]],Orders[#Headers],0),FALSE)</f>
        <v>Cash</v>
      </c>
      <c r="L110" t="str" cm="1">
        <f t="array" ref="L110">VLOOKUP(OrderLines[[#This Row],[OrderID]:[OrderID]],Orders[],MATCH(OrderLines[[#Headers],[Shift]],Orders[#Headers],0),FALSE)</f>
        <v>Breakfast</v>
      </c>
      <c r="M110" s="8">
        <f>(OrderLines[[#This Row],[Qty]]*OrderLines[[#This Row],[UnitPrice]])*(1-OrderLines[[#This Row],[DiscountPct]])</f>
        <v>50.352000000000004</v>
      </c>
      <c r="N110" t="str">
        <f>IF(AND(COUNTIFS(OrderLines[OrderID],OrderLines[[#This Row],[OrderID]],OrderLines[Category],"Hot Meal"),COUNTIFS(OrderLines[OrderID],OrderLines[[#This Row],[OrderID]],OrderLines[Category],"Beverage")),"Combo","Single")</f>
        <v>Single</v>
      </c>
      <c r="O110" s="8" t="str" cm="1">
        <f t="array" ref="O110">IF(SUMPRODUCT(OrderLines[UnitPrice],OrderLines[Qty],OrderLines[DiscountPct],--(OrderLines[OrderID] = OrderLines[[#This Row],[OrderID]]))&gt;40,"High Discount","Ok")</f>
        <v>Ok</v>
      </c>
      <c r="P110">
        <f>OrderLines[[#This Row],[UnitCost]]*OrderLines[[#This Row],[Qty]]</f>
        <v>25.8</v>
      </c>
      <c r="Q110" s="8">
        <f>OrderLines[[#This Row],[LineNetAmount]]-OrderLines[[#This Row],[Food Cost]]</f>
        <v>24.552000000000003</v>
      </c>
    </row>
    <row r="111" spans="1:17" x14ac:dyDescent="0.3">
      <c r="A111" t="s">
        <v>80</v>
      </c>
      <c r="B111" t="s">
        <v>408</v>
      </c>
      <c r="C111">
        <v>1</v>
      </c>
      <c r="D111" cm="1">
        <f t="array" ref="D111">VLOOKUP(OrderLines[[#This Row],[SKU]:[SKU]],Menu[],MATCH(OrderLines[[#Headers],[UnitPrice]],Menu[#Headers],0),FALSE)</f>
        <v>70.540000000000006</v>
      </c>
      <c r="E111" cm="1">
        <f t="array" ref="E111">VLOOKUP(OrderLines[[#This Row],[SKU]:[SKU]],Menu[],MATCH(OrderLines[[#Headers],[UnitCost]],Menu[#Headers],0),FALSE)</f>
        <v>35.81</v>
      </c>
      <c r="F111" t="str" cm="1">
        <f t="array" ref="F111">VLOOKUP(OrderLines[[#This Row],[SKU]:[SKU]],Menu[],MATCH(OrderLines[[#Headers],[Category]],Menu[#Headers],0),FALSE)</f>
        <v>Snack</v>
      </c>
      <c r="G111" t="str" cm="1">
        <f t="array" ref="G111">_xlfn.TEXTJOIN("+",TRUE,_xlfn._xlws.SORT(_xlfn.UNIQUE(_xlfn._xlws.FILTER(OrderLines[Category],OrderLines[OrderID]=OrderLines[[#This Row],[OrderID]]))))</f>
        <v>Beverage+Snack</v>
      </c>
      <c r="H111" s="2" cm="1">
        <f t="array" ref="H111">INT(VLOOKUP(OrderLines[[#This Row],[OrderID]:[OrderID]],Orders[],MATCH(OrderLines[[#Headers],[OrderDateTime]],Orders[#Headers],0),FALSE))</f>
        <v>45843</v>
      </c>
      <c r="I111" t="str" cm="1">
        <f t="array" ref="I111">VLOOKUP(OrderLines[[#This Row],[OrderID]:[OrderID]],Orders[],MATCH(OrderLines[[#Headers],[Branch]],Orders[#Headers],0),FALSE)</f>
        <v>Plant 2 Canteen</v>
      </c>
      <c r="J111" cm="1">
        <f t="array" ref="J111">VLOOKUP(OrderLines[[#This Row],[OrderID]:[OrderID]],Orders[],MATCH(OrderLines[[#Headers],[DiscountPct]],Orders[#Headers],0),FALSE)</f>
        <v>0.04</v>
      </c>
      <c r="K111" t="str" cm="1">
        <f t="array" ref="K111">VLOOKUP(OrderLines[[#This Row],[OrderID]:[OrderID]],Orders[],MATCH(OrderLines[[#Headers],[PaymentType]],Orders[#Headers],0),FALSE)</f>
        <v>Cash</v>
      </c>
      <c r="L111" t="str" cm="1">
        <f t="array" ref="L111">VLOOKUP(OrderLines[[#This Row],[OrderID]:[OrderID]],Orders[],MATCH(OrderLines[[#Headers],[Shift]],Orders[#Headers],0),FALSE)</f>
        <v>Breakfast</v>
      </c>
      <c r="M111" s="8">
        <f>(OrderLines[[#This Row],[Qty]]*OrderLines[[#This Row],[UnitPrice]])*(1-OrderLines[[#This Row],[DiscountPct]])</f>
        <v>67.718400000000003</v>
      </c>
      <c r="N111" t="str">
        <f>IF(AND(COUNTIFS(OrderLines[OrderID],OrderLines[[#This Row],[OrderID]],OrderLines[Category],"Hot Meal"),COUNTIFS(OrderLines[OrderID],OrderLines[[#This Row],[OrderID]],OrderLines[Category],"Beverage")),"Combo","Single")</f>
        <v>Single</v>
      </c>
      <c r="O111" s="8" t="str" cm="1">
        <f t="array" ref="O111">IF(SUMPRODUCT(OrderLines[UnitPrice],OrderLines[Qty],OrderLines[DiscountPct],--(OrderLines[OrderID] = OrderLines[[#This Row],[OrderID]]))&gt;40,"High Discount","Ok")</f>
        <v>Ok</v>
      </c>
      <c r="P111">
        <f>OrderLines[[#This Row],[UnitCost]]*OrderLines[[#This Row],[Qty]]</f>
        <v>35.81</v>
      </c>
      <c r="Q111" s="8">
        <f>OrderLines[[#This Row],[LineNetAmount]]-OrderLines[[#This Row],[Food Cost]]</f>
        <v>31.9084</v>
      </c>
    </row>
    <row r="112" spans="1:17" x14ac:dyDescent="0.3">
      <c r="A112" t="s">
        <v>81</v>
      </c>
      <c r="B112" t="s">
        <v>410</v>
      </c>
      <c r="C112">
        <v>3</v>
      </c>
      <c r="D112" cm="1">
        <f t="array" ref="D112">VLOOKUP(OrderLines[[#This Row],[SKU]:[SKU]],Menu[],MATCH(OrderLines[[#Headers],[UnitPrice]],Menu[#Headers],0),FALSE)</f>
        <v>20.11</v>
      </c>
      <c r="E112" cm="1">
        <f t="array" ref="E112">VLOOKUP(OrderLines[[#This Row],[SKU]:[SKU]],Menu[],MATCH(OrderLines[[#Headers],[UnitCost]],Menu[#Headers],0),FALSE)</f>
        <v>8</v>
      </c>
      <c r="F112" t="str" cm="1">
        <f t="array" ref="F112">VLOOKUP(OrderLines[[#This Row],[SKU]:[SKU]],Menu[],MATCH(OrderLines[[#Headers],[Category]],Menu[#Headers],0),FALSE)</f>
        <v>Beverage</v>
      </c>
      <c r="G112" t="str" cm="1">
        <f t="array" ref="G112">_xlfn.TEXTJOIN("+",TRUE,_xlfn._xlws.SORT(_xlfn.UNIQUE(_xlfn._xlws.FILTER(OrderLines[Category],OrderLines[OrderID]=OrderLines[[#This Row],[OrderID]]))))</f>
        <v>Beverage+Dessert</v>
      </c>
      <c r="H112" s="2" cm="1">
        <f t="array" ref="H112">INT(VLOOKUP(OrderLines[[#This Row],[OrderID]:[OrderID]],Orders[],MATCH(OrderLines[[#Headers],[OrderDateTime]],Orders[#Headers],0),FALSE))</f>
        <v>45873</v>
      </c>
      <c r="I112" t="str" cm="1">
        <f t="array" ref="I112">VLOOKUP(OrderLines[[#This Row],[OrderID]:[OrderID]],Orders[],MATCH(OrderLines[[#Headers],[Branch]],Orders[#Headers],0),FALSE)</f>
        <v>Plant 2 Canteen</v>
      </c>
      <c r="J112" cm="1">
        <f t="array" ref="J112">VLOOKUP(OrderLines[[#This Row],[OrderID]:[OrderID]],Orders[],MATCH(OrderLines[[#Headers],[DiscountPct]],Orders[#Headers],0),FALSE)</f>
        <v>0.1</v>
      </c>
      <c r="K112" t="str" cm="1">
        <f t="array" ref="K112">VLOOKUP(OrderLines[[#This Row],[OrderID]:[OrderID]],Orders[],MATCH(OrderLines[[#Headers],[PaymentType]],Orders[#Headers],0),FALSE)</f>
        <v>Cash</v>
      </c>
      <c r="L112" t="str" cm="1">
        <f t="array" ref="L112">VLOOKUP(OrderLines[[#This Row],[OrderID]:[OrderID]],Orders[],MATCH(OrderLines[[#Headers],[Shift]],Orders[#Headers],0),FALSE)</f>
        <v>Breakfast</v>
      </c>
      <c r="M112" s="8">
        <f>(OrderLines[[#This Row],[Qty]]*OrderLines[[#This Row],[UnitPrice]])*(1-OrderLines[[#This Row],[DiscountPct]])</f>
        <v>54.296999999999997</v>
      </c>
      <c r="N112" t="str">
        <f>IF(AND(COUNTIFS(OrderLines[OrderID],OrderLines[[#This Row],[OrderID]],OrderLines[Category],"Hot Meal"),COUNTIFS(OrderLines[OrderID],OrderLines[[#This Row],[OrderID]],OrderLines[Category],"Beverage")),"Combo","Single")</f>
        <v>Single</v>
      </c>
      <c r="O112" s="8" t="str" cm="1">
        <f t="array" ref="O112">IF(SUMPRODUCT(OrderLines[UnitPrice],OrderLines[Qty],OrderLines[DiscountPct],--(OrderLines[OrderID] = OrderLines[[#This Row],[OrderID]]))&gt;40,"High Discount","Ok")</f>
        <v>Ok</v>
      </c>
      <c r="P112">
        <f>OrderLines[[#This Row],[UnitCost]]*OrderLines[[#This Row],[Qty]]</f>
        <v>24</v>
      </c>
      <c r="Q112" s="8">
        <f>OrderLines[[#This Row],[LineNetAmount]]-OrderLines[[#This Row],[Food Cost]]</f>
        <v>30.296999999999997</v>
      </c>
    </row>
    <row r="113" spans="1:17" x14ac:dyDescent="0.3">
      <c r="A113" t="s">
        <v>81</v>
      </c>
      <c r="B113" t="s">
        <v>404</v>
      </c>
      <c r="C113">
        <v>2</v>
      </c>
      <c r="D113" cm="1">
        <f t="array" ref="D113">VLOOKUP(OrderLines[[#This Row],[SKU]:[SKU]],Menu[],MATCH(OrderLines[[#Headers],[UnitPrice]],Menu[#Headers],0),FALSE)</f>
        <v>32.979999999999997</v>
      </c>
      <c r="E113" cm="1">
        <f t="array" ref="E113">VLOOKUP(OrderLines[[#This Row],[SKU]:[SKU]],Menu[],MATCH(OrderLines[[#Headers],[UnitCost]],Menu[#Headers],0),FALSE)</f>
        <v>11.84</v>
      </c>
      <c r="F113" t="str" cm="1">
        <f t="array" ref="F113">VLOOKUP(OrderLines[[#This Row],[SKU]:[SKU]],Menu[],MATCH(OrderLines[[#Headers],[Category]],Menu[#Headers],0),FALSE)</f>
        <v>Beverage</v>
      </c>
      <c r="G113" t="str" cm="1">
        <f t="array" ref="G113">_xlfn.TEXTJOIN("+",TRUE,_xlfn._xlws.SORT(_xlfn.UNIQUE(_xlfn._xlws.FILTER(OrderLines[Category],OrderLines[OrderID]=OrderLines[[#This Row],[OrderID]]))))</f>
        <v>Beverage+Dessert</v>
      </c>
      <c r="H113" s="2" cm="1">
        <f t="array" ref="H113">INT(VLOOKUP(OrderLines[[#This Row],[OrderID]:[OrderID]],Orders[],MATCH(OrderLines[[#Headers],[OrderDateTime]],Orders[#Headers],0),FALSE))</f>
        <v>45873</v>
      </c>
      <c r="I113" t="str" cm="1">
        <f t="array" ref="I113">VLOOKUP(OrderLines[[#This Row],[OrderID]:[OrderID]],Orders[],MATCH(OrderLines[[#Headers],[Branch]],Orders[#Headers],0),FALSE)</f>
        <v>Plant 2 Canteen</v>
      </c>
      <c r="J113" cm="1">
        <f t="array" ref="J113">VLOOKUP(OrderLines[[#This Row],[OrderID]:[OrderID]],Orders[],MATCH(OrderLines[[#Headers],[DiscountPct]],Orders[#Headers],0),FALSE)</f>
        <v>0.1</v>
      </c>
      <c r="K113" t="str" cm="1">
        <f t="array" ref="K113">VLOOKUP(OrderLines[[#This Row],[OrderID]:[OrderID]],Orders[],MATCH(OrderLines[[#Headers],[PaymentType]],Orders[#Headers],0),FALSE)</f>
        <v>Cash</v>
      </c>
      <c r="L113" t="str" cm="1">
        <f t="array" ref="L113">VLOOKUP(OrderLines[[#This Row],[OrderID]:[OrderID]],Orders[],MATCH(OrderLines[[#Headers],[Shift]],Orders[#Headers],0),FALSE)</f>
        <v>Breakfast</v>
      </c>
      <c r="M113" s="8">
        <f>(OrderLines[[#This Row],[Qty]]*OrderLines[[#This Row],[UnitPrice]])*(1-OrderLines[[#This Row],[DiscountPct]])</f>
        <v>59.363999999999997</v>
      </c>
      <c r="N113" t="str">
        <f>IF(AND(COUNTIFS(OrderLines[OrderID],OrderLines[[#This Row],[OrderID]],OrderLines[Category],"Hot Meal"),COUNTIFS(OrderLines[OrderID],OrderLines[[#This Row],[OrderID]],OrderLines[Category],"Beverage")),"Combo","Single")</f>
        <v>Single</v>
      </c>
      <c r="O113" s="8" t="str" cm="1">
        <f t="array" ref="O113">IF(SUMPRODUCT(OrderLines[UnitPrice],OrderLines[Qty],OrderLines[DiscountPct],--(OrderLines[OrderID] = OrderLines[[#This Row],[OrderID]]))&gt;40,"High Discount","Ok")</f>
        <v>Ok</v>
      </c>
      <c r="P113">
        <f>OrderLines[[#This Row],[UnitCost]]*OrderLines[[#This Row],[Qty]]</f>
        <v>23.68</v>
      </c>
      <c r="Q113" s="8">
        <f>OrderLines[[#This Row],[LineNetAmount]]-OrderLines[[#This Row],[Food Cost]]</f>
        <v>35.683999999999997</v>
      </c>
    </row>
    <row r="114" spans="1:17" x14ac:dyDescent="0.3">
      <c r="A114" t="s">
        <v>81</v>
      </c>
      <c r="B114" t="s">
        <v>414</v>
      </c>
      <c r="C114">
        <v>2</v>
      </c>
      <c r="D114" cm="1">
        <f t="array" ref="D114">VLOOKUP(OrderLines[[#This Row],[SKU]:[SKU]],Menu[],MATCH(OrderLines[[#Headers],[UnitPrice]],Menu[#Headers],0),FALSE)</f>
        <v>116.8</v>
      </c>
      <c r="E114" cm="1">
        <f t="array" ref="E114">VLOOKUP(OrderLines[[#This Row],[SKU]:[SKU]],Menu[],MATCH(OrderLines[[#Headers],[UnitCost]],Menu[#Headers],0),FALSE)</f>
        <v>48.97</v>
      </c>
      <c r="F114" t="str" cm="1">
        <f t="array" ref="F114">VLOOKUP(OrderLines[[#This Row],[SKU]:[SKU]],Menu[],MATCH(OrderLines[[#Headers],[Category]],Menu[#Headers],0),FALSE)</f>
        <v>Dessert</v>
      </c>
      <c r="G114" t="str" cm="1">
        <f t="array" ref="G114">_xlfn.TEXTJOIN("+",TRUE,_xlfn._xlws.SORT(_xlfn.UNIQUE(_xlfn._xlws.FILTER(OrderLines[Category],OrderLines[OrderID]=OrderLines[[#This Row],[OrderID]]))))</f>
        <v>Beverage+Dessert</v>
      </c>
      <c r="H114" s="2" cm="1">
        <f t="array" ref="H114">INT(VLOOKUP(OrderLines[[#This Row],[OrderID]:[OrderID]],Orders[],MATCH(OrderLines[[#Headers],[OrderDateTime]],Orders[#Headers],0),FALSE))</f>
        <v>45873</v>
      </c>
      <c r="I114" t="str" cm="1">
        <f t="array" ref="I114">VLOOKUP(OrderLines[[#This Row],[OrderID]:[OrderID]],Orders[],MATCH(OrderLines[[#Headers],[Branch]],Orders[#Headers],0),FALSE)</f>
        <v>Plant 2 Canteen</v>
      </c>
      <c r="J114" cm="1">
        <f t="array" ref="J114">VLOOKUP(OrderLines[[#This Row],[OrderID]:[OrderID]],Orders[],MATCH(OrderLines[[#Headers],[DiscountPct]],Orders[#Headers],0),FALSE)</f>
        <v>0.1</v>
      </c>
      <c r="K114" t="str" cm="1">
        <f t="array" ref="K114">VLOOKUP(OrderLines[[#This Row],[OrderID]:[OrderID]],Orders[],MATCH(OrderLines[[#Headers],[PaymentType]],Orders[#Headers],0),FALSE)</f>
        <v>Cash</v>
      </c>
      <c r="L114" t="str" cm="1">
        <f t="array" ref="L114">VLOOKUP(OrderLines[[#This Row],[OrderID]:[OrderID]],Orders[],MATCH(OrderLines[[#Headers],[Shift]],Orders[#Headers],0),FALSE)</f>
        <v>Breakfast</v>
      </c>
      <c r="M114" s="8">
        <f>(OrderLines[[#This Row],[Qty]]*OrderLines[[#This Row],[UnitPrice]])*(1-OrderLines[[#This Row],[DiscountPct]])</f>
        <v>210.24</v>
      </c>
      <c r="N114" t="str">
        <f>IF(AND(COUNTIFS(OrderLines[OrderID],OrderLines[[#This Row],[OrderID]],OrderLines[Category],"Hot Meal"),COUNTIFS(OrderLines[OrderID],OrderLines[[#This Row],[OrderID]],OrderLines[Category],"Beverage")),"Combo","Single")</f>
        <v>Single</v>
      </c>
      <c r="O114" s="8" t="str" cm="1">
        <f t="array" ref="O114">IF(SUMPRODUCT(OrderLines[UnitPrice],OrderLines[Qty],OrderLines[DiscountPct],--(OrderLines[OrderID] = OrderLines[[#This Row],[OrderID]]))&gt;40,"High Discount","Ok")</f>
        <v>Ok</v>
      </c>
      <c r="P114">
        <f>OrderLines[[#This Row],[UnitCost]]*OrderLines[[#This Row],[Qty]]</f>
        <v>97.94</v>
      </c>
      <c r="Q114" s="8">
        <f>OrderLines[[#This Row],[LineNetAmount]]-OrderLines[[#This Row],[Food Cost]]</f>
        <v>112.30000000000001</v>
      </c>
    </row>
    <row r="115" spans="1:17" x14ac:dyDescent="0.3">
      <c r="A115" t="s">
        <v>82</v>
      </c>
      <c r="B115" t="s">
        <v>418</v>
      </c>
      <c r="C115">
        <v>1</v>
      </c>
      <c r="D115" cm="1">
        <f t="array" ref="D115">VLOOKUP(OrderLines[[#This Row],[SKU]:[SKU]],Menu[],MATCH(OrderLines[[#Headers],[UnitPrice]],Menu[#Headers],0),FALSE)</f>
        <v>39.950000000000003</v>
      </c>
      <c r="E115" cm="1">
        <f t="array" ref="E115">VLOOKUP(OrderLines[[#This Row],[SKU]:[SKU]],Menu[],MATCH(OrderLines[[#Headers],[UnitCost]],Menu[#Headers],0),FALSE)</f>
        <v>15.51</v>
      </c>
      <c r="F115" t="str" cm="1">
        <f t="array" ref="F115">VLOOKUP(OrderLines[[#This Row],[SKU]:[SKU]],Menu[],MATCH(OrderLines[[#Headers],[Category]],Menu[#Headers],0),FALSE)</f>
        <v>Snack</v>
      </c>
      <c r="G115" t="str" cm="1">
        <f t="array" ref="G115">_xlfn.TEXTJOIN("+",TRUE,_xlfn._xlws.SORT(_xlfn.UNIQUE(_xlfn._xlws.FILTER(OrderLines[Category],OrderLines[OrderID]=OrderLines[[#This Row],[OrderID]]))))</f>
        <v>Snack</v>
      </c>
      <c r="H115" s="2" cm="1">
        <f t="array" ref="H115">INT(VLOOKUP(OrderLines[[#This Row],[OrderID]:[OrderID]],Orders[],MATCH(OrderLines[[#Headers],[OrderDateTime]],Orders[#Headers],0),FALSE))</f>
        <v>45858</v>
      </c>
      <c r="I115" t="str" cm="1">
        <f t="array" ref="I115">VLOOKUP(OrderLines[[#This Row],[OrderID]:[OrderID]],Orders[],MATCH(OrderLines[[#Headers],[Branch]],Orders[#Headers],0),FALSE)</f>
        <v>Plant 2 Canteen</v>
      </c>
      <c r="J115" cm="1">
        <f t="array" ref="J115">VLOOKUP(OrderLines[[#This Row],[OrderID]:[OrderID]],Orders[],MATCH(OrderLines[[#Headers],[DiscountPct]],Orders[#Headers],0),FALSE)</f>
        <v>7.0000000000000007E-2</v>
      </c>
      <c r="K115" t="str" cm="1">
        <f t="array" ref="K115">VLOOKUP(OrderLines[[#This Row],[OrderID]:[OrderID]],Orders[],MATCH(OrderLines[[#Headers],[PaymentType]],Orders[#Headers],0),FALSE)</f>
        <v>Card</v>
      </c>
      <c r="L115" t="str" cm="1">
        <f t="array" ref="L115">VLOOKUP(OrderLines[[#This Row],[OrderID]:[OrderID]],Orders[],MATCH(OrderLines[[#Headers],[Shift]],Orders[#Headers],0),FALSE)</f>
        <v>Breakfast</v>
      </c>
      <c r="M115" s="8">
        <f>(OrderLines[[#This Row],[Qty]]*OrderLines[[#This Row],[UnitPrice]])*(1-OrderLines[[#This Row],[DiscountPct]])</f>
        <v>37.153500000000001</v>
      </c>
      <c r="N115" t="str">
        <f>IF(AND(COUNTIFS(OrderLines[OrderID],OrderLines[[#This Row],[OrderID]],OrderLines[Category],"Hot Meal"),COUNTIFS(OrderLines[OrderID],OrderLines[[#This Row],[OrderID]],OrderLines[Category],"Beverage")),"Combo","Single")</f>
        <v>Single</v>
      </c>
      <c r="O115" s="8" t="str" cm="1">
        <f t="array" ref="O115">IF(SUMPRODUCT(OrderLines[UnitPrice],OrderLines[Qty],OrderLines[DiscountPct],--(OrderLines[OrderID] = OrderLines[[#This Row],[OrderID]]))&gt;40,"High Discount","Ok")</f>
        <v>Ok</v>
      </c>
      <c r="P115">
        <f>OrderLines[[#This Row],[UnitCost]]*OrderLines[[#This Row],[Qty]]</f>
        <v>15.51</v>
      </c>
      <c r="Q115" s="8">
        <f>OrderLines[[#This Row],[LineNetAmount]]-OrderLines[[#This Row],[Food Cost]]</f>
        <v>21.643500000000003</v>
      </c>
    </row>
    <row r="116" spans="1:17" x14ac:dyDescent="0.3">
      <c r="A116" t="s">
        <v>83</v>
      </c>
      <c r="B116" t="s">
        <v>415</v>
      </c>
      <c r="C116">
        <v>2</v>
      </c>
      <c r="D116" cm="1">
        <f t="array" ref="D116">VLOOKUP(OrderLines[[#This Row],[SKU]:[SKU]],Menu[],MATCH(OrderLines[[#Headers],[UnitPrice]],Menu[#Headers],0),FALSE)</f>
        <v>256.91000000000003</v>
      </c>
      <c r="E116" cm="1">
        <f t="array" ref="E116">VLOOKUP(OrderLines[[#This Row],[SKU]:[SKU]],Menu[],MATCH(OrderLines[[#Headers],[UnitCost]],Menu[#Headers],0),FALSE)</f>
        <v>121.24</v>
      </c>
      <c r="F116" t="str" cm="1">
        <f t="array" ref="F116">VLOOKUP(OrderLines[[#This Row],[SKU]:[SKU]],Menu[],MATCH(OrderLines[[#Headers],[Category]],Menu[#Headers],0),FALSE)</f>
        <v>Hot Meal</v>
      </c>
      <c r="G116" t="str" cm="1">
        <f t="array" ref="G116">_xlfn.TEXTJOIN("+",TRUE,_xlfn._xlws.SORT(_xlfn.UNIQUE(_xlfn._xlws.FILTER(OrderLines[Category],OrderLines[OrderID]=OrderLines[[#This Row],[OrderID]]))))</f>
        <v>Dessert+Hot Meal+Snack</v>
      </c>
      <c r="H116" s="2" cm="1">
        <f t="array" ref="H116">INT(VLOOKUP(OrderLines[[#This Row],[OrderID]:[OrderID]],Orders[],MATCH(OrderLines[[#Headers],[OrderDateTime]],Orders[#Headers],0),FALSE))</f>
        <v>45866</v>
      </c>
      <c r="I116" t="str" cm="1">
        <f t="array" ref="I116">VLOOKUP(OrderLines[[#This Row],[OrderID]:[OrderID]],Orders[],MATCH(OrderLines[[#Headers],[Branch]],Orders[#Headers],0),FALSE)</f>
        <v>Plant 2 Canteen</v>
      </c>
      <c r="J116" cm="1">
        <f t="array" ref="J116">VLOOKUP(OrderLines[[#This Row],[OrderID]:[OrderID]],Orders[],MATCH(OrderLines[[#Headers],[DiscountPct]],Orders[#Headers],0),FALSE)</f>
        <v>0.04</v>
      </c>
      <c r="K116" t="str" cm="1">
        <f t="array" ref="K116">VLOOKUP(OrderLines[[#This Row],[OrderID]:[OrderID]],Orders[],MATCH(OrderLines[[#Headers],[PaymentType]],Orders[#Headers],0),FALSE)</f>
        <v>UPI</v>
      </c>
      <c r="L116" t="str" cm="1">
        <f t="array" ref="L116">VLOOKUP(OrderLines[[#This Row],[OrderID]:[OrderID]],Orders[],MATCH(OrderLines[[#Headers],[Shift]],Orders[#Headers],0),FALSE)</f>
        <v>Breakfast</v>
      </c>
      <c r="M116" s="8">
        <f>(OrderLines[[#This Row],[Qty]]*OrderLines[[#This Row],[UnitPrice]])*(1-OrderLines[[#This Row],[DiscountPct]])</f>
        <v>493.2672</v>
      </c>
      <c r="N116" t="str">
        <f>IF(AND(COUNTIFS(OrderLines[OrderID],OrderLines[[#This Row],[OrderID]],OrderLines[Category],"Hot Meal"),COUNTIFS(OrderLines[OrderID],OrderLines[[#This Row],[OrderID]],OrderLines[Category],"Beverage")),"Combo","Single")</f>
        <v>Single</v>
      </c>
      <c r="O116" s="8" t="str" cm="1">
        <f t="array" ref="O116">IF(SUMPRODUCT(OrderLines[UnitPrice],OrderLines[Qty],OrderLines[DiscountPct],--(OrderLines[OrderID] = OrderLines[[#This Row],[OrderID]]))&gt;40,"High Discount","Ok")</f>
        <v>Ok</v>
      </c>
      <c r="P116">
        <f>OrderLines[[#This Row],[UnitCost]]*OrderLines[[#This Row],[Qty]]</f>
        <v>242.48</v>
      </c>
      <c r="Q116" s="8">
        <f>OrderLines[[#This Row],[LineNetAmount]]-OrderLines[[#This Row],[Food Cost]]</f>
        <v>250.78720000000001</v>
      </c>
    </row>
    <row r="117" spans="1:17" x14ac:dyDescent="0.3">
      <c r="A117" t="s">
        <v>83</v>
      </c>
      <c r="B117" t="s">
        <v>401</v>
      </c>
      <c r="C117">
        <v>1</v>
      </c>
      <c r="D117" cm="1">
        <f t="array" ref="D117">VLOOKUP(OrderLines[[#This Row],[SKU]:[SKU]],Menu[],MATCH(OrderLines[[#Headers],[UnitPrice]],Menu[#Headers],0),FALSE)</f>
        <v>52.45</v>
      </c>
      <c r="E117" cm="1">
        <f t="array" ref="E117">VLOOKUP(OrderLines[[#This Row],[SKU]:[SKU]],Menu[],MATCH(OrderLines[[#Headers],[UnitCost]],Menu[#Headers],0),FALSE)</f>
        <v>25.8</v>
      </c>
      <c r="F117" t="str" cm="1">
        <f t="array" ref="F117">VLOOKUP(OrderLines[[#This Row],[SKU]:[SKU]],Menu[],MATCH(OrderLines[[#Headers],[Category]],Menu[#Headers],0),FALSE)</f>
        <v>Snack</v>
      </c>
      <c r="G117" t="str" cm="1">
        <f t="array" ref="G117">_xlfn.TEXTJOIN("+",TRUE,_xlfn._xlws.SORT(_xlfn.UNIQUE(_xlfn._xlws.FILTER(OrderLines[Category],OrderLines[OrderID]=OrderLines[[#This Row],[OrderID]]))))</f>
        <v>Dessert+Hot Meal+Snack</v>
      </c>
      <c r="H117" s="2" cm="1">
        <f t="array" ref="H117">INT(VLOOKUP(OrderLines[[#This Row],[OrderID]:[OrderID]],Orders[],MATCH(OrderLines[[#Headers],[OrderDateTime]],Orders[#Headers],0),FALSE))</f>
        <v>45866</v>
      </c>
      <c r="I117" t="str" cm="1">
        <f t="array" ref="I117">VLOOKUP(OrderLines[[#This Row],[OrderID]:[OrderID]],Orders[],MATCH(OrderLines[[#Headers],[Branch]],Orders[#Headers],0),FALSE)</f>
        <v>Plant 2 Canteen</v>
      </c>
      <c r="J117" cm="1">
        <f t="array" ref="J117">VLOOKUP(OrderLines[[#This Row],[OrderID]:[OrderID]],Orders[],MATCH(OrderLines[[#Headers],[DiscountPct]],Orders[#Headers],0),FALSE)</f>
        <v>0.04</v>
      </c>
      <c r="K117" t="str" cm="1">
        <f t="array" ref="K117">VLOOKUP(OrderLines[[#This Row],[OrderID]:[OrderID]],Orders[],MATCH(OrderLines[[#Headers],[PaymentType]],Orders[#Headers],0),FALSE)</f>
        <v>UPI</v>
      </c>
      <c r="L117" t="str" cm="1">
        <f t="array" ref="L117">VLOOKUP(OrderLines[[#This Row],[OrderID]:[OrderID]],Orders[],MATCH(OrderLines[[#Headers],[Shift]],Orders[#Headers],0),FALSE)</f>
        <v>Breakfast</v>
      </c>
      <c r="M117" s="8">
        <f>(OrderLines[[#This Row],[Qty]]*OrderLines[[#This Row],[UnitPrice]])*(1-OrderLines[[#This Row],[DiscountPct]])</f>
        <v>50.352000000000004</v>
      </c>
      <c r="N117" t="str">
        <f>IF(AND(COUNTIFS(OrderLines[OrderID],OrderLines[[#This Row],[OrderID]],OrderLines[Category],"Hot Meal"),COUNTIFS(OrderLines[OrderID],OrderLines[[#This Row],[OrderID]],OrderLines[Category],"Beverage")),"Combo","Single")</f>
        <v>Single</v>
      </c>
      <c r="O117" s="8" t="str" cm="1">
        <f t="array" ref="O117">IF(SUMPRODUCT(OrderLines[UnitPrice],OrderLines[Qty],OrderLines[DiscountPct],--(OrderLines[OrderID] = OrderLines[[#This Row],[OrderID]]))&gt;40,"High Discount","Ok")</f>
        <v>Ok</v>
      </c>
      <c r="P117">
        <f>OrderLines[[#This Row],[UnitCost]]*OrderLines[[#This Row],[Qty]]</f>
        <v>25.8</v>
      </c>
      <c r="Q117" s="8">
        <f>OrderLines[[#This Row],[LineNetAmount]]-OrderLines[[#This Row],[Food Cost]]</f>
        <v>24.552000000000003</v>
      </c>
    </row>
    <row r="118" spans="1:17" x14ac:dyDescent="0.3">
      <c r="A118" t="s">
        <v>83</v>
      </c>
      <c r="B118" t="s">
        <v>413</v>
      </c>
      <c r="C118">
        <v>1</v>
      </c>
      <c r="D118" cm="1">
        <f t="array" ref="D118">VLOOKUP(OrderLines[[#This Row],[SKU]:[SKU]],Menu[],MATCH(OrderLines[[#Headers],[UnitPrice]],Menu[#Headers],0),FALSE)</f>
        <v>54.2</v>
      </c>
      <c r="E118" cm="1">
        <f t="array" ref="E118">VLOOKUP(OrderLines[[#This Row],[SKU]:[SKU]],Menu[],MATCH(OrderLines[[#Headers],[UnitCost]],Menu[#Headers],0),FALSE)</f>
        <v>21.95</v>
      </c>
      <c r="F118" t="str" cm="1">
        <f t="array" ref="F118">VLOOKUP(OrderLines[[#This Row],[SKU]:[SKU]],Menu[],MATCH(OrderLines[[#Headers],[Category]],Menu[#Headers],0),FALSE)</f>
        <v>Dessert</v>
      </c>
      <c r="G118" t="str" cm="1">
        <f t="array" ref="G118">_xlfn.TEXTJOIN("+",TRUE,_xlfn._xlws.SORT(_xlfn.UNIQUE(_xlfn._xlws.FILTER(OrderLines[Category],OrderLines[OrderID]=OrderLines[[#This Row],[OrderID]]))))</f>
        <v>Dessert+Hot Meal+Snack</v>
      </c>
      <c r="H118" s="2" cm="1">
        <f t="array" ref="H118">INT(VLOOKUP(OrderLines[[#This Row],[OrderID]:[OrderID]],Orders[],MATCH(OrderLines[[#Headers],[OrderDateTime]],Orders[#Headers],0),FALSE))</f>
        <v>45866</v>
      </c>
      <c r="I118" t="str" cm="1">
        <f t="array" ref="I118">VLOOKUP(OrderLines[[#This Row],[OrderID]:[OrderID]],Orders[],MATCH(OrderLines[[#Headers],[Branch]],Orders[#Headers],0),FALSE)</f>
        <v>Plant 2 Canteen</v>
      </c>
      <c r="J118" cm="1">
        <f t="array" ref="J118">VLOOKUP(OrderLines[[#This Row],[OrderID]:[OrderID]],Orders[],MATCH(OrderLines[[#Headers],[DiscountPct]],Orders[#Headers],0),FALSE)</f>
        <v>0.04</v>
      </c>
      <c r="K118" t="str" cm="1">
        <f t="array" ref="K118">VLOOKUP(OrderLines[[#This Row],[OrderID]:[OrderID]],Orders[],MATCH(OrderLines[[#Headers],[PaymentType]],Orders[#Headers],0),FALSE)</f>
        <v>UPI</v>
      </c>
      <c r="L118" t="str" cm="1">
        <f t="array" ref="L118">VLOOKUP(OrderLines[[#This Row],[OrderID]:[OrderID]],Orders[],MATCH(OrderLines[[#Headers],[Shift]],Orders[#Headers],0),FALSE)</f>
        <v>Breakfast</v>
      </c>
      <c r="M118" s="8">
        <f>(OrderLines[[#This Row],[Qty]]*OrderLines[[#This Row],[UnitPrice]])*(1-OrderLines[[#This Row],[DiscountPct]])</f>
        <v>52.032000000000004</v>
      </c>
      <c r="N118" t="str">
        <f>IF(AND(COUNTIFS(OrderLines[OrderID],OrderLines[[#This Row],[OrderID]],OrderLines[Category],"Hot Meal"),COUNTIFS(OrderLines[OrderID],OrderLines[[#This Row],[OrderID]],OrderLines[Category],"Beverage")),"Combo","Single")</f>
        <v>Single</v>
      </c>
      <c r="O118" s="8" t="str" cm="1">
        <f t="array" ref="O118">IF(SUMPRODUCT(OrderLines[UnitPrice],OrderLines[Qty],OrderLines[DiscountPct],--(OrderLines[OrderID] = OrderLines[[#This Row],[OrderID]]))&gt;40,"High Discount","Ok")</f>
        <v>Ok</v>
      </c>
      <c r="P118">
        <f>OrderLines[[#This Row],[UnitCost]]*OrderLines[[#This Row],[Qty]]</f>
        <v>21.95</v>
      </c>
      <c r="Q118" s="8">
        <f>OrderLines[[#This Row],[LineNetAmount]]-OrderLines[[#This Row],[Food Cost]]</f>
        <v>30.082000000000004</v>
      </c>
    </row>
    <row r="119" spans="1:17" x14ac:dyDescent="0.3">
      <c r="A119" t="s">
        <v>84</v>
      </c>
      <c r="B119" t="s">
        <v>406</v>
      </c>
      <c r="C119">
        <v>1</v>
      </c>
      <c r="D119" cm="1">
        <f t="array" ref="D119">VLOOKUP(OrderLines[[#This Row],[SKU]:[SKU]],Menu[],MATCH(OrderLines[[#Headers],[UnitPrice]],Menu[#Headers],0),FALSE)</f>
        <v>38.06</v>
      </c>
      <c r="E119" cm="1">
        <f t="array" ref="E119">VLOOKUP(OrderLines[[#This Row],[SKU]:[SKU]],Menu[],MATCH(OrderLines[[#Headers],[UnitCost]],Menu[#Headers],0),FALSE)</f>
        <v>19.55</v>
      </c>
      <c r="F119" t="str" cm="1">
        <f t="array" ref="F119">VLOOKUP(OrderLines[[#This Row],[SKU]:[SKU]],Menu[],MATCH(OrderLines[[#Headers],[Category]],Menu[#Headers],0),FALSE)</f>
        <v>Snack</v>
      </c>
      <c r="G119" t="str" cm="1">
        <f t="array" ref="G119">_xlfn.TEXTJOIN("+",TRUE,_xlfn._xlws.SORT(_xlfn.UNIQUE(_xlfn._xlws.FILTER(OrderLines[Category],OrderLines[OrderID]=OrderLines[[#This Row],[OrderID]]))))</f>
        <v>Beverage+Snack</v>
      </c>
      <c r="H119" s="2" cm="1">
        <f t="array" ref="H119">INT(VLOOKUP(OrderLines[[#This Row],[OrderID]:[OrderID]],Orders[],MATCH(OrderLines[[#Headers],[OrderDateTime]],Orders[#Headers],0),FALSE))</f>
        <v>45891</v>
      </c>
      <c r="I119" t="str" cm="1">
        <f t="array" ref="I119">VLOOKUP(OrderLines[[#This Row],[OrderID]:[OrderID]],Orders[],MATCH(OrderLines[[#Headers],[Branch]],Orders[#Headers],0),FALSE)</f>
        <v>Plant 2 Canteen</v>
      </c>
      <c r="J119" cm="1">
        <f t="array" ref="J119">VLOOKUP(OrderLines[[#This Row],[OrderID]:[OrderID]],Orders[],MATCH(OrderLines[[#Headers],[DiscountPct]],Orders[#Headers],0),FALSE)</f>
        <v>0.08</v>
      </c>
      <c r="K119" t="str" cm="1">
        <f t="array" ref="K119">VLOOKUP(OrderLines[[#This Row],[OrderID]:[OrderID]],Orders[],MATCH(OrderLines[[#Headers],[PaymentType]],Orders[#Headers],0),FALSE)</f>
        <v>Cash</v>
      </c>
      <c r="L119" t="str" cm="1">
        <f t="array" ref="L119">VLOOKUP(OrderLines[[#This Row],[OrderID]:[OrderID]],Orders[],MATCH(OrderLines[[#Headers],[Shift]],Orders[#Headers],0),FALSE)</f>
        <v>Breakfast</v>
      </c>
      <c r="M119" s="8">
        <f>(OrderLines[[#This Row],[Qty]]*OrderLines[[#This Row],[UnitPrice]])*(1-OrderLines[[#This Row],[DiscountPct]])</f>
        <v>35.0152</v>
      </c>
      <c r="N119" t="str">
        <f>IF(AND(COUNTIFS(OrderLines[OrderID],OrderLines[[#This Row],[OrderID]],OrderLines[Category],"Hot Meal"),COUNTIFS(OrderLines[OrderID],OrderLines[[#This Row],[OrderID]],OrderLines[Category],"Beverage")),"Combo","Single")</f>
        <v>Single</v>
      </c>
      <c r="O119" s="8" t="str" cm="1">
        <f t="array" ref="O119">IF(SUMPRODUCT(OrderLines[UnitPrice],OrderLines[Qty],OrderLines[DiscountPct],--(OrderLines[OrderID] = OrderLines[[#This Row],[OrderID]]))&gt;40,"High Discount","Ok")</f>
        <v>Ok</v>
      </c>
      <c r="P119">
        <f>OrderLines[[#This Row],[UnitCost]]*OrderLines[[#This Row],[Qty]]</f>
        <v>19.55</v>
      </c>
      <c r="Q119" s="8">
        <f>OrderLines[[#This Row],[LineNetAmount]]-OrderLines[[#This Row],[Food Cost]]</f>
        <v>15.465199999999999</v>
      </c>
    </row>
    <row r="120" spans="1:17" x14ac:dyDescent="0.3">
      <c r="A120" t="s">
        <v>84</v>
      </c>
      <c r="B120" t="s">
        <v>419</v>
      </c>
      <c r="C120">
        <v>2</v>
      </c>
      <c r="D120" cm="1">
        <f t="array" ref="D120">VLOOKUP(OrderLines[[#This Row],[SKU]:[SKU]],Menu[],MATCH(OrderLines[[#Headers],[UnitPrice]],Menu[#Headers],0),FALSE)</f>
        <v>50.19</v>
      </c>
      <c r="E120" cm="1">
        <f t="array" ref="E120">VLOOKUP(OrderLines[[#This Row],[SKU]:[SKU]],Menu[],MATCH(OrderLines[[#Headers],[UnitCost]],Menu[#Headers],0),FALSE)</f>
        <v>22.61</v>
      </c>
      <c r="F120" t="str" cm="1">
        <f t="array" ref="F120">VLOOKUP(OrderLines[[#This Row],[SKU]:[SKU]],Menu[],MATCH(OrderLines[[#Headers],[Category]],Menu[#Headers],0),FALSE)</f>
        <v>Snack</v>
      </c>
      <c r="G120" t="str" cm="1">
        <f t="array" ref="G120">_xlfn.TEXTJOIN("+",TRUE,_xlfn._xlws.SORT(_xlfn.UNIQUE(_xlfn._xlws.FILTER(OrderLines[Category],OrderLines[OrderID]=OrderLines[[#This Row],[OrderID]]))))</f>
        <v>Beverage+Snack</v>
      </c>
      <c r="H120" s="2" cm="1">
        <f t="array" ref="H120">INT(VLOOKUP(OrderLines[[#This Row],[OrderID]:[OrderID]],Orders[],MATCH(OrderLines[[#Headers],[OrderDateTime]],Orders[#Headers],0),FALSE))</f>
        <v>45891</v>
      </c>
      <c r="I120" t="str" cm="1">
        <f t="array" ref="I120">VLOOKUP(OrderLines[[#This Row],[OrderID]:[OrderID]],Orders[],MATCH(OrderLines[[#Headers],[Branch]],Orders[#Headers],0),FALSE)</f>
        <v>Plant 2 Canteen</v>
      </c>
      <c r="J120" cm="1">
        <f t="array" ref="J120">VLOOKUP(OrderLines[[#This Row],[OrderID]:[OrderID]],Orders[],MATCH(OrderLines[[#Headers],[DiscountPct]],Orders[#Headers],0),FALSE)</f>
        <v>0.08</v>
      </c>
      <c r="K120" t="str" cm="1">
        <f t="array" ref="K120">VLOOKUP(OrderLines[[#This Row],[OrderID]:[OrderID]],Orders[],MATCH(OrderLines[[#Headers],[PaymentType]],Orders[#Headers],0),FALSE)</f>
        <v>Cash</v>
      </c>
      <c r="L120" t="str" cm="1">
        <f t="array" ref="L120">VLOOKUP(OrderLines[[#This Row],[OrderID]:[OrderID]],Orders[],MATCH(OrderLines[[#Headers],[Shift]],Orders[#Headers],0),FALSE)</f>
        <v>Breakfast</v>
      </c>
      <c r="M120" s="8">
        <f>(OrderLines[[#This Row],[Qty]]*OrderLines[[#This Row],[UnitPrice]])*(1-OrderLines[[#This Row],[DiscountPct]])</f>
        <v>92.349599999999995</v>
      </c>
      <c r="N120" t="str">
        <f>IF(AND(COUNTIFS(OrderLines[OrderID],OrderLines[[#This Row],[OrderID]],OrderLines[Category],"Hot Meal"),COUNTIFS(OrderLines[OrderID],OrderLines[[#This Row],[OrderID]],OrderLines[Category],"Beverage")),"Combo","Single")</f>
        <v>Single</v>
      </c>
      <c r="O120" s="8" t="str" cm="1">
        <f t="array" ref="O120">IF(SUMPRODUCT(OrderLines[UnitPrice],OrderLines[Qty],OrderLines[DiscountPct],--(OrderLines[OrderID] = OrderLines[[#This Row],[OrderID]]))&gt;40,"High Discount","Ok")</f>
        <v>Ok</v>
      </c>
      <c r="P120">
        <f>OrderLines[[#This Row],[UnitCost]]*OrderLines[[#This Row],[Qty]]</f>
        <v>45.22</v>
      </c>
      <c r="Q120" s="8">
        <f>OrderLines[[#This Row],[LineNetAmount]]-OrderLines[[#This Row],[Food Cost]]</f>
        <v>47.129599999999996</v>
      </c>
    </row>
    <row r="121" spans="1:17" x14ac:dyDescent="0.3">
      <c r="A121" t="s">
        <v>84</v>
      </c>
      <c r="B121" t="s">
        <v>409</v>
      </c>
      <c r="C121">
        <v>2</v>
      </c>
      <c r="D121" cm="1">
        <f t="array" ref="D121">VLOOKUP(OrderLines[[#This Row],[SKU]:[SKU]],Menu[],MATCH(OrderLines[[#Headers],[UnitPrice]],Menu[#Headers],0),FALSE)</f>
        <v>28.43</v>
      </c>
      <c r="E121" cm="1">
        <f t="array" ref="E121">VLOOKUP(OrderLines[[#This Row],[SKU]:[SKU]],Menu[],MATCH(OrderLines[[#Headers],[UnitCost]],Menu[#Headers],0),FALSE)</f>
        <v>13.89</v>
      </c>
      <c r="F121" t="str" cm="1">
        <f t="array" ref="F121">VLOOKUP(OrderLines[[#This Row],[SKU]:[SKU]],Menu[],MATCH(OrderLines[[#Headers],[Category]],Menu[#Headers],0),FALSE)</f>
        <v>Beverage</v>
      </c>
      <c r="G121" t="str" cm="1">
        <f t="array" ref="G121">_xlfn.TEXTJOIN("+",TRUE,_xlfn._xlws.SORT(_xlfn.UNIQUE(_xlfn._xlws.FILTER(OrderLines[Category],OrderLines[OrderID]=OrderLines[[#This Row],[OrderID]]))))</f>
        <v>Beverage+Snack</v>
      </c>
      <c r="H121" s="2" cm="1">
        <f t="array" ref="H121">INT(VLOOKUP(OrderLines[[#This Row],[OrderID]:[OrderID]],Orders[],MATCH(OrderLines[[#Headers],[OrderDateTime]],Orders[#Headers],0),FALSE))</f>
        <v>45891</v>
      </c>
      <c r="I121" t="str" cm="1">
        <f t="array" ref="I121">VLOOKUP(OrderLines[[#This Row],[OrderID]:[OrderID]],Orders[],MATCH(OrderLines[[#Headers],[Branch]],Orders[#Headers],0),FALSE)</f>
        <v>Plant 2 Canteen</v>
      </c>
      <c r="J121" cm="1">
        <f t="array" ref="J121">VLOOKUP(OrderLines[[#This Row],[OrderID]:[OrderID]],Orders[],MATCH(OrderLines[[#Headers],[DiscountPct]],Orders[#Headers],0),FALSE)</f>
        <v>0.08</v>
      </c>
      <c r="K121" t="str" cm="1">
        <f t="array" ref="K121">VLOOKUP(OrderLines[[#This Row],[OrderID]:[OrderID]],Orders[],MATCH(OrderLines[[#Headers],[PaymentType]],Orders[#Headers],0),FALSE)</f>
        <v>Cash</v>
      </c>
      <c r="L121" t="str" cm="1">
        <f t="array" ref="L121">VLOOKUP(OrderLines[[#This Row],[OrderID]:[OrderID]],Orders[],MATCH(OrderLines[[#Headers],[Shift]],Orders[#Headers],0),FALSE)</f>
        <v>Breakfast</v>
      </c>
      <c r="M121" s="8">
        <f>(OrderLines[[#This Row],[Qty]]*OrderLines[[#This Row],[UnitPrice]])*(1-OrderLines[[#This Row],[DiscountPct]])</f>
        <v>52.311199999999999</v>
      </c>
      <c r="N121" t="str">
        <f>IF(AND(COUNTIFS(OrderLines[OrderID],OrderLines[[#This Row],[OrderID]],OrderLines[Category],"Hot Meal"),COUNTIFS(OrderLines[OrderID],OrderLines[[#This Row],[OrderID]],OrderLines[Category],"Beverage")),"Combo","Single")</f>
        <v>Single</v>
      </c>
      <c r="O121" s="8" t="str" cm="1">
        <f t="array" ref="O121">IF(SUMPRODUCT(OrderLines[UnitPrice],OrderLines[Qty],OrderLines[DiscountPct],--(OrderLines[OrderID] = OrderLines[[#This Row],[OrderID]]))&gt;40,"High Discount","Ok")</f>
        <v>Ok</v>
      </c>
      <c r="P121">
        <f>OrderLines[[#This Row],[UnitCost]]*OrderLines[[#This Row],[Qty]]</f>
        <v>27.78</v>
      </c>
      <c r="Q121" s="8">
        <f>OrderLines[[#This Row],[LineNetAmount]]-OrderLines[[#This Row],[Food Cost]]</f>
        <v>24.531199999999998</v>
      </c>
    </row>
    <row r="122" spans="1:17" x14ac:dyDescent="0.3">
      <c r="A122" t="s">
        <v>85</v>
      </c>
      <c r="B122" t="s">
        <v>416</v>
      </c>
      <c r="C122">
        <v>1</v>
      </c>
      <c r="D122" cm="1">
        <f t="array" ref="D122">VLOOKUP(OrderLines[[#This Row],[SKU]:[SKU]],Menu[],MATCH(OrderLines[[#Headers],[UnitPrice]],Menu[#Headers],0),FALSE)</f>
        <v>227.61</v>
      </c>
      <c r="E122" cm="1">
        <f t="array" ref="E122">VLOOKUP(OrderLines[[#This Row],[SKU]:[SKU]],Menu[],MATCH(OrderLines[[#Headers],[UnitCost]],Menu[#Headers],0),FALSE)</f>
        <v>96.22</v>
      </c>
      <c r="F122" t="str" cm="1">
        <f t="array" ref="F122">VLOOKUP(OrderLines[[#This Row],[SKU]:[SKU]],Menu[],MATCH(OrderLines[[#Headers],[Category]],Menu[#Headers],0),FALSE)</f>
        <v>Hot Meal</v>
      </c>
      <c r="G122" t="str" cm="1">
        <f t="array" ref="G122">_xlfn.TEXTJOIN("+",TRUE,_xlfn._xlws.SORT(_xlfn.UNIQUE(_xlfn._xlws.FILTER(OrderLines[Category],OrderLines[OrderID]=OrderLines[[#This Row],[OrderID]]))))</f>
        <v>Beverage+Hot Meal</v>
      </c>
      <c r="H122" s="2" cm="1">
        <f t="array" ref="H122">INT(VLOOKUP(OrderLines[[#This Row],[OrderID]:[OrderID]],Orders[],MATCH(OrderLines[[#Headers],[OrderDateTime]],Orders[#Headers],0),FALSE))</f>
        <v>45856</v>
      </c>
      <c r="I122" t="str" cm="1">
        <f t="array" ref="I122">VLOOKUP(OrderLines[[#This Row],[OrderID]:[OrderID]],Orders[],MATCH(OrderLines[[#Headers],[Branch]],Orders[#Headers],0),FALSE)</f>
        <v>Head Office Café</v>
      </c>
      <c r="J122" cm="1">
        <f t="array" ref="J122">VLOOKUP(OrderLines[[#This Row],[OrderID]:[OrderID]],Orders[],MATCH(OrderLines[[#Headers],[DiscountPct]],Orders[#Headers],0),FALSE)</f>
        <v>0.06</v>
      </c>
      <c r="K122" t="str" cm="1">
        <f t="array" ref="K122">VLOOKUP(OrderLines[[#This Row],[OrderID]:[OrderID]],Orders[],MATCH(OrderLines[[#Headers],[PaymentType]],Orders[#Headers],0),FALSE)</f>
        <v>Cash</v>
      </c>
      <c r="L122" t="str" cm="1">
        <f t="array" ref="L122">VLOOKUP(OrderLines[[#This Row],[OrderID]:[OrderID]],Orders[],MATCH(OrderLines[[#Headers],[Shift]],Orders[#Headers],0),FALSE)</f>
        <v>Lunch</v>
      </c>
      <c r="M122" s="8">
        <f>(OrderLines[[#This Row],[Qty]]*OrderLines[[#This Row],[UnitPrice]])*(1-OrderLines[[#This Row],[DiscountPct]])</f>
        <v>213.95339999999999</v>
      </c>
      <c r="N122" t="str">
        <f>IF(AND(COUNTIFS(OrderLines[OrderID],OrderLines[[#This Row],[OrderID]],OrderLines[Category],"Hot Meal"),COUNTIFS(OrderLines[OrderID],OrderLines[[#This Row],[OrderID]],OrderLines[Category],"Beverage")),"Combo","Single")</f>
        <v>Combo</v>
      </c>
      <c r="O122" s="8" t="str" cm="1">
        <f t="array" ref="O122">IF(SUMPRODUCT(OrderLines[UnitPrice],OrderLines[Qty],OrderLines[DiscountPct],--(OrderLines[OrderID] = OrderLines[[#This Row],[OrderID]]))&gt;40,"High Discount","Ok")</f>
        <v>Ok</v>
      </c>
      <c r="P122">
        <f>OrderLines[[#This Row],[UnitCost]]*OrderLines[[#This Row],[Qty]]</f>
        <v>96.22</v>
      </c>
      <c r="Q122" s="8">
        <f>OrderLines[[#This Row],[LineNetAmount]]-OrderLines[[#This Row],[Food Cost]]</f>
        <v>117.73339999999999</v>
      </c>
    </row>
    <row r="123" spans="1:17" x14ac:dyDescent="0.3">
      <c r="A123" t="s">
        <v>85</v>
      </c>
      <c r="B123" t="s">
        <v>404</v>
      </c>
      <c r="C123">
        <v>2</v>
      </c>
      <c r="D123" cm="1">
        <f t="array" ref="D123">VLOOKUP(OrderLines[[#This Row],[SKU]:[SKU]],Menu[],MATCH(OrderLines[[#Headers],[UnitPrice]],Menu[#Headers],0),FALSE)</f>
        <v>32.979999999999997</v>
      </c>
      <c r="E123" cm="1">
        <f t="array" ref="E123">VLOOKUP(OrderLines[[#This Row],[SKU]:[SKU]],Menu[],MATCH(OrderLines[[#Headers],[UnitCost]],Menu[#Headers],0),FALSE)</f>
        <v>11.84</v>
      </c>
      <c r="F123" t="str" cm="1">
        <f t="array" ref="F123">VLOOKUP(OrderLines[[#This Row],[SKU]:[SKU]],Menu[],MATCH(OrderLines[[#Headers],[Category]],Menu[#Headers],0),FALSE)</f>
        <v>Beverage</v>
      </c>
      <c r="G123" t="str" cm="1">
        <f t="array" ref="G123">_xlfn.TEXTJOIN("+",TRUE,_xlfn._xlws.SORT(_xlfn.UNIQUE(_xlfn._xlws.FILTER(OrderLines[Category],OrderLines[OrderID]=OrderLines[[#This Row],[OrderID]]))))</f>
        <v>Beverage+Hot Meal</v>
      </c>
      <c r="H123" s="2" cm="1">
        <f t="array" ref="H123">INT(VLOOKUP(OrderLines[[#This Row],[OrderID]:[OrderID]],Orders[],MATCH(OrderLines[[#Headers],[OrderDateTime]],Orders[#Headers],0),FALSE))</f>
        <v>45856</v>
      </c>
      <c r="I123" t="str" cm="1">
        <f t="array" ref="I123">VLOOKUP(OrderLines[[#This Row],[OrderID]:[OrderID]],Orders[],MATCH(OrderLines[[#Headers],[Branch]],Orders[#Headers],0),FALSE)</f>
        <v>Head Office Café</v>
      </c>
      <c r="J123" cm="1">
        <f t="array" ref="J123">VLOOKUP(OrderLines[[#This Row],[OrderID]:[OrderID]],Orders[],MATCH(OrderLines[[#Headers],[DiscountPct]],Orders[#Headers],0),FALSE)</f>
        <v>0.06</v>
      </c>
      <c r="K123" t="str" cm="1">
        <f t="array" ref="K123">VLOOKUP(OrderLines[[#This Row],[OrderID]:[OrderID]],Orders[],MATCH(OrderLines[[#Headers],[PaymentType]],Orders[#Headers],0),FALSE)</f>
        <v>Cash</v>
      </c>
      <c r="L123" t="str" cm="1">
        <f t="array" ref="L123">VLOOKUP(OrderLines[[#This Row],[OrderID]:[OrderID]],Orders[],MATCH(OrderLines[[#Headers],[Shift]],Orders[#Headers],0),FALSE)</f>
        <v>Lunch</v>
      </c>
      <c r="M123" s="8">
        <f>(OrderLines[[#This Row],[Qty]]*OrderLines[[#This Row],[UnitPrice]])*(1-OrderLines[[#This Row],[DiscountPct]])</f>
        <v>62.002399999999987</v>
      </c>
      <c r="N123" t="str">
        <f>IF(AND(COUNTIFS(OrderLines[OrderID],OrderLines[[#This Row],[OrderID]],OrderLines[Category],"Hot Meal"),COUNTIFS(OrderLines[OrderID],OrderLines[[#This Row],[OrderID]],OrderLines[Category],"Beverage")),"Combo","Single")</f>
        <v>Combo</v>
      </c>
      <c r="O123" s="8" t="str" cm="1">
        <f t="array" ref="O123">IF(SUMPRODUCT(OrderLines[UnitPrice],OrderLines[Qty],OrderLines[DiscountPct],--(OrderLines[OrderID] = OrderLines[[#This Row],[OrderID]]))&gt;40,"High Discount","Ok")</f>
        <v>Ok</v>
      </c>
      <c r="P123">
        <f>OrderLines[[#This Row],[UnitCost]]*OrderLines[[#This Row],[Qty]]</f>
        <v>23.68</v>
      </c>
      <c r="Q123" s="8">
        <f>OrderLines[[#This Row],[LineNetAmount]]-OrderLines[[#This Row],[Food Cost]]</f>
        <v>38.322399999999988</v>
      </c>
    </row>
    <row r="124" spans="1:17" x14ac:dyDescent="0.3">
      <c r="A124" t="s">
        <v>86</v>
      </c>
      <c r="B124" t="s">
        <v>403</v>
      </c>
      <c r="C124">
        <v>1</v>
      </c>
      <c r="D124" cm="1">
        <f t="array" ref="D124">VLOOKUP(OrderLines[[#This Row],[SKU]:[SKU]],Menu[],MATCH(OrderLines[[#Headers],[UnitPrice]],Menu[#Headers],0),FALSE)</f>
        <v>76.55</v>
      </c>
      <c r="E124" cm="1">
        <f t="array" ref="E124">VLOOKUP(OrderLines[[#This Row],[SKU]:[SKU]],Menu[],MATCH(OrderLines[[#Headers],[UnitCost]],Menu[#Headers],0),FALSE)</f>
        <v>38.229999999999997</v>
      </c>
      <c r="F124" t="str" cm="1">
        <f t="array" ref="F124">VLOOKUP(OrderLines[[#This Row],[SKU]:[SKU]],Menu[],MATCH(OrderLines[[#Headers],[Category]],Menu[#Headers],0),FALSE)</f>
        <v>Dessert</v>
      </c>
      <c r="G124" t="str" cm="1">
        <f t="array" ref="G124">_xlfn.TEXTJOIN("+",TRUE,_xlfn._xlws.SORT(_xlfn.UNIQUE(_xlfn._xlws.FILTER(OrderLines[Category],OrderLines[OrderID]=OrderLines[[#This Row],[OrderID]]))))</f>
        <v>Beverage+Dessert</v>
      </c>
      <c r="H124" s="2" cm="1">
        <f t="array" ref="H124">INT(VLOOKUP(OrderLines[[#This Row],[OrderID]:[OrderID]],Orders[],MATCH(OrderLines[[#Headers],[OrderDateTime]],Orders[#Headers],0),FALSE))</f>
        <v>45897</v>
      </c>
      <c r="I124" t="str" cm="1">
        <f t="array" ref="I124">VLOOKUP(OrderLines[[#This Row],[OrderID]:[OrderID]],Orders[],MATCH(OrderLines[[#Headers],[Branch]],Orders[#Headers],0),FALSE)</f>
        <v>Plant 2 Canteen</v>
      </c>
      <c r="J124" cm="1">
        <f t="array" ref="J124">VLOOKUP(OrderLines[[#This Row],[OrderID]:[OrderID]],Orders[],MATCH(OrderLines[[#Headers],[DiscountPct]],Orders[#Headers],0),FALSE)</f>
        <v>0.1</v>
      </c>
      <c r="K124" t="str" cm="1">
        <f t="array" ref="K124">VLOOKUP(OrderLines[[#This Row],[OrderID]:[OrderID]],Orders[],MATCH(OrderLines[[#Headers],[PaymentType]],Orders[#Headers],0),FALSE)</f>
        <v>UPI</v>
      </c>
      <c r="L124" t="str" cm="1">
        <f t="array" ref="L124">VLOOKUP(OrderLines[[#This Row],[OrderID]:[OrderID]],Orders[],MATCH(OrderLines[[#Headers],[Shift]],Orders[#Headers],0),FALSE)</f>
        <v>Breakfast</v>
      </c>
      <c r="M124" s="8">
        <f>(OrderLines[[#This Row],[Qty]]*OrderLines[[#This Row],[UnitPrice]])*(1-OrderLines[[#This Row],[DiscountPct]])</f>
        <v>68.894999999999996</v>
      </c>
      <c r="N124" t="str">
        <f>IF(AND(COUNTIFS(OrderLines[OrderID],OrderLines[[#This Row],[OrderID]],OrderLines[Category],"Hot Meal"),COUNTIFS(OrderLines[OrderID],OrderLines[[#This Row],[OrderID]],OrderLines[Category],"Beverage")),"Combo","Single")</f>
        <v>Single</v>
      </c>
      <c r="O124" s="8" t="str" cm="1">
        <f t="array" ref="O124">IF(SUMPRODUCT(OrderLines[UnitPrice],OrderLines[Qty],OrderLines[DiscountPct],--(OrderLines[OrderID] = OrderLines[[#This Row],[OrderID]]))&gt;40,"High Discount","Ok")</f>
        <v>Ok</v>
      </c>
      <c r="P124">
        <f>OrderLines[[#This Row],[UnitCost]]*OrderLines[[#This Row],[Qty]]</f>
        <v>38.229999999999997</v>
      </c>
      <c r="Q124" s="8">
        <f>OrderLines[[#This Row],[LineNetAmount]]-OrderLines[[#This Row],[Food Cost]]</f>
        <v>30.664999999999999</v>
      </c>
    </row>
    <row r="125" spans="1:17" x14ac:dyDescent="0.3">
      <c r="A125" t="s">
        <v>86</v>
      </c>
      <c r="B125" t="s">
        <v>404</v>
      </c>
      <c r="C125">
        <v>1</v>
      </c>
      <c r="D125" cm="1">
        <f t="array" ref="D125">VLOOKUP(OrderLines[[#This Row],[SKU]:[SKU]],Menu[],MATCH(OrderLines[[#Headers],[UnitPrice]],Menu[#Headers],0),FALSE)</f>
        <v>32.979999999999997</v>
      </c>
      <c r="E125" cm="1">
        <f t="array" ref="E125">VLOOKUP(OrderLines[[#This Row],[SKU]:[SKU]],Menu[],MATCH(OrderLines[[#Headers],[UnitCost]],Menu[#Headers],0),FALSE)</f>
        <v>11.84</v>
      </c>
      <c r="F125" t="str" cm="1">
        <f t="array" ref="F125">VLOOKUP(OrderLines[[#This Row],[SKU]:[SKU]],Menu[],MATCH(OrderLines[[#Headers],[Category]],Menu[#Headers],0),FALSE)</f>
        <v>Beverage</v>
      </c>
      <c r="G125" t="str" cm="1">
        <f t="array" ref="G125">_xlfn.TEXTJOIN("+",TRUE,_xlfn._xlws.SORT(_xlfn.UNIQUE(_xlfn._xlws.FILTER(OrderLines[Category],OrderLines[OrderID]=OrderLines[[#This Row],[OrderID]]))))</f>
        <v>Beverage+Dessert</v>
      </c>
      <c r="H125" s="2" cm="1">
        <f t="array" ref="H125">INT(VLOOKUP(OrderLines[[#This Row],[OrderID]:[OrderID]],Orders[],MATCH(OrderLines[[#Headers],[OrderDateTime]],Orders[#Headers],0),FALSE))</f>
        <v>45897</v>
      </c>
      <c r="I125" t="str" cm="1">
        <f t="array" ref="I125">VLOOKUP(OrderLines[[#This Row],[OrderID]:[OrderID]],Orders[],MATCH(OrderLines[[#Headers],[Branch]],Orders[#Headers],0),FALSE)</f>
        <v>Plant 2 Canteen</v>
      </c>
      <c r="J125" cm="1">
        <f t="array" ref="J125">VLOOKUP(OrderLines[[#This Row],[OrderID]:[OrderID]],Orders[],MATCH(OrderLines[[#Headers],[DiscountPct]],Orders[#Headers],0),FALSE)</f>
        <v>0.1</v>
      </c>
      <c r="K125" t="str" cm="1">
        <f t="array" ref="K125">VLOOKUP(OrderLines[[#This Row],[OrderID]:[OrderID]],Orders[],MATCH(OrderLines[[#Headers],[PaymentType]],Orders[#Headers],0),FALSE)</f>
        <v>UPI</v>
      </c>
      <c r="L125" t="str" cm="1">
        <f t="array" ref="L125">VLOOKUP(OrderLines[[#This Row],[OrderID]:[OrderID]],Orders[],MATCH(OrderLines[[#Headers],[Shift]],Orders[#Headers],0),FALSE)</f>
        <v>Breakfast</v>
      </c>
      <c r="M125" s="8">
        <f>(OrderLines[[#This Row],[Qty]]*OrderLines[[#This Row],[UnitPrice]])*(1-OrderLines[[#This Row],[DiscountPct]])</f>
        <v>29.681999999999999</v>
      </c>
      <c r="N125" t="str">
        <f>IF(AND(COUNTIFS(OrderLines[OrderID],OrderLines[[#This Row],[OrderID]],OrderLines[Category],"Hot Meal"),COUNTIFS(OrderLines[OrderID],OrderLines[[#This Row],[OrderID]],OrderLines[Category],"Beverage")),"Combo","Single")</f>
        <v>Single</v>
      </c>
      <c r="O125" s="8" t="str" cm="1">
        <f t="array" ref="O125">IF(SUMPRODUCT(OrderLines[UnitPrice],OrderLines[Qty],OrderLines[DiscountPct],--(OrderLines[OrderID] = OrderLines[[#This Row],[OrderID]]))&gt;40,"High Discount","Ok")</f>
        <v>Ok</v>
      </c>
      <c r="P125">
        <f>OrderLines[[#This Row],[UnitCost]]*OrderLines[[#This Row],[Qty]]</f>
        <v>11.84</v>
      </c>
      <c r="Q125" s="8">
        <f>OrderLines[[#This Row],[LineNetAmount]]-OrderLines[[#This Row],[Food Cost]]</f>
        <v>17.841999999999999</v>
      </c>
    </row>
    <row r="126" spans="1:17" x14ac:dyDescent="0.3">
      <c r="A126" t="s">
        <v>87</v>
      </c>
      <c r="B126" t="s">
        <v>407</v>
      </c>
      <c r="C126">
        <v>1</v>
      </c>
      <c r="D126" cm="1">
        <f t="array" ref="D126">VLOOKUP(OrderLines[[#This Row],[SKU]:[SKU]],Menu[],MATCH(OrderLines[[#Headers],[UnitPrice]],Menu[#Headers],0),FALSE)</f>
        <v>246.09</v>
      </c>
      <c r="E126" cm="1">
        <f t="array" ref="E126">VLOOKUP(OrderLines[[#This Row],[SKU]:[SKU]],Menu[],MATCH(OrderLines[[#Headers],[UnitCost]],Menu[#Headers],0),FALSE)</f>
        <v>112.08</v>
      </c>
      <c r="F126" t="str" cm="1">
        <f t="array" ref="F126">VLOOKUP(OrderLines[[#This Row],[SKU]:[SKU]],Menu[],MATCH(OrderLines[[#Headers],[Category]],Menu[#Headers],0),FALSE)</f>
        <v>Hot Meal</v>
      </c>
      <c r="G126" t="str" cm="1">
        <f t="array" ref="G126">_xlfn.TEXTJOIN("+",TRUE,_xlfn._xlws.SORT(_xlfn.UNIQUE(_xlfn._xlws.FILTER(OrderLines[Category],OrderLines[OrderID]=OrderLines[[#This Row],[OrderID]]))))</f>
        <v>Dessert+Hot Meal</v>
      </c>
      <c r="H126" s="2" cm="1">
        <f t="array" ref="H126">INT(VLOOKUP(OrderLines[[#This Row],[OrderID]:[OrderID]],Orders[],MATCH(OrderLines[[#Headers],[OrderDateTime]],Orders[#Headers],0),FALSE))</f>
        <v>45881</v>
      </c>
      <c r="I126" t="str" cm="1">
        <f t="array" ref="I126">VLOOKUP(OrderLines[[#This Row],[OrderID]:[OrderID]],Orders[],MATCH(OrderLines[[#Headers],[Branch]],Orders[#Headers],0),FALSE)</f>
        <v>Head Office Café</v>
      </c>
      <c r="J126" cm="1">
        <f t="array" ref="J126">VLOOKUP(OrderLines[[#This Row],[OrderID]:[OrderID]],Orders[],MATCH(OrderLines[[#Headers],[DiscountPct]],Orders[#Headers],0),FALSE)</f>
        <v>0.03</v>
      </c>
      <c r="K126" t="str" cm="1">
        <f t="array" ref="K126">VLOOKUP(OrderLines[[#This Row],[OrderID]:[OrderID]],Orders[],MATCH(OrderLines[[#Headers],[PaymentType]],Orders[#Headers],0),FALSE)</f>
        <v>Cash</v>
      </c>
      <c r="L126" t="str" cm="1">
        <f t="array" ref="L126">VLOOKUP(OrderLines[[#This Row],[OrderID]:[OrderID]],Orders[],MATCH(OrderLines[[#Headers],[Shift]],Orders[#Headers],0),FALSE)</f>
        <v>Lunch</v>
      </c>
      <c r="M126" s="8">
        <f>(OrderLines[[#This Row],[Qty]]*OrderLines[[#This Row],[UnitPrice]])*(1-OrderLines[[#This Row],[DiscountPct]])</f>
        <v>238.7073</v>
      </c>
      <c r="N126" t="str">
        <f>IF(AND(COUNTIFS(OrderLines[OrderID],OrderLines[[#This Row],[OrderID]],OrderLines[Category],"Hot Meal"),COUNTIFS(OrderLines[OrderID],OrderLines[[#This Row],[OrderID]],OrderLines[Category],"Beverage")),"Combo","Single")</f>
        <v>Single</v>
      </c>
      <c r="O126" s="8" t="str" cm="1">
        <f t="array" ref="O126">IF(SUMPRODUCT(OrderLines[UnitPrice],OrderLines[Qty],OrderLines[DiscountPct],--(OrderLines[OrderID] = OrderLines[[#This Row],[OrderID]]))&gt;40,"High Discount","Ok")</f>
        <v>Ok</v>
      </c>
      <c r="P126">
        <f>OrderLines[[#This Row],[UnitCost]]*OrderLines[[#This Row],[Qty]]</f>
        <v>112.08</v>
      </c>
      <c r="Q126" s="8">
        <f>OrderLines[[#This Row],[LineNetAmount]]-OrderLines[[#This Row],[Food Cost]]</f>
        <v>126.62730000000001</v>
      </c>
    </row>
    <row r="127" spans="1:17" x14ac:dyDescent="0.3">
      <c r="A127" t="s">
        <v>87</v>
      </c>
      <c r="B127" t="s">
        <v>414</v>
      </c>
      <c r="C127">
        <v>1</v>
      </c>
      <c r="D127" cm="1">
        <f t="array" ref="D127">VLOOKUP(OrderLines[[#This Row],[SKU]:[SKU]],Menu[],MATCH(OrderLines[[#Headers],[UnitPrice]],Menu[#Headers],0),FALSE)</f>
        <v>116.8</v>
      </c>
      <c r="E127" cm="1">
        <f t="array" ref="E127">VLOOKUP(OrderLines[[#This Row],[SKU]:[SKU]],Menu[],MATCH(OrderLines[[#Headers],[UnitCost]],Menu[#Headers],0),FALSE)</f>
        <v>48.97</v>
      </c>
      <c r="F127" t="str" cm="1">
        <f t="array" ref="F127">VLOOKUP(OrderLines[[#This Row],[SKU]:[SKU]],Menu[],MATCH(OrderLines[[#Headers],[Category]],Menu[#Headers],0),FALSE)</f>
        <v>Dessert</v>
      </c>
      <c r="G127" t="str" cm="1">
        <f t="array" ref="G127">_xlfn.TEXTJOIN("+",TRUE,_xlfn._xlws.SORT(_xlfn.UNIQUE(_xlfn._xlws.FILTER(OrderLines[Category],OrderLines[OrderID]=OrderLines[[#This Row],[OrderID]]))))</f>
        <v>Dessert+Hot Meal</v>
      </c>
      <c r="H127" s="2" cm="1">
        <f t="array" ref="H127">INT(VLOOKUP(OrderLines[[#This Row],[OrderID]:[OrderID]],Orders[],MATCH(OrderLines[[#Headers],[OrderDateTime]],Orders[#Headers],0),FALSE))</f>
        <v>45881</v>
      </c>
      <c r="I127" t="str" cm="1">
        <f t="array" ref="I127">VLOOKUP(OrderLines[[#This Row],[OrderID]:[OrderID]],Orders[],MATCH(OrderLines[[#Headers],[Branch]],Orders[#Headers],0),FALSE)</f>
        <v>Head Office Café</v>
      </c>
      <c r="J127" cm="1">
        <f t="array" ref="J127">VLOOKUP(OrderLines[[#This Row],[OrderID]:[OrderID]],Orders[],MATCH(OrderLines[[#Headers],[DiscountPct]],Orders[#Headers],0),FALSE)</f>
        <v>0.03</v>
      </c>
      <c r="K127" t="str" cm="1">
        <f t="array" ref="K127">VLOOKUP(OrderLines[[#This Row],[OrderID]:[OrderID]],Orders[],MATCH(OrderLines[[#Headers],[PaymentType]],Orders[#Headers],0),FALSE)</f>
        <v>Cash</v>
      </c>
      <c r="L127" t="str" cm="1">
        <f t="array" ref="L127">VLOOKUP(OrderLines[[#This Row],[OrderID]:[OrderID]],Orders[],MATCH(OrderLines[[#Headers],[Shift]],Orders[#Headers],0),FALSE)</f>
        <v>Lunch</v>
      </c>
      <c r="M127" s="8">
        <f>(OrderLines[[#This Row],[Qty]]*OrderLines[[#This Row],[UnitPrice]])*(1-OrderLines[[#This Row],[DiscountPct]])</f>
        <v>113.29599999999999</v>
      </c>
      <c r="N127" t="str">
        <f>IF(AND(COUNTIFS(OrderLines[OrderID],OrderLines[[#This Row],[OrderID]],OrderLines[Category],"Hot Meal"),COUNTIFS(OrderLines[OrderID],OrderLines[[#This Row],[OrderID]],OrderLines[Category],"Beverage")),"Combo","Single")</f>
        <v>Single</v>
      </c>
      <c r="O127" s="8" t="str" cm="1">
        <f t="array" ref="O127">IF(SUMPRODUCT(OrderLines[UnitPrice],OrderLines[Qty],OrderLines[DiscountPct],--(OrderLines[OrderID] = OrderLines[[#This Row],[OrderID]]))&gt;40,"High Discount","Ok")</f>
        <v>Ok</v>
      </c>
      <c r="P127">
        <f>OrderLines[[#This Row],[UnitCost]]*OrderLines[[#This Row],[Qty]]</f>
        <v>48.97</v>
      </c>
      <c r="Q127" s="8">
        <f>OrderLines[[#This Row],[LineNetAmount]]-OrderLines[[#This Row],[Food Cost]]</f>
        <v>64.325999999999993</v>
      </c>
    </row>
    <row r="128" spans="1:17" x14ac:dyDescent="0.3">
      <c r="A128" t="s">
        <v>87</v>
      </c>
      <c r="B128" t="s">
        <v>403</v>
      </c>
      <c r="C128">
        <v>3</v>
      </c>
      <c r="D128" cm="1">
        <f t="array" ref="D128">VLOOKUP(OrderLines[[#This Row],[SKU]:[SKU]],Menu[],MATCH(OrderLines[[#Headers],[UnitPrice]],Menu[#Headers],0),FALSE)</f>
        <v>76.55</v>
      </c>
      <c r="E128" cm="1">
        <f t="array" ref="E128">VLOOKUP(OrderLines[[#This Row],[SKU]:[SKU]],Menu[],MATCH(OrderLines[[#Headers],[UnitCost]],Menu[#Headers],0),FALSE)</f>
        <v>38.229999999999997</v>
      </c>
      <c r="F128" t="str" cm="1">
        <f t="array" ref="F128">VLOOKUP(OrderLines[[#This Row],[SKU]:[SKU]],Menu[],MATCH(OrderLines[[#Headers],[Category]],Menu[#Headers],0),FALSE)</f>
        <v>Dessert</v>
      </c>
      <c r="G128" t="str" cm="1">
        <f t="array" ref="G128">_xlfn.TEXTJOIN("+",TRUE,_xlfn._xlws.SORT(_xlfn.UNIQUE(_xlfn._xlws.FILTER(OrderLines[Category],OrderLines[OrderID]=OrderLines[[#This Row],[OrderID]]))))</f>
        <v>Dessert+Hot Meal</v>
      </c>
      <c r="H128" s="2" cm="1">
        <f t="array" ref="H128">INT(VLOOKUP(OrderLines[[#This Row],[OrderID]:[OrderID]],Orders[],MATCH(OrderLines[[#Headers],[OrderDateTime]],Orders[#Headers],0),FALSE))</f>
        <v>45881</v>
      </c>
      <c r="I128" t="str" cm="1">
        <f t="array" ref="I128">VLOOKUP(OrderLines[[#This Row],[OrderID]:[OrderID]],Orders[],MATCH(OrderLines[[#Headers],[Branch]],Orders[#Headers],0),FALSE)</f>
        <v>Head Office Café</v>
      </c>
      <c r="J128" cm="1">
        <f t="array" ref="J128">VLOOKUP(OrderLines[[#This Row],[OrderID]:[OrderID]],Orders[],MATCH(OrderLines[[#Headers],[DiscountPct]],Orders[#Headers],0),FALSE)</f>
        <v>0.03</v>
      </c>
      <c r="K128" t="str" cm="1">
        <f t="array" ref="K128">VLOOKUP(OrderLines[[#This Row],[OrderID]:[OrderID]],Orders[],MATCH(OrderLines[[#Headers],[PaymentType]],Orders[#Headers],0),FALSE)</f>
        <v>Cash</v>
      </c>
      <c r="L128" t="str" cm="1">
        <f t="array" ref="L128">VLOOKUP(OrderLines[[#This Row],[OrderID]:[OrderID]],Orders[],MATCH(OrderLines[[#Headers],[Shift]],Orders[#Headers],0),FALSE)</f>
        <v>Lunch</v>
      </c>
      <c r="M128" s="8">
        <f>(OrderLines[[#This Row],[Qty]]*OrderLines[[#This Row],[UnitPrice]])*(1-OrderLines[[#This Row],[DiscountPct]])</f>
        <v>222.76049999999998</v>
      </c>
      <c r="N128" t="str">
        <f>IF(AND(COUNTIFS(OrderLines[OrderID],OrderLines[[#This Row],[OrderID]],OrderLines[Category],"Hot Meal"),COUNTIFS(OrderLines[OrderID],OrderLines[[#This Row],[OrderID]],OrderLines[Category],"Beverage")),"Combo","Single")</f>
        <v>Single</v>
      </c>
      <c r="O128" s="8" t="str" cm="1">
        <f t="array" ref="O128">IF(SUMPRODUCT(OrderLines[UnitPrice],OrderLines[Qty],OrderLines[DiscountPct],--(OrderLines[OrderID] = OrderLines[[#This Row],[OrderID]]))&gt;40,"High Discount","Ok")</f>
        <v>Ok</v>
      </c>
      <c r="P128">
        <f>OrderLines[[#This Row],[UnitCost]]*OrderLines[[#This Row],[Qty]]</f>
        <v>114.69</v>
      </c>
      <c r="Q128" s="8">
        <f>OrderLines[[#This Row],[LineNetAmount]]-OrderLines[[#This Row],[Food Cost]]</f>
        <v>108.07049999999998</v>
      </c>
    </row>
    <row r="129" spans="1:17" x14ac:dyDescent="0.3">
      <c r="A129" t="s">
        <v>88</v>
      </c>
      <c r="B129" t="s">
        <v>408</v>
      </c>
      <c r="C129">
        <v>2</v>
      </c>
      <c r="D129" cm="1">
        <f t="array" ref="D129">VLOOKUP(OrderLines[[#This Row],[SKU]:[SKU]],Menu[],MATCH(OrderLines[[#Headers],[UnitPrice]],Menu[#Headers],0),FALSE)</f>
        <v>70.540000000000006</v>
      </c>
      <c r="E129" cm="1">
        <f t="array" ref="E129">VLOOKUP(OrderLines[[#This Row],[SKU]:[SKU]],Menu[],MATCH(OrderLines[[#Headers],[UnitCost]],Menu[#Headers],0),FALSE)</f>
        <v>35.81</v>
      </c>
      <c r="F129" t="str" cm="1">
        <f t="array" ref="F129">VLOOKUP(OrderLines[[#This Row],[SKU]:[SKU]],Menu[],MATCH(OrderLines[[#Headers],[Category]],Menu[#Headers],0),FALSE)</f>
        <v>Snack</v>
      </c>
      <c r="G129" t="str" cm="1">
        <f t="array" ref="G129">_xlfn.TEXTJOIN("+",TRUE,_xlfn._xlws.SORT(_xlfn.UNIQUE(_xlfn._xlws.FILTER(OrderLines[Category],OrderLines[OrderID]=OrderLines[[#This Row],[OrderID]]))))</f>
        <v>Snack</v>
      </c>
      <c r="H129" s="2" cm="1">
        <f t="array" ref="H129">INT(VLOOKUP(OrderLines[[#This Row],[OrderID]:[OrderID]],Orders[],MATCH(OrderLines[[#Headers],[OrderDateTime]],Orders[#Headers],0),FALSE))</f>
        <v>45895</v>
      </c>
      <c r="I129" t="str" cm="1">
        <f t="array" ref="I129">VLOOKUP(OrderLines[[#This Row],[OrderID]:[OrderID]],Orders[],MATCH(OrderLines[[#Headers],[Branch]],Orders[#Headers],0),FALSE)</f>
        <v>Plant 1 Canteen</v>
      </c>
      <c r="J129" cm="1">
        <f t="array" ref="J129">VLOOKUP(OrderLines[[#This Row],[OrderID]:[OrderID]],Orders[],MATCH(OrderLines[[#Headers],[DiscountPct]],Orders[#Headers],0),FALSE)</f>
        <v>0.05</v>
      </c>
      <c r="K129" t="str" cm="1">
        <f t="array" ref="K129">VLOOKUP(OrderLines[[#This Row],[OrderID]:[OrderID]],Orders[],MATCH(OrderLines[[#Headers],[PaymentType]],Orders[#Headers],0),FALSE)</f>
        <v>Cash</v>
      </c>
      <c r="L129" t="str" cm="1">
        <f t="array" ref="L129">VLOOKUP(OrderLines[[#This Row],[OrderID]:[OrderID]],Orders[],MATCH(OrderLines[[#Headers],[Shift]],Orders[#Headers],0),FALSE)</f>
        <v>Breakfast</v>
      </c>
      <c r="M129" s="8">
        <f>(OrderLines[[#This Row],[Qty]]*OrderLines[[#This Row],[UnitPrice]])*(1-OrderLines[[#This Row],[DiscountPct]])</f>
        <v>134.02600000000001</v>
      </c>
      <c r="N129" t="str">
        <f>IF(AND(COUNTIFS(OrderLines[OrderID],OrderLines[[#This Row],[OrderID]],OrderLines[Category],"Hot Meal"),COUNTIFS(OrderLines[OrderID],OrderLines[[#This Row],[OrderID]],OrderLines[Category],"Beverage")),"Combo","Single")</f>
        <v>Single</v>
      </c>
      <c r="O129" s="8" t="str" cm="1">
        <f t="array" ref="O129">IF(SUMPRODUCT(OrderLines[UnitPrice],OrderLines[Qty],OrderLines[DiscountPct],--(OrderLines[OrderID] = OrderLines[[#This Row],[OrderID]]))&gt;40,"High Discount","Ok")</f>
        <v>Ok</v>
      </c>
      <c r="P129">
        <f>OrderLines[[#This Row],[UnitCost]]*OrderLines[[#This Row],[Qty]]</f>
        <v>71.62</v>
      </c>
      <c r="Q129" s="8">
        <f>OrderLines[[#This Row],[LineNetAmount]]-OrderLines[[#This Row],[Food Cost]]</f>
        <v>62.406000000000006</v>
      </c>
    </row>
    <row r="130" spans="1:17" x14ac:dyDescent="0.3">
      <c r="A130" t="s">
        <v>88</v>
      </c>
      <c r="B130" t="s">
        <v>401</v>
      </c>
      <c r="C130">
        <v>1</v>
      </c>
      <c r="D130" cm="1">
        <f t="array" ref="D130">VLOOKUP(OrderLines[[#This Row],[SKU]:[SKU]],Menu[],MATCH(OrderLines[[#Headers],[UnitPrice]],Menu[#Headers],0),FALSE)</f>
        <v>52.45</v>
      </c>
      <c r="E130" cm="1">
        <f t="array" ref="E130">VLOOKUP(OrderLines[[#This Row],[SKU]:[SKU]],Menu[],MATCH(OrderLines[[#Headers],[UnitCost]],Menu[#Headers],0),FALSE)</f>
        <v>25.8</v>
      </c>
      <c r="F130" t="str" cm="1">
        <f t="array" ref="F130">VLOOKUP(OrderLines[[#This Row],[SKU]:[SKU]],Menu[],MATCH(OrderLines[[#Headers],[Category]],Menu[#Headers],0),FALSE)</f>
        <v>Snack</v>
      </c>
      <c r="G130" t="str" cm="1">
        <f t="array" ref="G130">_xlfn.TEXTJOIN("+",TRUE,_xlfn._xlws.SORT(_xlfn.UNIQUE(_xlfn._xlws.FILTER(OrderLines[Category],OrderLines[OrderID]=OrderLines[[#This Row],[OrderID]]))))</f>
        <v>Snack</v>
      </c>
      <c r="H130" s="2" cm="1">
        <f t="array" ref="H130">INT(VLOOKUP(OrderLines[[#This Row],[OrderID]:[OrderID]],Orders[],MATCH(OrderLines[[#Headers],[OrderDateTime]],Orders[#Headers],0),FALSE))</f>
        <v>45895</v>
      </c>
      <c r="I130" t="str" cm="1">
        <f t="array" ref="I130">VLOOKUP(OrderLines[[#This Row],[OrderID]:[OrderID]],Orders[],MATCH(OrderLines[[#Headers],[Branch]],Orders[#Headers],0),FALSE)</f>
        <v>Plant 1 Canteen</v>
      </c>
      <c r="J130" cm="1">
        <f t="array" ref="J130">VLOOKUP(OrderLines[[#This Row],[OrderID]:[OrderID]],Orders[],MATCH(OrderLines[[#Headers],[DiscountPct]],Orders[#Headers],0),FALSE)</f>
        <v>0.05</v>
      </c>
      <c r="K130" t="str" cm="1">
        <f t="array" ref="K130">VLOOKUP(OrderLines[[#This Row],[OrderID]:[OrderID]],Orders[],MATCH(OrderLines[[#Headers],[PaymentType]],Orders[#Headers],0),FALSE)</f>
        <v>Cash</v>
      </c>
      <c r="L130" t="str" cm="1">
        <f t="array" ref="L130">VLOOKUP(OrderLines[[#This Row],[OrderID]:[OrderID]],Orders[],MATCH(OrderLines[[#Headers],[Shift]],Orders[#Headers],0),FALSE)</f>
        <v>Breakfast</v>
      </c>
      <c r="M130" s="8">
        <f>(OrderLines[[#This Row],[Qty]]*OrderLines[[#This Row],[UnitPrice]])*(1-OrderLines[[#This Row],[DiscountPct]])</f>
        <v>49.827500000000001</v>
      </c>
      <c r="N130" t="str">
        <f>IF(AND(COUNTIFS(OrderLines[OrderID],OrderLines[[#This Row],[OrderID]],OrderLines[Category],"Hot Meal"),COUNTIFS(OrderLines[OrderID],OrderLines[[#This Row],[OrderID]],OrderLines[Category],"Beverage")),"Combo","Single")</f>
        <v>Single</v>
      </c>
      <c r="O130" s="8" t="str" cm="1">
        <f t="array" ref="O130">IF(SUMPRODUCT(OrderLines[UnitPrice],OrderLines[Qty],OrderLines[DiscountPct],--(OrderLines[OrderID] = OrderLines[[#This Row],[OrderID]]))&gt;40,"High Discount","Ok")</f>
        <v>Ok</v>
      </c>
      <c r="P130">
        <f>OrderLines[[#This Row],[UnitCost]]*OrderLines[[#This Row],[Qty]]</f>
        <v>25.8</v>
      </c>
      <c r="Q130" s="8">
        <f>OrderLines[[#This Row],[LineNetAmount]]-OrderLines[[#This Row],[Food Cost]]</f>
        <v>24.0275</v>
      </c>
    </row>
    <row r="131" spans="1:17" x14ac:dyDescent="0.3">
      <c r="A131" t="s">
        <v>89</v>
      </c>
      <c r="B131" t="s">
        <v>401</v>
      </c>
      <c r="C131">
        <v>2</v>
      </c>
      <c r="D131" cm="1">
        <f t="array" ref="D131">VLOOKUP(OrderLines[[#This Row],[SKU]:[SKU]],Menu[],MATCH(OrderLines[[#Headers],[UnitPrice]],Menu[#Headers],0),FALSE)</f>
        <v>52.45</v>
      </c>
      <c r="E131" cm="1">
        <f t="array" ref="E131">VLOOKUP(OrderLines[[#This Row],[SKU]:[SKU]],Menu[],MATCH(OrderLines[[#Headers],[UnitCost]],Menu[#Headers],0),FALSE)</f>
        <v>25.8</v>
      </c>
      <c r="F131" t="str" cm="1">
        <f t="array" ref="F131">VLOOKUP(OrderLines[[#This Row],[SKU]:[SKU]],Menu[],MATCH(OrderLines[[#Headers],[Category]],Menu[#Headers],0),FALSE)</f>
        <v>Snack</v>
      </c>
      <c r="G131" t="str" cm="1">
        <f t="array" ref="G131">_xlfn.TEXTJOIN("+",TRUE,_xlfn._xlws.SORT(_xlfn.UNIQUE(_xlfn._xlws.FILTER(OrderLines[Category],OrderLines[OrderID]=OrderLines[[#This Row],[OrderID]]))))</f>
        <v>Snack</v>
      </c>
      <c r="H131" s="2" cm="1">
        <f t="array" ref="H131">INT(VLOOKUP(OrderLines[[#This Row],[OrderID]:[OrderID]],Orders[],MATCH(OrderLines[[#Headers],[OrderDateTime]],Orders[#Headers],0),FALSE))</f>
        <v>45839</v>
      </c>
      <c r="I131" t="str" cm="1">
        <f t="array" ref="I131">VLOOKUP(OrderLines[[#This Row],[OrderID]:[OrderID]],Orders[],MATCH(OrderLines[[#Headers],[Branch]],Orders[#Headers],0),FALSE)</f>
        <v>Head Office Café</v>
      </c>
      <c r="J131" cm="1">
        <f t="array" ref="J131">VLOOKUP(OrderLines[[#This Row],[OrderID]:[OrderID]],Orders[],MATCH(OrderLines[[#Headers],[DiscountPct]],Orders[#Headers],0),FALSE)</f>
        <v>0.04</v>
      </c>
      <c r="K131" t="str" cm="1">
        <f t="array" ref="K131">VLOOKUP(OrderLines[[#This Row],[OrderID]:[OrderID]],Orders[],MATCH(OrderLines[[#Headers],[PaymentType]],Orders[#Headers],0),FALSE)</f>
        <v>UPI</v>
      </c>
      <c r="L131" t="str" cm="1">
        <f t="array" ref="L131">VLOOKUP(OrderLines[[#This Row],[OrderID]:[OrderID]],Orders[],MATCH(OrderLines[[#Headers],[Shift]],Orders[#Headers],0),FALSE)</f>
        <v>Breakfast</v>
      </c>
      <c r="M131" s="8">
        <f>(OrderLines[[#This Row],[Qty]]*OrderLines[[#This Row],[UnitPrice]])*(1-OrderLines[[#This Row],[DiscountPct]])</f>
        <v>100.70400000000001</v>
      </c>
      <c r="N131" t="str">
        <f>IF(AND(COUNTIFS(OrderLines[OrderID],OrderLines[[#This Row],[OrderID]],OrderLines[Category],"Hot Meal"),COUNTIFS(OrderLines[OrderID],OrderLines[[#This Row],[OrderID]],OrderLines[Category],"Beverage")),"Combo","Single")</f>
        <v>Single</v>
      </c>
      <c r="O131" s="8" t="str" cm="1">
        <f t="array" ref="O131">IF(SUMPRODUCT(OrderLines[UnitPrice],OrderLines[Qty],OrderLines[DiscountPct],--(OrderLines[OrderID] = OrderLines[[#This Row],[OrderID]]))&gt;40,"High Discount","Ok")</f>
        <v>Ok</v>
      </c>
      <c r="P131">
        <f>OrderLines[[#This Row],[UnitCost]]*OrderLines[[#This Row],[Qty]]</f>
        <v>51.6</v>
      </c>
      <c r="Q131" s="8">
        <f>OrderLines[[#This Row],[LineNetAmount]]-OrderLines[[#This Row],[Food Cost]]</f>
        <v>49.104000000000006</v>
      </c>
    </row>
    <row r="132" spans="1:17" x14ac:dyDescent="0.3">
      <c r="A132" t="s">
        <v>90</v>
      </c>
      <c r="B132" t="s">
        <v>406</v>
      </c>
      <c r="C132">
        <v>1</v>
      </c>
      <c r="D132" cm="1">
        <f t="array" ref="D132">VLOOKUP(OrderLines[[#This Row],[SKU]:[SKU]],Menu[],MATCH(OrderLines[[#Headers],[UnitPrice]],Menu[#Headers],0),FALSE)</f>
        <v>38.06</v>
      </c>
      <c r="E132" cm="1">
        <f t="array" ref="E132">VLOOKUP(OrderLines[[#This Row],[SKU]:[SKU]],Menu[],MATCH(OrderLines[[#Headers],[UnitCost]],Menu[#Headers],0),FALSE)</f>
        <v>19.55</v>
      </c>
      <c r="F132" t="str" cm="1">
        <f t="array" ref="F132">VLOOKUP(OrderLines[[#This Row],[SKU]:[SKU]],Menu[],MATCH(OrderLines[[#Headers],[Category]],Menu[#Headers],0),FALSE)</f>
        <v>Snack</v>
      </c>
      <c r="G132" t="str" cm="1">
        <f t="array" ref="G132">_xlfn.TEXTJOIN("+",TRUE,_xlfn._xlws.SORT(_xlfn.UNIQUE(_xlfn._xlws.FILTER(OrderLines[Category],OrderLines[OrderID]=OrderLines[[#This Row],[OrderID]]))))</f>
        <v>Dessert+Snack</v>
      </c>
      <c r="H132" s="2" cm="1">
        <f t="array" ref="H132">INT(VLOOKUP(OrderLines[[#This Row],[OrderID]:[OrderID]],Orders[],MATCH(OrderLines[[#Headers],[OrderDateTime]],Orders[#Headers],0),FALSE))</f>
        <v>45874</v>
      </c>
      <c r="I132" t="str" cm="1">
        <f t="array" ref="I132">VLOOKUP(OrderLines[[#This Row],[OrderID]:[OrderID]],Orders[],MATCH(OrderLines[[#Headers],[Branch]],Orders[#Headers],0),FALSE)</f>
        <v>Plant 2 Canteen</v>
      </c>
      <c r="J132" cm="1">
        <f t="array" ref="J132">VLOOKUP(OrderLines[[#This Row],[OrderID]:[OrderID]],Orders[],MATCH(OrderLines[[#Headers],[DiscountPct]],Orders[#Headers],0),FALSE)</f>
        <v>0</v>
      </c>
      <c r="K132" t="str" cm="1">
        <f t="array" ref="K132">VLOOKUP(OrderLines[[#This Row],[OrderID]:[OrderID]],Orders[],MATCH(OrderLines[[#Headers],[PaymentType]],Orders[#Headers],0),FALSE)</f>
        <v>UPI</v>
      </c>
      <c r="L132" t="str" cm="1">
        <f t="array" ref="L132">VLOOKUP(OrderLines[[#This Row],[OrderID]:[OrderID]],Orders[],MATCH(OrderLines[[#Headers],[Shift]],Orders[#Headers],0),FALSE)</f>
        <v>Lunch</v>
      </c>
      <c r="M132" s="8">
        <f>(OrderLines[[#This Row],[Qty]]*OrderLines[[#This Row],[UnitPrice]])*(1-OrderLines[[#This Row],[DiscountPct]])</f>
        <v>38.06</v>
      </c>
      <c r="N132" t="str">
        <f>IF(AND(COUNTIFS(OrderLines[OrderID],OrderLines[[#This Row],[OrderID]],OrderLines[Category],"Hot Meal"),COUNTIFS(OrderLines[OrderID],OrderLines[[#This Row],[OrderID]],OrderLines[Category],"Beverage")),"Combo","Single")</f>
        <v>Single</v>
      </c>
      <c r="O132" s="8" t="str" cm="1">
        <f t="array" ref="O132">IF(SUMPRODUCT(OrderLines[UnitPrice],OrderLines[Qty],OrderLines[DiscountPct],--(OrderLines[OrderID] = OrderLines[[#This Row],[OrderID]]))&gt;40,"High Discount","Ok")</f>
        <v>Ok</v>
      </c>
      <c r="P132">
        <f>OrderLines[[#This Row],[UnitCost]]*OrderLines[[#This Row],[Qty]]</f>
        <v>19.55</v>
      </c>
      <c r="Q132" s="8">
        <f>OrderLines[[#This Row],[LineNetAmount]]-OrderLines[[#This Row],[Food Cost]]</f>
        <v>18.510000000000002</v>
      </c>
    </row>
    <row r="133" spans="1:17" x14ac:dyDescent="0.3">
      <c r="A133" t="s">
        <v>90</v>
      </c>
      <c r="B133" t="s">
        <v>414</v>
      </c>
      <c r="C133">
        <v>2</v>
      </c>
      <c r="D133" cm="1">
        <f t="array" ref="D133">VLOOKUP(OrderLines[[#This Row],[SKU]:[SKU]],Menu[],MATCH(OrderLines[[#Headers],[UnitPrice]],Menu[#Headers],0),FALSE)</f>
        <v>116.8</v>
      </c>
      <c r="E133" cm="1">
        <f t="array" ref="E133">VLOOKUP(OrderLines[[#This Row],[SKU]:[SKU]],Menu[],MATCH(OrderLines[[#Headers],[UnitCost]],Menu[#Headers],0),FALSE)</f>
        <v>48.97</v>
      </c>
      <c r="F133" t="str" cm="1">
        <f t="array" ref="F133">VLOOKUP(OrderLines[[#This Row],[SKU]:[SKU]],Menu[],MATCH(OrderLines[[#Headers],[Category]],Menu[#Headers],0),FALSE)</f>
        <v>Dessert</v>
      </c>
      <c r="G133" t="str" cm="1">
        <f t="array" ref="G133">_xlfn.TEXTJOIN("+",TRUE,_xlfn._xlws.SORT(_xlfn.UNIQUE(_xlfn._xlws.FILTER(OrderLines[Category],OrderLines[OrderID]=OrderLines[[#This Row],[OrderID]]))))</f>
        <v>Dessert+Snack</v>
      </c>
      <c r="H133" s="2" cm="1">
        <f t="array" ref="H133">INT(VLOOKUP(OrderLines[[#This Row],[OrderID]:[OrderID]],Orders[],MATCH(OrderLines[[#Headers],[OrderDateTime]],Orders[#Headers],0),FALSE))</f>
        <v>45874</v>
      </c>
      <c r="I133" t="str" cm="1">
        <f t="array" ref="I133">VLOOKUP(OrderLines[[#This Row],[OrderID]:[OrderID]],Orders[],MATCH(OrderLines[[#Headers],[Branch]],Orders[#Headers],0),FALSE)</f>
        <v>Plant 2 Canteen</v>
      </c>
      <c r="J133" cm="1">
        <f t="array" ref="J133">VLOOKUP(OrderLines[[#This Row],[OrderID]:[OrderID]],Orders[],MATCH(OrderLines[[#Headers],[DiscountPct]],Orders[#Headers],0),FALSE)</f>
        <v>0</v>
      </c>
      <c r="K133" t="str" cm="1">
        <f t="array" ref="K133">VLOOKUP(OrderLines[[#This Row],[OrderID]:[OrderID]],Orders[],MATCH(OrderLines[[#Headers],[PaymentType]],Orders[#Headers],0),FALSE)</f>
        <v>UPI</v>
      </c>
      <c r="L133" t="str" cm="1">
        <f t="array" ref="L133">VLOOKUP(OrderLines[[#This Row],[OrderID]:[OrderID]],Orders[],MATCH(OrderLines[[#Headers],[Shift]],Orders[#Headers],0),FALSE)</f>
        <v>Lunch</v>
      </c>
      <c r="M133" s="8">
        <f>(OrderLines[[#This Row],[Qty]]*OrderLines[[#This Row],[UnitPrice]])*(1-OrderLines[[#This Row],[DiscountPct]])</f>
        <v>233.6</v>
      </c>
      <c r="N133" t="str">
        <f>IF(AND(COUNTIFS(OrderLines[OrderID],OrderLines[[#This Row],[OrderID]],OrderLines[Category],"Hot Meal"),COUNTIFS(OrderLines[OrderID],OrderLines[[#This Row],[OrderID]],OrderLines[Category],"Beverage")),"Combo","Single")</f>
        <v>Single</v>
      </c>
      <c r="O133" s="8" t="str" cm="1">
        <f t="array" ref="O133">IF(SUMPRODUCT(OrderLines[UnitPrice],OrderLines[Qty],OrderLines[DiscountPct],--(OrderLines[OrderID] = OrderLines[[#This Row],[OrderID]]))&gt;40,"High Discount","Ok")</f>
        <v>Ok</v>
      </c>
      <c r="P133">
        <f>OrderLines[[#This Row],[UnitCost]]*OrderLines[[#This Row],[Qty]]</f>
        <v>97.94</v>
      </c>
      <c r="Q133" s="8">
        <f>OrderLines[[#This Row],[LineNetAmount]]-OrderLines[[#This Row],[Food Cost]]</f>
        <v>135.66</v>
      </c>
    </row>
    <row r="134" spans="1:17" x14ac:dyDescent="0.3">
      <c r="A134" t="s">
        <v>91</v>
      </c>
      <c r="B134" t="s">
        <v>415</v>
      </c>
      <c r="C134">
        <v>2</v>
      </c>
      <c r="D134" cm="1">
        <f t="array" ref="D134">VLOOKUP(OrderLines[[#This Row],[SKU]:[SKU]],Menu[],MATCH(OrderLines[[#Headers],[UnitPrice]],Menu[#Headers],0),FALSE)</f>
        <v>256.91000000000003</v>
      </c>
      <c r="E134" cm="1">
        <f t="array" ref="E134">VLOOKUP(OrderLines[[#This Row],[SKU]:[SKU]],Menu[],MATCH(OrderLines[[#Headers],[UnitCost]],Menu[#Headers],0),FALSE)</f>
        <v>121.24</v>
      </c>
      <c r="F134" t="str" cm="1">
        <f t="array" ref="F134">VLOOKUP(OrderLines[[#This Row],[SKU]:[SKU]],Menu[],MATCH(OrderLines[[#Headers],[Category]],Menu[#Headers],0),FALSE)</f>
        <v>Hot Meal</v>
      </c>
      <c r="G134" t="str" cm="1">
        <f t="array" ref="G134">_xlfn.TEXTJOIN("+",TRUE,_xlfn._xlws.SORT(_xlfn.UNIQUE(_xlfn._xlws.FILTER(OrderLines[Category],OrderLines[OrderID]=OrderLines[[#This Row],[OrderID]]))))</f>
        <v>Hot Meal</v>
      </c>
      <c r="H134" s="2" cm="1">
        <f t="array" ref="H134">INT(VLOOKUP(OrderLines[[#This Row],[OrderID]:[OrderID]],Orders[],MATCH(OrderLines[[#Headers],[OrderDateTime]],Orders[#Headers],0),FALSE))</f>
        <v>45869</v>
      </c>
      <c r="I134" t="str" cm="1">
        <f t="array" ref="I134">VLOOKUP(OrderLines[[#This Row],[OrderID]:[OrderID]],Orders[],MATCH(OrderLines[[#Headers],[Branch]],Orders[#Headers],0),FALSE)</f>
        <v>Head Office Café</v>
      </c>
      <c r="J134" cm="1">
        <f t="array" ref="J134">VLOOKUP(OrderLines[[#This Row],[OrderID]:[OrderID]],Orders[],MATCH(OrderLines[[#Headers],[DiscountPct]],Orders[#Headers],0),FALSE)</f>
        <v>7.0000000000000007E-2</v>
      </c>
      <c r="K134" t="str" cm="1">
        <f t="array" ref="K134">VLOOKUP(OrderLines[[#This Row],[OrderID]:[OrderID]],Orders[],MATCH(OrderLines[[#Headers],[PaymentType]],Orders[#Headers],0),FALSE)</f>
        <v>UPI</v>
      </c>
      <c r="L134" t="str" cm="1">
        <f t="array" ref="L134">VLOOKUP(OrderLines[[#This Row],[OrderID]:[OrderID]],Orders[],MATCH(OrderLines[[#Headers],[Shift]],Orders[#Headers],0),FALSE)</f>
        <v>Dinner</v>
      </c>
      <c r="M134" s="8">
        <f>(OrderLines[[#This Row],[Qty]]*OrderLines[[#This Row],[UnitPrice]])*(1-OrderLines[[#This Row],[DiscountPct]])</f>
        <v>477.8526</v>
      </c>
      <c r="N134" t="str">
        <f>IF(AND(COUNTIFS(OrderLines[OrderID],OrderLines[[#This Row],[OrderID]],OrderLines[Category],"Hot Meal"),COUNTIFS(OrderLines[OrderID],OrderLines[[#This Row],[OrderID]],OrderLines[Category],"Beverage")),"Combo","Single")</f>
        <v>Single</v>
      </c>
      <c r="O134" s="8" t="str" cm="1">
        <f t="array" ref="O134">IF(SUMPRODUCT(OrderLines[UnitPrice],OrderLines[Qty],OrderLines[DiscountPct],--(OrderLines[OrderID] = OrderLines[[#This Row],[OrderID]]))&gt;40,"High Discount","Ok")</f>
        <v>High Discount</v>
      </c>
      <c r="P134">
        <f>OrderLines[[#This Row],[UnitCost]]*OrderLines[[#This Row],[Qty]]</f>
        <v>242.48</v>
      </c>
      <c r="Q134" s="8">
        <f>OrderLines[[#This Row],[LineNetAmount]]-OrderLines[[#This Row],[Food Cost]]</f>
        <v>235.37260000000001</v>
      </c>
    </row>
    <row r="135" spans="1:17" x14ac:dyDescent="0.3">
      <c r="A135" t="s">
        <v>91</v>
      </c>
      <c r="B135" t="s">
        <v>407</v>
      </c>
      <c r="C135">
        <v>1</v>
      </c>
      <c r="D135" cm="1">
        <f t="array" ref="D135">VLOOKUP(OrderLines[[#This Row],[SKU]:[SKU]],Menu[],MATCH(OrderLines[[#Headers],[UnitPrice]],Menu[#Headers],0),FALSE)</f>
        <v>246.09</v>
      </c>
      <c r="E135" cm="1">
        <f t="array" ref="E135">VLOOKUP(OrderLines[[#This Row],[SKU]:[SKU]],Menu[],MATCH(OrderLines[[#Headers],[UnitCost]],Menu[#Headers],0),FALSE)</f>
        <v>112.08</v>
      </c>
      <c r="F135" t="str" cm="1">
        <f t="array" ref="F135">VLOOKUP(OrderLines[[#This Row],[SKU]:[SKU]],Menu[],MATCH(OrderLines[[#Headers],[Category]],Menu[#Headers],0),FALSE)</f>
        <v>Hot Meal</v>
      </c>
      <c r="G135" t="str" cm="1">
        <f t="array" ref="G135">_xlfn.TEXTJOIN("+",TRUE,_xlfn._xlws.SORT(_xlfn.UNIQUE(_xlfn._xlws.FILTER(OrderLines[Category],OrderLines[OrderID]=OrderLines[[#This Row],[OrderID]]))))</f>
        <v>Hot Meal</v>
      </c>
      <c r="H135" s="2" cm="1">
        <f t="array" ref="H135">INT(VLOOKUP(OrderLines[[#This Row],[OrderID]:[OrderID]],Orders[],MATCH(OrderLines[[#Headers],[OrderDateTime]],Orders[#Headers],0),FALSE))</f>
        <v>45869</v>
      </c>
      <c r="I135" t="str" cm="1">
        <f t="array" ref="I135">VLOOKUP(OrderLines[[#This Row],[OrderID]:[OrderID]],Orders[],MATCH(OrderLines[[#Headers],[Branch]],Orders[#Headers],0),FALSE)</f>
        <v>Head Office Café</v>
      </c>
      <c r="J135" cm="1">
        <f t="array" ref="J135">VLOOKUP(OrderLines[[#This Row],[OrderID]:[OrderID]],Orders[],MATCH(OrderLines[[#Headers],[DiscountPct]],Orders[#Headers],0),FALSE)</f>
        <v>7.0000000000000007E-2</v>
      </c>
      <c r="K135" t="str" cm="1">
        <f t="array" ref="K135">VLOOKUP(OrderLines[[#This Row],[OrderID]:[OrderID]],Orders[],MATCH(OrderLines[[#Headers],[PaymentType]],Orders[#Headers],0),FALSE)</f>
        <v>UPI</v>
      </c>
      <c r="L135" t="str" cm="1">
        <f t="array" ref="L135">VLOOKUP(OrderLines[[#This Row],[OrderID]:[OrderID]],Orders[],MATCH(OrderLines[[#Headers],[Shift]],Orders[#Headers],0),FALSE)</f>
        <v>Dinner</v>
      </c>
      <c r="M135" s="8">
        <f>(OrderLines[[#This Row],[Qty]]*OrderLines[[#This Row],[UnitPrice]])*(1-OrderLines[[#This Row],[DiscountPct]])</f>
        <v>228.86369999999999</v>
      </c>
      <c r="N135" t="str">
        <f>IF(AND(COUNTIFS(OrderLines[OrderID],OrderLines[[#This Row],[OrderID]],OrderLines[Category],"Hot Meal"),COUNTIFS(OrderLines[OrderID],OrderLines[[#This Row],[OrderID]],OrderLines[Category],"Beverage")),"Combo","Single")</f>
        <v>Single</v>
      </c>
      <c r="O135" s="8" t="str" cm="1">
        <f t="array" ref="O135">IF(SUMPRODUCT(OrderLines[UnitPrice],OrderLines[Qty],OrderLines[DiscountPct],--(OrderLines[OrderID] = OrderLines[[#This Row],[OrderID]]))&gt;40,"High Discount","Ok")</f>
        <v>High Discount</v>
      </c>
      <c r="P135">
        <f>OrderLines[[#This Row],[UnitCost]]*OrderLines[[#This Row],[Qty]]</f>
        <v>112.08</v>
      </c>
      <c r="Q135" s="8">
        <f>OrderLines[[#This Row],[LineNetAmount]]-OrderLines[[#This Row],[Food Cost]]</f>
        <v>116.7837</v>
      </c>
    </row>
    <row r="136" spans="1:17" x14ac:dyDescent="0.3">
      <c r="A136" t="s">
        <v>92</v>
      </c>
      <c r="B136" t="s">
        <v>414</v>
      </c>
      <c r="C136">
        <v>3</v>
      </c>
      <c r="D136" cm="1">
        <f t="array" ref="D136">VLOOKUP(OrderLines[[#This Row],[SKU]:[SKU]],Menu[],MATCH(OrderLines[[#Headers],[UnitPrice]],Menu[#Headers],0),FALSE)</f>
        <v>116.8</v>
      </c>
      <c r="E136" cm="1">
        <f t="array" ref="E136">VLOOKUP(OrderLines[[#This Row],[SKU]:[SKU]],Menu[],MATCH(OrderLines[[#Headers],[UnitCost]],Menu[#Headers],0),FALSE)</f>
        <v>48.97</v>
      </c>
      <c r="F136" t="str" cm="1">
        <f t="array" ref="F136">VLOOKUP(OrderLines[[#This Row],[SKU]:[SKU]],Menu[],MATCH(OrderLines[[#Headers],[Category]],Menu[#Headers],0),FALSE)</f>
        <v>Dessert</v>
      </c>
      <c r="G136" t="str" cm="1">
        <f t="array" ref="G136">_xlfn.TEXTJOIN("+",TRUE,_xlfn._xlws.SORT(_xlfn.UNIQUE(_xlfn._xlws.FILTER(OrderLines[Category],OrderLines[OrderID]=OrderLines[[#This Row],[OrderID]]))))</f>
        <v>Dessert+Hot Meal</v>
      </c>
      <c r="H136" s="2" cm="1">
        <f t="array" ref="H136">INT(VLOOKUP(OrderLines[[#This Row],[OrderID]:[OrderID]],Orders[],MATCH(OrderLines[[#Headers],[OrderDateTime]],Orders[#Headers],0),FALSE))</f>
        <v>45888</v>
      </c>
      <c r="I136" t="str" cm="1">
        <f t="array" ref="I136">VLOOKUP(OrderLines[[#This Row],[OrderID]:[OrderID]],Orders[],MATCH(OrderLines[[#Headers],[Branch]],Orders[#Headers],0),FALSE)</f>
        <v>Plant 2 Canteen</v>
      </c>
      <c r="J136" cm="1">
        <f t="array" ref="J136">VLOOKUP(OrderLines[[#This Row],[OrderID]:[OrderID]],Orders[],MATCH(OrderLines[[#Headers],[DiscountPct]],Orders[#Headers],0),FALSE)</f>
        <v>7.0000000000000007E-2</v>
      </c>
      <c r="K136" t="str" cm="1">
        <f t="array" ref="K136">VLOOKUP(OrderLines[[#This Row],[OrderID]:[OrderID]],Orders[],MATCH(OrderLines[[#Headers],[PaymentType]],Orders[#Headers],0),FALSE)</f>
        <v>Card</v>
      </c>
      <c r="L136" t="str" cm="1">
        <f t="array" ref="L136">VLOOKUP(OrderLines[[#This Row],[OrderID]:[OrderID]],Orders[],MATCH(OrderLines[[#Headers],[Shift]],Orders[#Headers],0),FALSE)</f>
        <v>Lunch</v>
      </c>
      <c r="M136" s="8">
        <f>(OrderLines[[#This Row],[Qty]]*OrderLines[[#This Row],[UnitPrice]])*(1-OrderLines[[#This Row],[DiscountPct]])</f>
        <v>325.87199999999996</v>
      </c>
      <c r="N136" t="str">
        <f>IF(AND(COUNTIFS(OrderLines[OrderID],OrderLines[[#This Row],[OrderID]],OrderLines[Category],"Hot Meal"),COUNTIFS(OrderLines[OrderID],OrderLines[[#This Row],[OrderID]],OrderLines[Category],"Beverage")),"Combo","Single")</f>
        <v>Single</v>
      </c>
      <c r="O136" s="8" t="str" cm="1">
        <f t="array" ref="O136">IF(SUMPRODUCT(OrderLines[UnitPrice],OrderLines[Qty],OrderLines[DiscountPct],--(OrderLines[OrderID] = OrderLines[[#This Row],[OrderID]]))&gt;40,"High Discount","Ok")</f>
        <v>Ok</v>
      </c>
      <c r="P136">
        <f>OrderLines[[#This Row],[UnitCost]]*OrderLines[[#This Row],[Qty]]</f>
        <v>146.91</v>
      </c>
      <c r="Q136" s="8">
        <f>OrderLines[[#This Row],[LineNetAmount]]-OrderLines[[#This Row],[Food Cost]]</f>
        <v>178.96199999999996</v>
      </c>
    </row>
    <row r="137" spans="1:17" x14ac:dyDescent="0.3">
      <c r="A137" t="s">
        <v>92</v>
      </c>
      <c r="B137" t="s">
        <v>417</v>
      </c>
      <c r="C137">
        <v>1</v>
      </c>
      <c r="D137" cm="1">
        <f t="array" ref="D137">VLOOKUP(OrderLines[[#This Row],[SKU]:[SKU]],Menu[],MATCH(OrderLines[[#Headers],[UnitPrice]],Menu[#Headers],0),FALSE)</f>
        <v>146.4</v>
      </c>
      <c r="E137" cm="1">
        <f t="array" ref="E137">VLOOKUP(OrderLines[[#This Row],[SKU]:[SKU]],Menu[],MATCH(OrderLines[[#Headers],[UnitCost]],Menu[#Headers],0),FALSE)</f>
        <v>80.92</v>
      </c>
      <c r="F137" t="str" cm="1">
        <f t="array" ref="F137">VLOOKUP(OrderLines[[#This Row],[SKU]:[SKU]],Menu[],MATCH(OrderLines[[#Headers],[Category]],Menu[#Headers],0),FALSE)</f>
        <v>Hot Meal</v>
      </c>
      <c r="G137" t="str" cm="1">
        <f t="array" ref="G137">_xlfn.TEXTJOIN("+",TRUE,_xlfn._xlws.SORT(_xlfn.UNIQUE(_xlfn._xlws.FILTER(OrderLines[Category],OrderLines[OrderID]=OrderLines[[#This Row],[OrderID]]))))</f>
        <v>Dessert+Hot Meal</v>
      </c>
      <c r="H137" s="2" cm="1">
        <f t="array" ref="H137">INT(VLOOKUP(OrderLines[[#This Row],[OrderID]:[OrderID]],Orders[],MATCH(OrderLines[[#Headers],[OrderDateTime]],Orders[#Headers],0),FALSE))</f>
        <v>45888</v>
      </c>
      <c r="I137" t="str" cm="1">
        <f t="array" ref="I137">VLOOKUP(OrderLines[[#This Row],[OrderID]:[OrderID]],Orders[],MATCH(OrderLines[[#Headers],[Branch]],Orders[#Headers],0),FALSE)</f>
        <v>Plant 2 Canteen</v>
      </c>
      <c r="J137" cm="1">
        <f t="array" ref="J137">VLOOKUP(OrderLines[[#This Row],[OrderID]:[OrderID]],Orders[],MATCH(OrderLines[[#Headers],[DiscountPct]],Orders[#Headers],0),FALSE)</f>
        <v>7.0000000000000007E-2</v>
      </c>
      <c r="K137" t="str" cm="1">
        <f t="array" ref="K137">VLOOKUP(OrderLines[[#This Row],[OrderID]:[OrderID]],Orders[],MATCH(OrderLines[[#Headers],[PaymentType]],Orders[#Headers],0),FALSE)</f>
        <v>Card</v>
      </c>
      <c r="L137" t="str" cm="1">
        <f t="array" ref="L137">VLOOKUP(OrderLines[[#This Row],[OrderID]:[OrderID]],Orders[],MATCH(OrderLines[[#Headers],[Shift]],Orders[#Headers],0),FALSE)</f>
        <v>Lunch</v>
      </c>
      <c r="M137" s="8">
        <f>(OrderLines[[#This Row],[Qty]]*OrderLines[[#This Row],[UnitPrice]])*(1-OrderLines[[#This Row],[DiscountPct]])</f>
        <v>136.15199999999999</v>
      </c>
      <c r="N137" t="str">
        <f>IF(AND(COUNTIFS(OrderLines[OrderID],OrderLines[[#This Row],[OrderID]],OrderLines[Category],"Hot Meal"),COUNTIFS(OrderLines[OrderID],OrderLines[[#This Row],[OrderID]],OrderLines[Category],"Beverage")),"Combo","Single")</f>
        <v>Single</v>
      </c>
      <c r="O137" s="8" t="str" cm="1">
        <f t="array" ref="O137">IF(SUMPRODUCT(OrderLines[UnitPrice],OrderLines[Qty],OrderLines[DiscountPct],--(OrderLines[OrderID] = OrderLines[[#This Row],[OrderID]]))&gt;40,"High Discount","Ok")</f>
        <v>Ok</v>
      </c>
      <c r="P137">
        <f>OrderLines[[#This Row],[UnitCost]]*OrderLines[[#This Row],[Qty]]</f>
        <v>80.92</v>
      </c>
      <c r="Q137" s="8">
        <f>OrderLines[[#This Row],[LineNetAmount]]-OrderLines[[#This Row],[Food Cost]]</f>
        <v>55.231999999999985</v>
      </c>
    </row>
    <row r="138" spans="1:17" x14ac:dyDescent="0.3">
      <c r="A138" t="s">
        <v>93</v>
      </c>
      <c r="B138" t="s">
        <v>419</v>
      </c>
      <c r="C138">
        <v>1</v>
      </c>
      <c r="D138" cm="1">
        <f t="array" ref="D138">VLOOKUP(OrderLines[[#This Row],[SKU]:[SKU]],Menu[],MATCH(OrderLines[[#Headers],[UnitPrice]],Menu[#Headers],0),FALSE)</f>
        <v>50.19</v>
      </c>
      <c r="E138" cm="1">
        <f t="array" ref="E138">VLOOKUP(OrderLines[[#This Row],[SKU]:[SKU]],Menu[],MATCH(OrderLines[[#Headers],[UnitCost]],Menu[#Headers],0),FALSE)</f>
        <v>22.61</v>
      </c>
      <c r="F138" t="str" cm="1">
        <f t="array" ref="F138">VLOOKUP(OrderLines[[#This Row],[SKU]:[SKU]],Menu[],MATCH(OrderLines[[#Headers],[Category]],Menu[#Headers],0),FALSE)</f>
        <v>Snack</v>
      </c>
      <c r="G138" t="str" cm="1">
        <f t="array" ref="G138">_xlfn.TEXTJOIN("+",TRUE,_xlfn._xlws.SORT(_xlfn.UNIQUE(_xlfn._xlws.FILTER(OrderLines[Category],OrderLines[OrderID]=OrderLines[[#This Row],[OrderID]]))))</f>
        <v>Beverage+Dessert+Snack</v>
      </c>
      <c r="H138" s="2" cm="1">
        <f t="array" ref="H138">INT(VLOOKUP(OrderLines[[#This Row],[OrderID]:[OrderID]],Orders[],MATCH(OrderLines[[#Headers],[OrderDateTime]],Orders[#Headers],0),FALSE))</f>
        <v>45878</v>
      </c>
      <c r="I138" t="str" cm="1">
        <f t="array" ref="I138">VLOOKUP(OrderLines[[#This Row],[OrderID]:[OrderID]],Orders[],MATCH(OrderLines[[#Headers],[Branch]],Orders[#Headers],0),FALSE)</f>
        <v>Head Office Café</v>
      </c>
      <c r="J138" cm="1">
        <f t="array" ref="J138">VLOOKUP(OrderLines[[#This Row],[OrderID]:[OrderID]],Orders[],MATCH(OrderLines[[#Headers],[DiscountPct]],Orders[#Headers],0),FALSE)</f>
        <v>0.06</v>
      </c>
      <c r="K138" t="str" cm="1">
        <f t="array" ref="K138">VLOOKUP(OrderLines[[#This Row],[OrderID]:[OrderID]],Orders[],MATCH(OrderLines[[#Headers],[PaymentType]],Orders[#Headers],0),FALSE)</f>
        <v>UPI</v>
      </c>
      <c r="L138" t="str" cm="1">
        <f t="array" ref="L138">VLOOKUP(OrderLines[[#This Row],[OrderID]:[OrderID]],Orders[],MATCH(OrderLines[[#Headers],[Shift]],Orders[#Headers],0),FALSE)</f>
        <v>Breakfast</v>
      </c>
      <c r="M138" s="8">
        <f>(OrderLines[[#This Row],[Qty]]*OrderLines[[#This Row],[UnitPrice]])*(1-OrderLines[[#This Row],[DiscountPct]])</f>
        <v>47.178599999999996</v>
      </c>
      <c r="N138" t="str">
        <f>IF(AND(COUNTIFS(OrderLines[OrderID],OrderLines[[#This Row],[OrderID]],OrderLines[Category],"Hot Meal"),COUNTIFS(OrderLines[OrderID],OrderLines[[#This Row],[OrderID]],OrderLines[Category],"Beverage")),"Combo","Single")</f>
        <v>Single</v>
      </c>
      <c r="O138" s="8" t="str" cm="1">
        <f t="array" ref="O138">IF(SUMPRODUCT(OrderLines[UnitPrice],OrderLines[Qty],OrderLines[DiscountPct],--(OrderLines[OrderID] = OrderLines[[#This Row],[OrderID]]))&gt;40,"High Discount","Ok")</f>
        <v>Ok</v>
      </c>
      <c r="P138">
        <f>OrderLines[[#This Row],[UnitCost]]*OrderLines[[#This Row],[Qty]]</f>
        <v>22.61</v>
      </c>
      <c r="Q138" s="8">
        <f>OrderLines[[#This Row],[LineNetAmount]]-OrderLines[[#This Row],[Food Cost]]</f>
        <v>24.568599999999996</v>
      </c>
    </row>
    <row r="139" spans="1:17" x14ac:dyDescent="0.3">
      <c r="A139" t="s">
        <v>93</v>
      </c>
      <c r="B139" t="s">
        <v>402</v>
      </c>
      <c r="C139">
        <v>3</v>
      </c>
      <c r="D139" cm="1">
        <f t="array" ref="D139">VLOOKUP(OrderLines[[#This Row],[SKU]:[SKU]],Menu[],MATCH(OrderLines[[#Headers],[UnitPrice]],Menu[#Headers],0),FALSE)</f>
        <v>30.34</v>
      </c>
      <c r="E139" cm="1">
        <f t="array" ref="E139">VLOOKUP(OrderLines[[#This Row],[SKU]:[SKU]],Menu[],MATCH(OrderLines[[#Headers],[UnitCost]],Menu[#Headers],0),FALSE)</f>
        <v>14.18</v>
      </c>
      <c r="F139" t="str" cm="1">
        <f t="array" ref="F139">VLOOKUP(OrderLines[[#This Row],[SKU]:[SKU]],Menu[],MATCH(OrderLines[[#Headers],[Category]],Menu[#Headers],0),FALSE)</f>
        <v>Beverage</v>
      </c>
      <c r="G139" t="str" cm="1">
        <f t="array" ref="G139">_xlfn.TEXTJOIN("+",TRUE,_xlfn._xlws.SORT(_xlfn.UNIQUE(_xlfn._xlws.FILTER(OrderLines[Category],OrderLines[OrderID]=OrderLines[[#This Row],[OrderID]]))))</f>
        <v>Beverage+Dessert+Snack</v>
      </c>
      <c r="H139" s="2" cm="1">
        <f t="array" ref="H139">INT(VLOOKUP(OrderLines[[#This Row],[OrderID]:[OrderID]],Orders[],MATCH(OrderLines[[#Headers],[OrderDateTime]],Orders[#Headers],0),FALSE))</f>
        <v>45878</v>
      </c>
      <c r="I139" t="str" cm="1">
        <f t="array" ref="I139">VLOOKUP(OrderLines[[#This Row],[OrderID]:[OrderID]],Orders[],MATCH(OrderLines[[#Headers],[Branch]],Orders[#Headers],0),FALSE)</f>
        <v>Head Office Café</v>
      </c>
      <c r="J139" cm="1">
        <f t="array" ref="J139">VLOOKUP(OrderLines[[#This Row],[OrderID]:[OrderID]],Orders[],MATCH(OrderLines[[#Headers],[DiscountPct]],Orders[#Headers],0),FALSE)</f>
        <v>0.06</v>
      </c>
      <c r="K139" t="str" cm="1">
        <f t="array" ref="K139">VLOOKUP(OrderLines[[#This Row],[OrderID]:[OrderID]],Orders[],MATCH(OrderLines[[#Headers],[PaymentType]],Orders[#Headers],0),FALSE)</f>
        <v>UPI</v>
      </c>
      <c r="L139" t="str" cm="1">
        <f t="array" ref="L139">VLOOKUP(OrderLines[[#This Row],[OrderID]:[OrderID]],Orders[],MATCH(OrderLines[[#Headers],[Shift]],Orders[#Headers],0),FALSE)</f>
        <v>Breakfast</v>
      </c>
      <c r="M139" s="8">
        <f>(OrderLines[[#This Row],[Qty]]*OrderLines[[#This Row],[UnitPrice]])*(1-OrderLines[[#This Row],[DiscountPct]])</f>
        <v>85.558799999999991</v>
      </c>
      <c r="N139" t="str">
        <f>IF(AND(COUNTIFS(OrderLines[OrderID],OrderLines[[#This Row],[OrderID]],OrderLines[Category],"Hot Meal"),COUNTIFS(OrderLines[OrderID],OrderLines[[#This Row],[OrderID]],OrderLines[Category],"Beverage")),"Combo","Single")</f>
        <v>Single</v>
      </c>
      <c r="O139" s="8" t="str" cm="1">
        <f t="array" ref="O139">IF(SUMPRODUCT(OrderLines[UnitPrice],OrderLines[Qty],OrderLines[DiscountPct],--(OrderLines[OrderID] = OrderLines[[#This Row],[OrderID]]))&gt;40,"High Discount","Ok")</f>
        <v>Ok</v>
      </c>
      <c r="P139">
        <f>OrderLines[[#This Row],[UnitCost]]*OrderLines[[#This Row],[Qty]]</f>
        <v>42.54</v>
      </c>
      <c r="Q139" s="8">
        <f>OrderLines[[#This Row],[LineNetAmount]]-OrderLines[[#This Row],[Food Cost]]</f>
        <v>43.018799999999992</v>
      </c>
    </row>
    <row r="140" spans="1:17" x14ac:dyDescent="0.3">
      <c r="A140" t="s">
        <v>93</v>
      </c>
      <c r="B140" t="s">
        <v>406</v>
      </c>
      <c r="C140">
        <v>1</v>
      </c>
      <c r="D140" cm="1">
        <f t="array" ref="D140">VLOOKUP(OrderLines[[#This Row],[SKU]:[SKU]],Menu[],MATCH(OrderLines[[#Headers],[UnitPrice]],Menu[#Headers],0),FALSE)</f>
        <v>38.06</v>
      </c>
      <c r="E140" cm="1">
        <f t="array" ref="E140">VLOOKUP(OrderLines[[#This Row],[SKU]:[SKU]],Menu[],MATCH(OrderLines[[#Headers],[UnitCost]],Menu[#Headers],0),FALSE)</f>
        <v>19.55</v>
      </c>
      <c r="F140" t="str" cm="1">
        <f t="array" ref="F140">VLOOKUP(OrderLines[[#This Row],[SKU]:[SKU]],Menu[],MATCH(OrderLines[[#Headers],[Category]],Menu[#Headers],0),FALSE)</f>
        <v>Snack</v>
      </c>
      <c r="G140" t="str" cm="1">
        <f t="array" ref="G140">_xlfn.TEXTJOIN("+",TRUE,_xlfn._xlws.SORT(_xlfn.UNIQUE(_xlfn._xlws.FILTER(OrderLines[Category],OrderLines[OrderID]=OrderLines[[#This Row],[OrderID]]))))</f>
        <v>Beverage+Dessert+Snack</v>
      </c>
      <c r="H140" s="2" cm="1">
        <f t="array" ref="H140">INT(VLOOKUP(OrderLines[[#This Row],[OrderID]:[OrderID]],Orders[],MATCH(OrderLines[[#Headers],[OrderDateTime]],Orders[#Headers],0),FALSE))</f>
        <v>45878</v>
      </c>
      <c r="I140" t="str" cm="1">
        <f t="array" ref="I140">VLOOKUP(OrderLines[[#This Row],[OrderID]:[OrderID]],Orders[],MATCH(OrderLines[[#Headers],[Branch]],Orders[#Headers],0),FALSE)</f>
        <v>Head Office Café</v>
      </c>
      <c r="J140" cm="1">
        <f t="array" ref="J140">VLOOKUP(OrderLines[[#This Row],[OrderID]:[OrderID]],Orders[],MATCH(OrderLines[[#Headers],[DiscountPct]],Orders[#Headers],0),FALSE)</f>
        <v>0.06</v>
      </c>
      <c r="K140" t="str" cm="1">
        <f t="array" ref="K140">VLOOKUP(OrderLines[[#This Row],[OrderID]:[OrderID]],Orders[],MATCH(OrderLines[[#Headers],[PaymentType]],Orders[#Headers],0),FALSE)</f>
        <v>UPI</v>
      </c>
      <c r="L140" t="str" cm="1">
        <f t="array" ref="L140">VLOOKUP(OrderLines[[#This Row],[OrderID]:[OrderID]],Orders[],MATCH(OrderLines[[#Headers],[Shift]],Orders[#Headers],0),FALSE)</f>
        <v>Breakfast</v>
      </c>
      <c r="M140" s="8">
        <f>(OrderLines[[#This Row],[Qty]]*OrderLines[[#This Row],[UnitPrice]])*(1-OrderLines[[#This Row],[DiscountPct]])</f>
        <v>35.776400000000002</v>
      </c>
      <c r="N140" t="str">
        <f>IF(AND(COUNTIFS(OrderLines[OrderID],OrderLines[[#This Row],[OrderID]],OrderLines[Category],"Hot Meal"),COUNTIFS(OrderLines[OrderID],OrderLines[[#This Row],[OrderID]],OrderLines[Category],"Beverage")),"Combo","Single")</f>
        <v>Single</v>
      </c>
      <c r="O140" s="8" t="str" cm="1">
        <f t="array" ref="O140">IF(SUMPRODUCT(OrderLines[UnitPrice],OrderLines[Qty],OrderLines[DiscountPct],--(OrderLines[OrderID] = OrderLines[[#This Row],[OrderID]]))&gt;40,"High Discount","Ok")</f>
        <v>Ok</v>
      </c>
      <c r="P140">
        <f>OrderLines[[#This Row],[UnitCost]]*OrderLines[[#This Row],[Qty]]</f>
        <v>19.55</v>
      </c>
      <c r="Q140" s="8">
        <f>OrderLines[[#This Row],[LineNetAmount]]-OrderLines[[#This Row],[Food Cost]]</f>
        <v>16.226400000000002</v>
      </c>
    </row>
    <row r="141" spans="1:17" x14ac:dyDescent="0.3">
      <c r="A141" t="s">
        <v>93</v>
      </c>
      <c r="B141" t="s">
        <v>403</v>
      </c>
      <c r="C141">
        <v>1</v>
      </c>
      <c r="D141" cm="1">
        <f t="array" ref="D141">VLOOKUP(OrderLines[[#This Row],[SKU]:[SKU]],Menu[],MATCH(OrderLines[[#Headers],[UnitPrice]],Menu[#Headers],0),FALSE)</f>
        <v>76.55</v>
      </c>
      <c r="E141" cm="1">
        <f t="array" ref="E141">VLOOKUP(OrderLines[[#This Row],[SKU]:[SKU]],Menu[],MATCH(OrderLines[[#Headers],[UnitCost]],Menu[#Headers],0),FALSE)</f>
        <v>38.229999999999997</v>
      </c>
      <c r="F141" t="str" cm="1">
        <f t="array" ref="F141">VLOOKUP(OrderLines[[#This Row],[SKU]:[SKU]],Menu[],MATCH(OrderLines[[#Headers],[Category]],Menu[#Headers],0),FALSE)</f>
        <v>Dessert</v>
      </c>
      <c r="G141" t="str" cm="1">
        <f t="array" ref="G141">_xlfn.TEXTJOIN("+",TRUE,_xlfn._xlws.SORT(_xlfn.UNIQUE(_xlfn._xlws.FILTER(OrderLines[Category],OrderLines[OrderID]=OrderLines[[#This Row],[OrderID]]))))</f>
        <v>Beverage+Dessert+Snack</v>
      </c>
      <c r="H141" s="2" cm="1">
        <f t="array" ref="H141">INT(VLOOKUP(OrderLines[[#This Row],[OrderID]:[OrderID]],Orders[],MATCH(OrderLines[[#Headers],[OrderDateTime]],Orders[#Headers],0),FALSE))</f>
        <v>45878</v>
      </c>
      <c r="I141" t="str" cm="1">
        <f t="array" ref="I141">VLOOKUP(OrderLines[[#This Row],[OrderID]:[OrderID]],Orders[],MATCH(OrderLines[[#Headers],[Branch]],Orders[#Headers],0),FALSE)</f>
        <v>Head Office Café</v>
      </c>
      <c r="J141" cm="1">
        <f t="array" ref="J141">VLOOKUP(OrderLines[[#This Row],[OrderID]:[OrderID]],Orders[],MATCH(OrderLines[[#Headers],[DiscountPct]],Orders[#Headers],0),FALSE)</f>
        <v>0.06</v>
      </c>
      <c r="K141" t="str" cm="1">
        <f t="array" ref="K141">VLOOKUP(OrderLines[[#This Row],[OrderID]:[OrderID]],Orders[],MATCH(OrderLines[[#Headers],[PaymentType]],Orders[#Headers],0),FALSE)</f>
        <v>UPI</v>
      </c>
      <c r="L141" t="str" cm="1">
        <f t="array" ref="L141">VLOOKUP(OrderLines[[#This Row],[OrderID]:[OrderID]],Orders[],MATCH(OrderLines[[#Headers],[Shift]],Orders[#Headers],0),FALSE)</f>
        <v>Breakfast</v>
      </c>
      <c r="M141" s="8">
        <f>(OrderLines[[#This Row],[Qty]]*OrderLines[[#This Row],[UnitPrice]])*(1-OrderLines[[#This Row],[DiscountPct]])</f>
        <v>71.956999999999994</v>
      </c>
      <c r="N141" t="str">
        <f>IF(AND(COUNTIFS(OrderLines[OrderID],OrderLines[[#This Row],[OrderID]],OrderLines[Category],"Hot Meal"),COUNTIFS(OrderLines[OrderID],OrderLines[[#This Row],[OrderID]],OrderLines[Category],"Beverage")),"Combo","Single")</f>
        <v>Single</v>
      </c>
      <c r="O141" s="8" t="str" cm="1">
        <f t="array" ref="O141">IF(SUMPRODUCT(OrderLines[UnitPrice],OrderLines[Qty],OrderLines[DiscountPct],--(OrderLines[OrderID] = OrderLines[[#This Row],[OrderID]]))&gt;40,"High Discount","Ok")</f>
        <v>Ok</v>
      </c>
      <c r="P141">
        <f>OrderLines[[#This Row],[UnitCost]]*OrderLines[[#This Row],[Qty]]</f>
        <v>38.229999999999997</v>
      </c>
      <c r="Q141" s="8">
        <f>OrderLines[[#This Row],[LineNetAmount]]-OrderLines[[#This Row],[Food Cost]]</f>
        <v>33.726999999999997</v>
      </c>
    </row>
    <row r="142" spans="1:17" x14ac:dyDescent="0.3">
      <c r="A142" t="s">
        <v>94</v>
      </c>
      <c r="B142" t="s">
        <v>407</v>
      </c>
      <c r="C142">
        <v>1</v>
      </c>
      <c r="D142" cm="1">
        <f t="array" ref="D142">VLOOKUP(OrderLines[[#This Row],[SKU]:[SKU]],Menu[],MATCH(OrderLines[[#Headers],[UnitPrice]],Menu[#Headers],0),FALSE)</f>
        <v>246.09</v>
      </c>
      <c r="E142" cm="1">
        <f t="array" ref="E142">VLOOKUP(OrderLines[[#This Row],[SKU]:[SKU]],Menu[],MATCH(OrderLines[[#Headers],[UnitCost]],Menu[#Headers],0),FALSE)</f>
        <v>112.08</v>
      </c>
      <c r="F142" t="str" cm="1">
        <f t="array" ref="F142">VLOOKUP(OrderLines[[#This Row],[SKU]:[SKU]],Menu[],MATCH(OrderLines[[#Headers],[Category]],Menu[#Headers],0),FALSE)</f>
        <v>Hot Meal</v>
      </c>
      <c r="G142" t="str" cm="1">
        <f t="array" ref="G142">_xlfn.TEXTJOIN("+",TRUE,_xlfn._xlws.SORT(_xlfn.UNIQUE(_xlfn._xlws.FILTER(OrderLines[Category],OrderLines[OrderID]=OrderLines[[#This Row],[OrderID]]))))</f>
        <v>Hot Meal</v>
      </c>
      <c r="H142" s="2" cm="1">
        <f t="array" ref="H142">INT(VLOOKUP(OrderLines[[#This Row],[OrderID]:[OrderID]],Orders[],MATCH(OrderLines[[#Headers],[OrderDateTime]],Orders[#Headers],0),FALSE))</f>
        <v>45857</v>
      </c>
      <c r="I142" t="str" cm="1">
        <f t="array" ref="I142">VLOOKUP(OrderLines[[#This Row],[OrderID]:[OrderID]],Orders[],MATCH(OrderLines[[#Headers],[Branch]],Orders[#Headers],0),FALSE)</f>
        <v>Plant 2 Canteen</v>
      </c>
      <c r="J142" cm="1">
        <f t="array" ref="J142">VLOOKUP(OrderLines[[#This Row],[OrderID]:[OrderID]],Orders[],MATCH(OrderLines[[#Headers],[DiscountPct]],Orders[#Headers],0),FALSE)</f>
        <v>0.05</v>
      </c>
      <c r="K142" t="str" cm="1">
        <f t="array" ref="K142">VLOOKUP(OrderLines[[#This Row],[OrderID]:[OrderID]],Orders[],MATCH(OrderLines[[#Headers],[PaymentType]],Orders[#Headers],0),FALSE)</f>
        <v>Card</v>
      </c>
      <c r="L142" t="str" cm="1">
        <f t="array" ref="L142">VLOOKUP(OrderLines[[#This Row],[OrderID]:[OrderID]],Orders[],MATCH(OrderLines[[#Headers],[Shift]],Orders[#Headers],0),FALSE)</f>
        <v>Dinner</v>
      </c>
      <c r="M142" s="8">
        <f>(OrderLines[[#This Row],[Qty]]*OrderLines[[#This Row],[UnitPrice]])*(1-OrderLines[[#This Row],[DiscountPct]])</f>
        <v>233.78549999999998</v>
      </c>
      <c r="N142" t="str">
        <f>IF(AND(COUNTIFS(OrderLines[OrderID],OrderLines[[#This Row],[OrderID]],OrderLines[Category],"Hot Meal"),COUNTIFS(OrderLines[OrderID],OrderLines[[#This Row],[OrderID]],OrderLines[Category],"Beverage")),"Combo","Single")</f>
        <v>Single</v>
      </c>
      <c r="O142" s="8" t="str" cm="1">
        <f t="array" ref="O142">IF(SUMPRODUCT(OrderLines[UnitPrice],OrderLines[Qty],OrderLines[DiscountPct],--(OrderLines[OrderID] = OrderLines[[#This Row],[OrderID]]))&gt;40,"High Discount","Ok")</f>
        <v>Ok</v>
      </c>
      <c r="P142">
        <f>OrderLines[[#This Row],[UnitCost]]*OrderLines[[#This Row],[Qty]]</f>
        <v>112.08</v>
      </c>
      <c r="Q142" s="8">
        <f>OrderLines[[#This Row],[LineNetAmount]]-OrderLines[[#This Row],[Food Cost]]</f>
        <v>121.70549999999999</v>
      </c>
    </row>
    <row r="143" spans="1:17" x14ac:dyDescent="0.3">
      <c r="A143" t="s">
        <v>96</v>
      </c>
      <c r="B143" t="s">
        <v>403</v>
      </c>
      <c r="C143">
        <v>2</v>
      </c>
      <c r="D143" cm="1">
        <f t="array" ref="D143">VLOOKUP(OrderLines[[#This Row],[SKU]:[SKU]],Menu[],MATCH(OrderLines[[#Headers],[UnitPrice]],Menu[#Headers],0),FALSE)</f>
        <v>76.55</v>
      </c>
      <c r="E143" cm="1">
        <f t="array" ref="E143">VLOOKUP(OrderLines[[#This Row],[SKU]:[SKU]],Menu[],MATCH(OrderLines[[#Headers],[UnitCost]],Menu[#Headers],0),FALSE)</f>
        <v>38.229999999999997</v>
      </c>
      <c r="F143" t="str" cm="1">
        <f t="array" ref="F143">VLOOKUP(OrderLines[[#This Row],[SKU]:[SKU]],Menu[],MATCH(OrderLines[[#Headers],[Category]],Menu[#Headers],0),FALSE)</f>
        <v>Dessert</v>
      </c>
      <c r="G143" t="str" cm="1">
        <f t="array" ref="G143">_xlfn.TEXTJOIN("+",TRUE,_xlfn._xlws.SORT(_xlfn.UNIQUE(_xlfn._xlws.FILTER(OrderLines[Category],OrderLines[OrderID]=OrderLines[[#This Row],[OrderID]]))))</f>
        <v>Dessert+Hot Meal</v>
      </c>
      <c r="H143" s="2" cm="1">
        <f t="array" ref="H143">INT(VLOOKUP(OrderLines[[#This Row],[OrderID]:[OrderID]],Orders[],MATCH(OrderLines[[#Headers],[OrderDateTime]],Orders[#Headers],0),FALSE))</f>
        <v>45894</v>
      </c>
      <c r="I143" t="str" cm="1">
        <f t="array" ref="I143">VLOOKUP(OrderLines[[#This Row],[OrderID]:[OrderID]],Orders[],MATCH(OrderLines[[#Headers],[Branch]],Orders[#Headers],0),FALSE)</f>
        <v>Plant 2 Canteen</v>
      </c>
      <c r="J143" cm="1">
        <f t="array" ref="J143">VLOOKUP(OrderLines[[#This Row],[OrderID]:[OrderID]],Orders[],MATCH(OrderLines[[#Headers],[DiscountPct]],Orders[#Headers],0),FALSE)</f>
        <v>0</v>
      </c>
      <c r="K143" t="str" cm="1">
        <f t="array" ref="K143">VLOOKUP(OrderLines[[#This Row],[OrderID]:[OrderID]],Orders[],MATCH(OrderLines[[#Headers],[PaymentType]],Orders[#Headers],0),FALSE)</f>
        <v>UPI</v>
      </c>
      <c r="L143" t="str" cm="1">
        <f t="array" ref="L143">VLOOKUP(OrderLines[[#This Row],[OrderID]:[OrderID]],Orders[],MATCH(OrderLines[[#Headers],[Shift]],Orders[#Headers],0),FALSE)</f>
        <v>Lunch</v>
      </c>
      <c r="M143" s="8">
        <f>(OrderLines[[#This Row],[Qty]]*OrderLines[[#This Row],[UnitPrice]])*(1-OrderLines[[#This Row],[DiscountPct]])</f>
        <v>153.1</v>
      </c>
      <c r="N143" t="str">
        <f>IF(AND(COUNTIFS(OrderLines[OrderID],OrderLines[[#This Row],[OrderID]],OrderLines[Category],"Hot Meal"),COUNTIFS(OrderLines[OrderID],OrderLines[[#This Row],[OrderID]],OrderLines[Category],"Beverage")),"Combo","Single")</f>
        <v>Single</v>
      </c>
      <c r="O143" s="8" t="str" cm="1">
        <f t="array" ref="O143">IF(SUMPRODUCT(OrderLines[UnitPrice],OrderLines[Qty],OrderLines[DiscountPct],--(OrderLines[OrderID] = OrderLines[[#This Row],[OrderID]]))&gt;40,"High Discount","Ok")</f>
        <v>Ok</v>
      </c>
      <c r="P143">
        <f>OrderLines[[#This Row],[UnitCost]]*OrderLines[[#This Row],[Qty]]</f>
        <v>76.459999999999994</v>
      </c>
      <c r="Q143" s="8">
        <f>OrderLines[[#This Row],[LineNetAmount]]-OrderLines[[#This Row],[Food Cost]]</f>
        <v>76.64</v>
      </c>
    </row>
    <row r="144" spans="1:17" x14ac:dyDescent="0.3">
      <c r="A144" t="s">
        <v>96</v>
      </c>
      <c r="B144" t="s">
        <v>413</v>
      </c>
      <c r="C144">
        <v>1</v>
      </c>
      <c r="D144" cm="1">
        <f t="array" ref="D144">VLOOKUP(OrderLines[[#This Row],[SKU]:[SKU]],Menu[],MATCH(OrderLines[[#Headers],[UnitPrice]],Menu[#Headers],0),FALSE)</f>
        <v>54.2</v>
      </c>
      <c r="E144" cm="1">
        <f t="array" ref="E144">VLOOKUP(OrderLines[[#This Row],[SKU]:[SKU]],Menu[],MATCH(OrderLines[[#Headers],[UnitCost]],Menu[#Headers],0),FALSE)</f>
        <v>21.95</v>
      </c>
      <c r="F144" t="str" cm="1">
        <f t="array" ref="F144">VLOOKUP(OrderLines[[#This Row],[SKU]:[SKU]],Menu[],MATCH(OrderLines[[#Headers],[Category]],Menu[#Headers],0),FALSE)</f>
        <v>Dessert</v>
      </c>
      <c r="G144" t="str" cm="1">
        <f t="array" ref="G144">_xlfn.TEXTJOIN("+",TRUE,_xlfn._xlws.SORT(_xlfn.UNIQUE(_xlfn._xlws.FILTER(OrderLines[Category],OrderLines[OrderID]=OrderLines[[#This Row],[OrderID]]))))</f>
        <v>Dessert+Hot Meal</v>
      </c>
      <c r="H144" s="2" cm="1">
        <f t="array" ref="H144">INT(VLOOKUP(OrderLines[[#This Row],[OrderID]:[OrderID]],Orders[],MATCH(OrderLines[[#Headers],[OrderDateTime]],Orders[#Headers],0),FALSE))</f>
        <v>45894</v>
      </c>
      <c r="I144" t="str" cm="1">
        <f t="array" ref="I144">VLOOKUP(OrderLines[[#This Row],[OrderID]:[OrderID]],Orders[],MATCH(OrderLines[[#Headers],[Branch]],Orders[#Headers],0),FALSE)</f>
        <v>Plant 2 Canteen</v>
      </c>
      <c r="J144" cm="1">
        <f t="array" ref="J144">VLOOKUP(OrderLines[[#This Row],[OrderID]:[OrderID]],Orders[],MATCH(OrderLines[[#Headers],[DiscountPct]],Orders[#Headers],0),FALSE)</f>
        <v>0</v>
      </c>
      <c r="K144" t="str" cm="1">
        <f t="array" ref="K144">VLOOKUP(OrderLines[[#This Row],[OrderID]:[OrderID]],Orders[],MATCH(OrderLines[[#Headers],[PaymentType]],Orders[#Headers],0),FALSE)</f>
        <v>UPI</v>
      </c>
      <c r="L144" t="str" cm="1">
        <f t="array" ref="L144">VLOOKUP(OrderLines[[#This Row],[OrderID]:[OrderID]],Orders[],MATCH(OrderLines[[#Headers],[Shift]],Orders[#Headers],0),FALSE)</f>
        <v>Lunch</v>
      </c>
      <c r="M144" s="8">
        <f>(OrderLines[[#This Row],[Qty]]*OrderLines[[#This Row],[UnitPrice]])*(1-OrderLines[[#This Row],[DiscountPct]])</f>
        <v>54.2</v>
      </c>
      <c r="N144" t="str">
        <f>IF(AND(COUNTIFS(OrderLines[OrderID],OrderLines[[#This Row],[OrderID]],OrderLines[Category],"Hot Meal"),COUNTIFS(OrderLines[OrderID],OrderLines[[#This Row],[OrderID]],OrderLines[Category],"Beverage")),"Combo","Single")</f>
        <v>Single</v>
      </c>
      <c r="O144" s="8" t="str" cm="1">
        <f t="array" ref="O144">IF(SUMPRODUCT(OrderLines[UnitPrice],OrderLines[Qty],OrderLines[DiscountPct],--(OrderLines[OrderID] = OrderLines[[#This Row],[OrderID]]))&gt;40,"High Discount","Ok")</f>
        <v>Ok</v>
      </c>
      <c r="P144">
        <f>OrderLines[[#This Row],[UnitCost]]*OrderLines[[#This Row],[Qty]]</f>
        <v>21.95</v>
      </c>
      <c r="Q144" s="8">
        <f>OrderLines[[#This Row],[LineNetAmount]]-OrderLines[[#This Row],[Food Cost]]</f>
        <v>32.25</v>
      </c>
    </row>
    <row r="145" spans="1:17" x14ac:dyDescent="0.3">
      <c r="A145" t="s">
        <v>96</v>
      </c>
      <c r="B145" t="s">
        <v>416</v>
      </c>
      <c r="C145">
        <v>2</v>
      </c>
      <c r="D145" cm="1">
        <f t="array" ref="D145">VLOOKUP(OrderLines[[#This Row],[SKU]:[SKU]],Menu[],MATCH(OrderLines[[#Headers],[UnitPrice]],Menu[#Headers],0),FALSE)</f>
        <v>227.61</v>
      </c>
      <c r="E145" cm="1">
        <f t="array" ref="E145">VLOOKUP(OrderLines[[#This Row],[SKU]:[SKU]],Menu[],MATCH(OrderLines[[#Headers],[UnitCost]],Menu[#Headers],0),FALSE)</f>
        <v>96.22</v>
      </c>
      <c r="F145" t="str" cm="1">
        <f t="array" ref="F145">VLOOKUP(OrderLines[[#This Row],[SKU]:[SKU]],Menu[],MATCH(OrderLines[[#Headers],[Category]],Menu[#Headers],0),FALSE)</f>
        <v>Hot Meal</v>
      </c>
      <c r="G145" t="str" cm="1">
        <f t="array" ref="G145">_xlfn.TEXTJOIN("+",TRUE,_xlfn._xlws.SORT(_xlfn.UNIQUE(_xlfn._xlws.FILTER(OrderLines[Category],OrderLines[OrderID]=OrderLines[[#This Row],[OrderID]]))))</f>
        <v>Dessert+Hot Meal</v>
      </c>
      <c r="H145" s="2" cm="1">
        <f t="array" ref="H145">INT(VLOOKUP(OrderLines[[#This Row],[OrderID]:[OrderID]],Orders[],MATCH(OrderLines[[#Headers],[OrderDateTime]],Orders[#Headers],0),FALSE))</f>
        <v>45894</v>
      </c>
      <c r="I145" t="str" cm="1">
        <f t="array" ref="I145">VLOOKUP(OrderLines[[#This Row],[OrderID]:[OrderID]],Orders[],MATCH(OrderLines[[#Headers],[Branch]],Orders[#Headers],0),FALSE)</f>
        <v>Plant 2 Canteen</v>
      </c>
      <c r="J145" cm="1">
        <f t="array" ref="J145">VLOOKUP(OrderLines[[#This Row],[OrderID]:[OrderID]],Orders[],MATCH(OrderLines[[#Headers],[DiscountPct]],Orders[#Headers],0),FALSE)</f>
        <v>0</v>
      </c>
      <c r="K145" t="str" cm="1">
        <f t="array" ref="K145">VLOOKUP(OrderLines[[#This Row],[OrderID]:[OrderID]],Orders[],MATCH(OrderLines[[#Headers],[PaymentType]],Orders[#Headers],0),FALSE)</f>
        <v>UPI</v>
      </c>
      <c r="L145" t="str" cm="1">
        <f t="array" ref="L145">VLOOKUP(OrderLines[[#This Row],[OrderID]:[OrderID]],Orders[],MATCH(OrderLines[[#Headers],[Shift]],Orders[#Headers],0),FALSE)</f>
        <v>Lunch</v>
      </c>
      <c r="M145" s="8">
        <f>(OrderLines[[#This Row],[Qty]]*OrderLines[[#This Row],[UnitPrice]])*(1-OrderLines[[#This Row],[DiscountPct]])</f>
        <v>455.22</v>
      </c>
      <c r="N145" t="str">
        <f>IF(AND(COUNTIFS(OrderLines[OrderID],OrderLines[[#This Row],[OrderID]],OrderLines[Category],"Hot Meal"),COUNTIFS(OrderLines[OrderID],OrderLines[[#This Row],[OrderID]],OrderLines[Category],"Beverage")),"Combo","Single")</f>
        <v>Single</v>
      </c>
      <c r="O145" s="8" t="str" cm="1">
        <f t="array" ref="O145">IF(SUMPRODUCT(OrderLines[UnitPrice],OrderLines[Qty],OrderLines[DiscountPct],--(OrderLines[OrderID] = OrderLines[[#This Row],[OrderID]]))&gt;40,"High Discount","Ok")</f>
        <v>Ok</v>
      </c>
      <c r="P145">
        <f>OrderLines[[#This Row],[UnitCost]]*OrderLines[[#This Row],[Qty]]</f>
        <v>192.44</v>
      </c>
      <c r="Q145" s="8">
        <f>OrderLines[[#This Row],[LineNetAmount]]-OrderLines[[#This Row],[Food Cost]]</f>
        <v>262.78000000000003</v>
      </c>
    </row>
    <row r="146" spans="1:17" x14ac:dyDescent="0.3">
      <c r="A146" t="s">
        <v>97</v>
      </c>
      <c r="B146" t="s">
        <v>405</v>
      </c>
      <c r="C146">
        <v>2</v>
      </c>
      <c r="D146" cm="1">
        <f t="array" ref="D146">VLOOKUP(OrderLines[[#This Row],[SKU]:[SKU]],Menu[],MATCH(OrderLines[[#Headers],[UnitPrice]],Menu[#Headers],0),FALSE)</f>
        <v>170.83</v>
      </c>
      <c r="E146" cm="1">
        <f t="array" ref="E146">VLOOKUP(OrderLines[[#This Row],[SKU]:[SKU]],Menu[],MATCH(OrderLines[[#Headers],[UnitCost]],Menu[#Headers],0),FALSE)</f>
        <v>74.069999999999993</v>
      </c>
      <c r="F146" t="str" cm="1">
        <f t="array" ref="F146">VLOOKUP(OrderLines[[#This Row],[SKU]:[SKU]],Menu[],MATCH(OrderLines[[#Headers],[Category]],Menu[#Headers],0),FALSE)</f>
        <v>Hot Meal</v>
      </c>
      <c r="G146" t="str" cm="1">
        <f t="array" ref="G146">_xlfn.TEXTJOIN("+",TRUE,_xlfn._xlws.SORT(_xlfn.UNIQUE(_xlfn._xlws.FILTER(OrderLines[Category],OrderLines[OrderID]=OrderLines[[#This Row],[OrderID]]))))</f>
        <v>Hot Meal+Snack</v>
      </c>
      <c r="H146" s="2" cm="1">
        <f t="array" ref="H146">INT(VLOOKUP(OrderLines[[#This Row],[OrderID]:[OrderID]],Orders[],MATCH(OrderLines[[#Headers],[OrderDateTime]],Orders[#Headers],0),FALSE))</f>
        <v>45868</v>
      </c>
      <c r="I146" t="str" cm="1">
        <f t="array" ref="I146">VLOOKUP(OrderLines[[#This Row],[OrderID]:[OrderID]],Orders[],MATCH(OrderLines[[#Headers],[Branch]],Orders[#Headers],0),FALSE)</f>
        <v>Plant 2 Canteen</v>
      </c>
      <c r="J146" cm="1">
        <f t="array" ref="J146">VLOOKUP(OrderLines[[#This Row],[OrderID]:[OrderID]],Orders[],MATCH(OrderLines[[#Headers],[DiscountPct]],Orders[#Headers],0),FALSE)</f>
        <v>0.04</v>
      </c>
      <c r="K146" t="str" cm="1">
        <f t="array" ref="K146">VLOOKUP(OrderLines[[#This Row],[OrderID]:[OrderID]],Orders[],MATCH(OrderLines[[#Headers],[PaymentType]],Orders[#Headers],0),FALSE)</f>
        <v>Card</v>
      </c>
      <c r="L146" t="str" cm="1">
        <f t="array" ref="L146">VLOOKUP(OrderLines[[#This Row],[OrderID]:[OrderID]],Orders[],MATCH(OrderLines[[#Headers],[Shift]],Orders[#Headers],0),FALSE)</f>
        <v>Dinner</v>
      </c>
      <c r="M146" s="8">
        <f>(OrderLines[[#This Row],[Qty]]*OrderLines[[#This Row],[UnitPrice]])*(1-OrderLines[[#This Row],[DiscountPct]])</f>
        <v>327.99360000000001</v>
      </c>
      <c r="N146" t="str">
        <f>IF(AND(COUNTIFS(OrderLines[OrderID],OrderLines[[#This Row],[OrderID]],OrderLines[Category],"Hot Meal"),COUNTIFS(OrderLines[OrderID],OrderLines[[#This Row],[OrderID]],OrderLines[Category],"Beverage")),"Combo","Single")</f>
        <v>Single</v>
      </c>
      <c r="O146" s="8" t="str" cm="1">
        <f t="array" ref="O146">IF(SUMPRODUCT(OrderLines[UnitPrice],OrderLines[Qty],OrderLines[DiscountPct],--(OrderLines[OrderID] = OrderLines[[#This Row],[OrderID]]))&gt;40,"High Discount","Ok")</f>
        <v>Ok</v>
      </c>
      <c r="P146">
        <f>OrderLines[[#This Row],[UnitCost]]*OrderLines[[#This Row],[Qty]]</f>
        <v>148.13999999999999</v>
      </c>
      <c r="Q146" s="8">
        <f>OrderLines[[#This Row],[LineNetAmount]]-OrderLines[[#This Row],[Food Cost]]</f>
        <v>179.85360000000003</v>
      </c>
    </row>
    <row r="147" spans="1:17" x14ac:dyDescent="0.3">
      <c r="A147" t="s">
        <v>97</v>
      </c>
      <c r="B147" t="s">
        <v>415</v>
      </c>
      <c r="C147">
        <v>1</v>
      </c>
      <c r="D147" cm="1">
        <f t="array" ref="D147">VLOOKUP(OrderLines[[#This Row],[SKU]:[SKU]],Menu[],MATCH(OrderLines[[#Headers],[UnitPrice]],Menu[#Headers],0),FALSE)</f>
        <v>256.91000000000003</v>
      </c>
      <c r="E147" cm="1">
        <f t="array" ref="E147">VLOOKUP(OrderLines[[#This Row],[SKU]:[SKU]],Menu[],MATCH(OrderLines[[#Headers],[UnitCost]],Menu[#Headers],0),FALSE)</f>
        <v>121.24</v>
      </c>
      <c r="F147" t="str" cm="1">
        <f t="array" ref="F147">VLOOKUP(OrderLines[[#This Row],[SKU]:[SKU]],Menu[],MATCH(OrderLines[[#Headers],[Category]],Menu[#Headers],0),FALSE)</f>
        <v>Hot Meal</v>
      </c>
      <c r="G147" t="str" cm="1">
        <f t="array" ref="G147">_xlfn.TEXTJOIN("+",TRUE,_xlfn._xlws.SORT(_xlfn.UNIQUE(_xlfn._xlws.FILTER(OrderLines[Category],OrderLines[OrderID]=OrderLines[[#This Row],[OrderID]]))))</f>
        <v>Hot Meal+Snack</v>
      </c>
      <c r="H147" s="2" cm="1">
        <f t="array" ref="H147">INT(VLOOKUP(OrderLines[[#This Row],[OrderID]:[OrderID]],Orders[],MATCH(OrderLines[[#Headers],[OrderDateTime]],Orders[#Headers],0),FALSE))</f>
        <v>45868</v>
      </c>
      <c r="I147" t="str" cm="1">
        <f t="array" ref="I147">VLOOKUP(OrderLines[[#This Row],[OrderID]:[OrderID]],Orders[],MATCH(OrderLines[[#Headers],[Branch]],Orders[#Headers],0),FALSE)</f>
        <v>Plant 2 Canteen</v>
      </c>
      <c r="J147" cm="1">
        <f t="array" ref="J147">VLOOKUP(OrderLines[[#This Row],[OrderID]:[OrderID]],Orders[],MATCH(OrderLines[[#Headers],[DiscountPct]],Orders[#Headers],0),FALSE)</f>
        <v>0.04</v>
      </c>
      <c r="K147" t="str" cm="1">
        <f t="array" ref="K147">VLOOKUP(OrderLines[[#This Row],[OrderID]:[OrderID]],Orders[],MATCH(OrderLines[[#Headers],[PaymentType]],Orders[#Headers],0),FALSE)</f>
        <v>Card</v>
      </c>
      <c r="L147" t="str" cm="1">
        <f t="array" ref="L147">VLOOKUP(OrderLines[[#This Row],[OrderID]:[OrderID]],Orders[],MATCH(OrderLines[[#Headers],[Shift]],Orders[#Headers],0),FALSE)</f>
        <v>Dinner</v>
      </c>
      <c r="M147" s="8">
        <f>(OrderLines[[#This Row],[Qty]]*OrderLines[[#This Row],[UnitPrice]])*(1-OrderLines[[#This Row],[DiscountPct]])</f>
        <v>246.6336</v>
      </c>
      <c r="N147" t="str">
        <f>IF(AND(COUNTIFS(OrderLines[OrderID],OrderLines[[#This Row],[OrderID]],OrderLines[Category],"Hot Meal"),COUNTIFS(OrderLines[OrderID],OrderLines[[#This Row],[OrderID]],OrderLines[Category],"Beverage")),"Combo","Single")</f>
        <v>Single</v>
      </c>
      <c r="O147" s="8" t="str" cm="1">
        <f t="array" ref="O147">IF(SUMPRODUCT(OrderLines[UnitPrice],OrderLines[Qty],OrderLines[DiscountPct],--(OrderLines[OrderID] = OrderLines[[#This Row],[OrderID]]))&gt;40,"High Discount","Ok")</f>
        <v>Ok</v>
      </c>
      <c r="P147">
        <f>OrderLines[[#This Row],[UnitCost]]*OrderLines[[#This Row],[Qty]]</f>
        <v>121.24</v>
      </c>
      <c r="Q147" s="8">
        <f>OrderLines[[#This Row],[LineNetAmount]]-OrderLines[[#This Row],[Food Cost]]</f>
        <v>125.39360000000001</v>
      </c>
    </row>
    <row r="148" spans="1:17" x14ac:dyDescent="0.3">
      <c r="A148" t="s">
        <v>97</v>
      </c>
      <c r="B148" t="s">
        <v>408</v>
      </c>
      <c r="C148">
        <v>2</v>
      </c>
      <c r="D148" cm="1">
        <f t="array" ref="D148">VLOOKUP(OrderLines[[#This Row],[SKU]:[SKU]],Menu[],MATCH(OrderLines[[#Headers],[UnitPrice]],Menu[#Headers],0),FALSE)</f>
        <v>70.540000000000006</v>
      </c>
      <c r="E148" cm="1">
        <f t="array" ref="E148">VLOOKUP(OrderLines[[#This Row],[SKU]:[SKU]],Menu[],MATCH(OrderLines[[#Headers],[UnitCost]],Menu[#Headers],0),FALSE)</f>
        <v>35.81</v>
      </c>
      <c r="F148" t="str" cm="1">
        <f t="array" ref="F148">VLOOKUP(OrderLines[[#This Row],[SKU]:[SKU]],Menu[],MATCH(OrderLines[[#Headers],[Category]],Menu[#Headers],0),FALSE)</f>
        <v>Snack</v>
      </c>
      <c r="G148" t="str" cm="1">
        <f t="array" ref="G148">_xlfn.TEXTJOIN("+",TRUE,_xlfn._xlws.SORT(_xlfn.UNIQUE(_xlfn._xlws.FILTER(OrderLines[Category],OrderLines[OrderID]=OrderLines[[#This Row],[OrderID]]))))</f>
        <v>Hot Meal+Snack</v>
      </c>
      <c r="H148" s="2" cm="1">
        <f t="array" ref="H148">INT(VLOOKUP(OrderLines[[#This Row],[OrderID]:[OrderID]],Orders[],MATCH(OrderLines[[#Headers],[OrderDateTime]],Orders[#Headers],0),FALSE))</f>
        <v>45868</v>
      </c>
      <c r="I148" t="str" cm="1">
        <f t="array" ref="I148">VLOOKUP(OrderLines[[#This Row],[OrderID]:[OrderID]],Orders[],MATCH(OrderLines[[#Headers],[Branch]],Orders[#Headers],0),FALSE)</f>
        <v>Plant 2 Canteen</v>
      </c>
      <c r="J148" cm="1">
        <f t="array" ref="J148">VLOOKUP(OrderLines[[#This Row],[OrderID]:[OrderID]],Orders[],MATCH(OrderLines[[#Headers],[DiscountPct]],Orders[#Headers],0),FALSE)</f>
        <v>0.04</v>
      </c>
      <c r="K148" t="str" cm="1">
        <f t="array" ref="K148">VLOOKUP(OrderLines[[#This Row],[OrderID]:[OrderID]],Orders[],MATCH(OrderLines[[#Headers],[PaymentType]],Orders[#Headers],0),FALSE)</f>
        <v>Card</v>
      </c>
      <c r="L148" t="str" cm="1">
        <f t="array" ref="L148">VLOOKUP(OrderLines[[#This Row],[OrderID]:[OrderID]],Orders[],MATCH(OrderLines[[#Headers],[Shift]],Orders[#Headers],0),FALSE)</f>
        <v>Dinner</v>
      </c>
      <c r="M148" s="8">
        <f>(OrderLines[[#This Row],[Qty]]*OrderLines[[#This Row],[UnitPrice]])*(1-OrderLines[[#This Row],[DiscountPct]])</f>
        <v>135.43680000000001</v>
      </c>
      <c r="N148" t="str">
        <f>IF(AND(COUNTIFS(OrderLines[OrderID],OrderLines[[#This Row],[OrderID]],OrderLines[Category],"Hot Meal"),COUNTIFS(OrderLines[OrderID],OrderLines[[#This Row],[OrderID]],OrderLines[Category],"Beverage")),"Combo","Single")</f>
        <v>Single</v>
      </c>
      <c r="O148" s="8" t="str" cm="1">
        <f t="array" ref="O148">IF(SUMPRODUCT(OrderLines[UnitPrice],OrderLines[Qty],OrderLines[DiscountPct],--(OrderLines[OrderID] = OrderLines[[#This Row],[OrderID]]))&gt;40,"High Discount","Ok")</f>
        <v>Ok</v>
      </c>
      <c r="P148">
        <f>OrderLines[[#This Row],[UnitCost]]*OrderLines[[#This Row],[Qty]]</f>
        <v>71.62</v>
      </c>
      <c r="Q148" s="8">
        <f>OrderLines[[#This Row],[LineNetAmount]]-OrderLines[[#This Row],[Food Cost]]</f>
        <v>63.816800000000001</v>
      </c>
    </row>
    <row r="149" spans="1:17" x14ac:dyDescent="0.3">
      <c r="A149" t="s">
        <v>98</v>
      </c>
      <c r="B149" t="s">
        <v>401</v>
      </c>
      <c r="C149">
        <v>1</v>
      </c>
      <c r="D149" cm="1">
        <f t="array" ref="D149">VLOOKUP(OrderLines[[#This Row],[SKU]:[SKU]],Menu[],MATCH(OrderLines[[#Headers],[UnitPrice]],Menu[#Headers],0),FALSE)</f>
        <v>52.45</v>
      </c>
      <c r="E149" cm="1">
        <f t="array" ref="E149">VLOOKUP(OrderLines[[#This Row],[SKU]:[SKU]],Menu[],MATCH(OrderLines[[#Headers],[UnitCost]],Menu[#Headers],0),FALSE)</f>
        <v>25.8</v>
      </c>
      <c r="F149" t="str" cm="1">
        <f t="array" ref="F149">VLOOKUP(OrderLines[[#This Row],[SKU]:[SKU]],Menu[],MATCH(OrderLines[[#Headers],[Category]],Menu[#Headers],0),FALSE)</f>
        <v>Snack</v>
      </c>
      <c r="G149" t="str" cm="1">
        <f t="array" ref="G149">_xlfn.TEXTJOIN("+",TRUE,_xlfn._xlws.SORT(_xlfn.UNIQUE(_xlfn._xlws.FILTER(OrderLines[Category],OrderLines[OrderID]=OrderLines[[#This Row],[OrderID]]))))</f>
        <v>Beverage+Snack</v>
      </c>
      <c r="H149" s="2" cm="1">
        <f t="array" ref="H149">INT(VLOOKUP(OrderLines[[#This Row],[OrderID]:[OrderID]],Orders[],MATCH(OrderLines[[#Headers],[OrderDateTime]],Orders[#Headers],0),FALSE))</f>
        <v>45884</v>
      </c>
      <c r="I149" t="str" cm="1">
        <f t="array" ref="I149">VLOOKUP(OrderLines[[#This Row],[OrderID]:[OrderID]],Orders[],MATCH(OrderLines[[#Headers],[Branch]],Orders[#Headers],0),FALSE)</f>
        <v>Plant 2 Canteen</v>
      </c>
      <c r="J149" cm="1">
        <f t="array" ref="J149">VLOOKUP(OrderLines[[#This Row],[OrderID]:[OrderID]],Orders[],MATCH(OrderLines[[#Headers],[DiscountPct]],Orders[#Headers],0),FALSE)</f>
        <v>0.05</v>
      </c>
      <c r="K149" t="str" cm="1">
        <f t="array" ref="K149">VLOOKUP(OrderLines[[#This Row],[OrderID]:[OrderID]],Orders[],MATCH(OrderLines[[#Headers],[PaymentType]],Orders[#Headers],0),FALSE)</f>
        <v>UPI</v>
      </c>
      <c r="L149" t="str" cm="1">
        <f t="array" ref="L149">VLOOKUP(OrderLines[[#This Row],[OrderID]:[OrderID]],Orders[],MATCH(OrderLines[[#Headers],[Shift]],Orders[#Headers],0),FALSE)</f>
        <v>Breakfast</v>
      </c>
      <c r="M149" s="8">
        <f>(OrderLines[[#This Row],[Qty]]*OrderLines[[#This Row],[UnitPrice]])*(1-OrderLines[[#This Row],[DiscountPct]])</f>
        <v>49.827500000000001</v>
      </c>
      <c r="N149" t="str">
        <f>IF(AND(COUNTIFS(OrderLines[OrderID],OrderLines[[#This Row],[OrderID]],OrderLines[Category],"Hot Meal"),COUNTIFS(OrderLines[OrderID],OrderLines[[#This Row],[OrderID]],OrderLines[Category],"Beverage")),"Combo","Single")</f>
        <v>Single</v>
      </c>
      <c r="O149" s="8" t="str" cm="1">
        <f t="array" ref="O149">IF(SUMPRODUCT(OrderLines[UnitPrice],OrderLines[Qty],OrderLines[DiscountPct],--(OrderLines[OrderID] = OrderLines[[#This Row],[OrderID]]))&gt;40,"High Discount","Ok")</f>
        <v>Ok</v>
      </c>
      <c r="P149">
        <f>OrderLines[[#This Row],[UnitCost]]*OrderLines[[#This Row],[Qty]]</f>
        <v>25.8</v>
      </c>
      <c r="Q149" s="8">
        <f>OrderLines[[#This Row],[LineNetAmount]]-OrderLines[[#This Row],[Food Cost]]</f>
        <v>24.0275</v>
      </c>
    </row>
    <row r="150" spans="1:17" x14ac:dyDescent="0.3">
      <c r="A150" t="s">
        <v>98</v>
      </c>
      <c r="B150" t="s">
        <v>402</v>
      </c>
      <c r="C150">
        <v>2</v>
      </c>
      <c r="D150" cm="1">
        <f t="array" ref="D150">VLOOKUP(OrderLines[[#This Row],[SKU]:[SKU]],Menu[],MATCH(OrderLines[[#Headers],[UnitPrice]],Menu[#Headers],0),FALSE)</f>
        <v>30.34</v>
      </c>
      <c r="E150" cm="1">
        <f t="array" ref="E150">VLOOKUP(OrderLines[[#This Row],[SKU]:[SKU]],Menu[],MATCH(OrderLines[[#Headers],[UnitCost]],Menu[#Headers],0),FALSE)</f>
        <v>14.18</v>
      </c>
      <c r="F150" t="str" cm="1">
        <f t="array" ref="F150">VLOOKUP(OrderLines[[#This Row],[SKU]:[SKU]],Menu[],MATCH(OrderLines[[#Headers],[Category]],Menu[#Headers],0),FALSE)</f>
        <v>Beverage</v>
      </c>
      <c r="G150" t="str" cm="1">
        <f t="array" ref="G150">_xlfn.TEXTJOIN("+",TRUE,_xlfn._xlws.SORT(_xlfn.UNIQUE(_xlfn._xlws.FILTER(OrderLines[Category],OrderLines[OrderID]=OrderLines[[#This Row],[OrderID]]))))</f>
        <v>Beverage+Snack</v>
      </c>
      <c r="H150" s="2" cm="1">
        <f t="array" ref="H150">INT(VLOOKUP(OrderLines[[#This Row],[OrderID]:[OrderID]],Orders[],MATCH(OrderLines[[#Headers],[OrderDateTime]],Orders[#Headers],0),FALSE))</f>
        <v>45884</v>
      </c>
      <c r="I150" t="str" cm="1">
        <f t="array" ref="I150">VLOOKUP(OrderLines[[#This Row],[OrderID]:[OrderID]],Orders[],MATCH(OrderLines[[#Headers],[Branch]],Orders[#Headers],0),FALSE)</f>
        <v>Plant 2 Canteen</v>
      </c>
      <c r="J150" cm="1">
        <f t="array" ref="J150">VLOOKUP(OrderLines[[#This Row],[OrderID]:[OrderID]],Orders[],MATCH(OrderLines[[#Headers],[DiscountPct]],Orders[#Headers],0),FALSE)</f>
        <v>0.05</v>
      </c>
      <c r="K150" t="str" cm="1">
        <f t="array" ref="K150">VLOOKUP(OrderLines[[#This Row],[OrderID]:[OrderID]],Orders[],MATCH(OrderLines[[#Headers],[PaymentType]],Orders[#Headers],0),FALSE)</f>
        <v>UPI</v>
      </c>
      <c r="L150" t="str" cm="1">
        <f t="array" ref="L150">VLOOKUP(OrderLines[[#This Row],[OrderID]:[OrderID]],Orders[],MATCH(OrderLines[[#Headers],[Shift]],Orders[#Headers],0),FALSE)</f>
        <v>Breakfast</v>
      </c>
      <c r="M150" s="8">
        <f>(OrderLines[[#This Row],[Qty]]*OrderLines[[#This Row],[UnitPrice]])*(1-OrderLines[[#This Row],[DiscountPct]])</f>
        <v>57.645999999999994</v>
      </c>
      <c r="N150" t="str">
        <f>IF(AND(COUNTIFS(OrderLines[OrderID],OrderLines[[#This Row],[OrderID]],OrderLines[Category],"Hot Meal"),COUNTIFS(OrderLines[OrderID],OrderLines[[#This Row],[OrderID]],OrderLines[Category],"Beverage")),"Combo","Single")</f>
        <v>Single</v>
      </c>
      <c r="O150" s="8" t="str" cm="1">
        <f t="array" ref="O150">IF(SUMPRODUCT(OrderLines[UnitPrice],OrderLines[Qty],OrderLines[DiscountPct],--(OrderLines[OrderID] = OrderLines[[#This Row],[OrderID]]))&gt;40,"High Discount","Ok")</f>
        <v>Ok</v>
      </c>
      <c r="P150">
        <f>OrderLines[[#This Row],[UnitCost]]*OrderLines[[#This Row],[Qty]]</f>
        <v>28.36</v>
      </c>
      <c r="Q150" s="8">
        <f>OrderLines[[#This Row],[LineNetAmount]]-OrderLines[[#This Row],[Food Cost]]</f>
        <v>29.285999999999994</v>
      </c>
    </row>
    <row r="151" spans="1:17" x14ac:dyDescent="0.3">
      <c r="A151" t="s">
        <v>98</v>
      </c>
      <c r="B151" t="s">
        <v>418</v>
      </c>
      <c r="C151">
        <v>3</v>
      </c>
      <c r="D151" cm="1">
        <f t="array" ref="D151">VLOOKUP(OrderLines[[#This Row],[SKU]:[SKU]],Menu[],MATCH(OrderLines[[#Headers],[UnitPrice]],Menu[#Headers],0),FALSE)</f>
        <v>39.950000000000003</v>
      </c>
      <c r="E151" cm="1">
        <f t="array" ref="E151">VLOOKUP(OrderLines[[#This Row],[SKU]:[SKU]],Menu[],MATCH(OrderLines[[#Headers],[UnitCost]],Menu[#Headers],0),FALSE)</f>
        <v>15.51</v>
      </c>
      <c r="F151" t="str" cm="1">
        <f t="array" ref="F151">VLOOKUP(OrderLines[[#This Row],[SKU]:[SKU]],Menu[],MATCH(OrderLines[[#Headers],[Category]],Menu[#Headers],0),FALSE)</f>
        <v>Snack</v>
      </c>
      <c r="G151" t="str" cm="1">
        <f t="array" ref="G151">_xlfn.TEXTJOIN("+",TRUE,_xlfn._xlws.SORT(_xlfn.UNIQUE(_xlfn._xlws.FILTER(OrderLines[Category],OrderLines[OrderID]=OrderLines[[#This Row],[OrderID]]))))</f>
        <v>Beverage+Snack</v>
      </c>
      <c r="H151" s="2" cm="1">
        <f t="array" ref="H151">INT(VLOOKUP(OrderLines[[#This Row],[OrderID]:[OrderID]],Orders[],MATCH(OrderLines[[#Headers],[OrderDateTime]],Orders[#Headers],0),FALSE))</f>
        <v>45884</v>
      </c>
      <c r="I151" t="str" cm="1">
        <f t="array" ref="I151">VLOOKUP(OrderLines[[#This Row],[OrderID]:[OrderID]],Orders[],MATCH(OrderLines[[#Headers],[Branch]],Orders[#Headers],0),FALSE)</f>
        <v>Plant 2 Canteen</v>
      </c>
      <c r="J151" cm="1">
        <f t="array" ref="J151">VLOOKUP(OrderLines[[#This Row],[OrderID]:[OrderID]],Orders[],MATCH(OrderLines[[#Headers],[DiscountPct]],Orders[#Headers],0),FALSE)</f>
        <v>0.05</v>
      </c>
      <c r="K151" t="str" cm="1">
        <f t="array" ref="K151">VLOOKUP(OrderLines[[#This Row],[OrderID]:[OrderID]],Orders[],MATCH(OrderLines[[#Headers],[PaymentType]],Orders[#Headers],0),FALSE)</f>
        <v>UPI</v>
      </c>
      <c r="L151" t="str" cm="1">
        <f t="array" ref="L151">VLOOKUP(OrderLines[[#This Row],[OrderID]:[OrderID]],Orders[],MATCH(OrderLines[[#Headers],[Shift]],Orders[#Headers],0),FALSE)</f>
        <v>Breakfast</v>
      </c>
      <c r="M151" s="8">
        <f>(OrderLines[[#This Row],[Qty]]*OrderLines[[#This Row],[UnitPrice]])*(1-OrderLines[[#This Row],[DiscountPct]])</f>
        <v>113.8575</v>
      </c>
      <c r="N151" t="str">
        <f>IF(AND(COUNTIFS(OrderLines[OrderID],OrderLines[[#This Row],[OrderID]],OrderLines[Category],"Hot Meal"),COUNTIFS(OrderLines[OrderID],OrderLines[[#This Row],[OrderID]],OrderLines[Category],"Beverage")),"Combo","Single")</f>
        <v>Single</v>
      </c>
      <c r="O151" s="8" t="str" cm="1">
        <f t="array" ref="O151">IF(SUMPRODUCT(OrderLines[UnitPrice],OrderLines[Qty],OrderLines[DiscountPct],--(OrderLines[OrderID] = OrderLines[[#This Row],[OrderID]]))&gt;40,"High Discount","Ok")</f>
        <v>Ok</v>
      </c>
      <c r="P151">
        <f>OrderLines[[#This Row],[UnitCost]]*OrderLines[[#This Row],[Qty]]</f>
        <v>46.53</v>
      </c>
      <c r="Q151" s="8">
        <f>OrderLines[[#This Row],[LineNetAmount]]-OrderLines[[#This Row],[Food Cost]]</f>
        <v>67.327500000000001</v>
      </c>
    </row>
    <row r="152" spans="1:17" x14ac:dyDescent="0.3">
      <c r="A152" t="s">
        <v>98</v>
      </c>
      <c r="B152" t="s">
        <v>404</v>
      </c>
      <c r="C152">
        <v>1</v>
      </c>
      <c r="D152" cm="1">
        <f t="array" ref="D152">VLOOKUP(OrderLines[[#This Row],[SKU]:[SKU]],Menu[],MATCH(OrderLines[[#Headers],[UnitPrice]],Menu[#Headers],0),FALSE)</f>
        <v>32.979999999999997</v>
      </c>
      <c r="E152" cm="1">
        <f t="array" ref="E152">VLOOKUP(OrderLines[[#This Row],[SKU]:[SKU]],Menu[],MATCH(OrderLines[[#Headers],[UnitCost]],Menu[#Headers],0),FALSE)</f>
        <v>11.84</v>
      </c>
      <c r="F152" t="str" cm="1">
        <f t="array" ref="F152">VLOOKUP(OrderLines[[#This Row],[SKU]:[SKU]],Menu[],MATCH(OrderLines[[#Headers],[Category]],Menu[#Headers],0),FALSE)</f>
        <v>Beverage</v>
      </c>
      <c r="G152" t="str" cm="1">
        <f t="array" ref="G152">_xlfn.TEXTJOIN("+",TRUE,_xlfn._xlws.SORT(_xlfn.UNIQUE(_xlfn._xlws.FILTER(OrderLines[Category],OrderLines[OrderID]=OrderLines[[#This Row],[OrderID]]))))</f>
        <v>Beverage+Snack</v>
      </c>
      <c r="H152" s="2" cm="1">
        <f t="array" ref="H152">INT(VLOOKUP(OrderLines[[#This Row],[OrderID]:[OrderID]],Orders[],MATCH(OrderLines[[#Headers],[OrderDateTime]],Orders[#Headers],0),FALSE))</f>
        <v>45884</v>
      </c>
      <c r="I152" t="str" cm="1">
        <f t="array" ref="I152">VLOOKUP(OrderLines[[#This Row],[OrderID]:[OrderID]],Orders[],MATCH(OrderLines[[#Headers],[Branch]],Orders[#Headers],0),FALSE)</f>
        <v>Plant 2 Canteen</v>
      </c>
      <c r="J152" cm="1">
        <f t="array" ref="J152">VLOOKUP(OrderLines[[#This Row],[OrderID]:[OrderID]],Orders[],MATCH(OrderLines[[#Headers],[DiscountPct]],Orders[#Headers],0),FALSE)</f>
        <v>0.05</v>
      </c>
      <c r="K152" t="str" cm="1">
        <f t="array" ref="K152">VLOOKUP(OrderLines[[#This Row],[OrderID]:[OrderID]],Orders[],MATCH(OrderLines[[#Headers],[PaymentType]],Orders[#Headers],0),FALSE)</f>
        <v>UPI</v>
      </c>
      <c r="L152" t="str" cm="1">
        <f t="array" ref="L152">VLOOKUP(OrderLines[[#This Row],[OrderID]:[OrderID]],Orders[],MATCH(OrderLines[[#Headers],[Shift]],Orders[#Headers],0),FALSE)</f>
        <v>Breakfast</v>
      </c>
      <c r="M152" s="8">
        <f>(OrderLines[[#This Row],[Qty]]*OrderLines[[#This Row],[UnitPrice]])*(1-OrderLines[[#This Row],[DiscountPct]])</f>
        <v>31.330999999999996</v>
      </c>
      <c r="N152" t="str">
        <f>IF(AND(COUNTIFS(OrderLines[OrderID],OrderLines[[#This Row],[OrderID]],OrderLines[Category],"Hot Meal"),COUNTIFS(OrderLines[OrderID],OrderLines[[#This Row],[OrderID]],OrderLines[Category],"Beverage")),"Combo","Single")</f>
        <v>Single</v>
      </c>
      <c r="O152" s="8" t="str" cm="1">
        <f t="array" ref="O152">IF(SUMPRODUCT(OrderLines[UnitPrice],OrderLines[Qty],OrderLines[DiscountPct],--(OrderLines[OrderID] = OrderLines[[#This Row],[OrderID]]))&gt;40,"High Discount","Ok")</f>
        <v>Ok</v>
      </c>
      <c r="P152">
        <f>OrderLines[[#This Row],[UnitCost]]*OrderLines[[#This Row],[Qty]]</f>
        <v>11.84</v>
      </c>
      <c r="Q152" s="8">
        <f>OrderLines[[#This Row],[LineNetAmount]]-OrderLines[[#This Row],[Food Cost]]</f>
        <v>19.490999999999996</v>
      </c>
    </row>
    <row r="153" spans="1:17" x14ac:dyDescent="0.3">
      <c r="A153" t="s">
        <v>99</v>
      </c>
      <c r="B153" t="s">
        <v>414</v>
      </c>
      <c r="C153">
        <v>2</v>
      </c>
      <c r="D153" cm="1">
        <f t="array" ref="D153">VLOOKUP(OrderLines[[#This Row],[SKU]:[SKU]],Menu[],MATCH(OrderLines[[#Headers],[UnitPrice]],Menu[#Headers],0),FALSE)</f>
        <v>116.8</v>
      </c>
      <c r="E153" cm="1">
        <f t="array" ref="E153">VLOOKUP(OrderLines[[#This Row],[SKU]:[SKU]],Menu[],MATCH(OrderLines[[#Headers],[UnitCost]],Menu[#Headers],0),FALSE)</f>
        <v>48.97</v>
      </c>
      <c r="F153" t="str" cm="1">
        <f t="array" ref="F153">VLOOKUP(OrderLines[[#This Row],[SKU]:[SKU]],Menu[],MATCH(OrderLines[[#Headers],[Category]],Menu[#Headers],0),FALSE)</f>
        <v>Dessert</v>
      </c>
      <c r="G153" t="str" cm="1">
        <f t="array" ref="G153">_xlfn.TEXTJOIN("+",TRUE,_xlfn._xlws.SORT(_xlfn.UNIQUE(_xlfn._xlws.FILTER(OrderLines[Category],OrderLines[OrderID]=OrderLines[[#This Row],[OrderID]]))))</f>
        <v>Beverage+Dessert</v>
      </c>
      <c r="H153" s="2" cm="1">
        <f t="array" ref="H153">INT(VLOOKUP(OrderLines[[#This Row],[OrderID]:[OrderID]],Orders[],MATCH(OrderLines[[#Headers],[OrderDateTime]],Orders[#Headers],0),FALSE))</f>
        <v>45888</v>
      </c>
      <c r="I153" t="str" cm="1">
        <f t="array" ref="I153">VLOOKUP(OrderLines[[#This Row],[OrderID]:[OrderID]],Orders[],MATCH(OrderLines[[#Headers],[Branch]],Orders[#Headers],0),FALSE)</f>
        <v>Plant 2 Canteen</v>
      </c>
      <c r="J153" cm="1">
        <f t="array" ref="J153">VLOOKUP(OrderLines[[#This Row],[OrderID]:[OrderID]],Orders[],MATCH(OrderLines[[#Headers],[DiscountPct]],Orders[#Headers],0),FALSE)</f>
        <v>0.03</v>
      </c>
      <c r="K153" t="str" cm="1">
        <f t="array" ref="K153">VLOOKUP(OrderLines[[#This Row],[OrderID]:[OrderID]],Orders[],MATCH(OrderLines[[#Headers],[PaymentType]],Orders[#Headers],0),FALSE)</f>
        <v>Cash</v>
      </c>
      <c r="L153" t="str" cm="1">
        <f t="array" ref="L153">VLOOKUP(OrderLines[[#This Row],[OrderID]:[OrderID]],Orders[],MATCH(OrderLines[[#Headers],[Shift]],Orders[#Headers],0),FALSE)</f>
        <v>Dinner</v>
      </c>
      <c r="M153" s="8">
        <f>(OrderLines[[#This Row],[Qty]]*OrderLines[[#This Row],[UnitPrice]])*(1-OrderLines[[#This Row],[DiscountPct]])</f>
        <v>226.59199999999998</v>
      </c>
      <c r="N153" t="str">
        <f>IF(AND(COUNTIFS(OrderLines[OrderID],OrderLines[[#This Row],[OrderID]],OrderLines[Category],"Hot Meal"),COUNTIFS(OrderLines[OrderID],OrderLines[[#This Row],[OrderID]],OrderLines[Category],"Beverage")),"Combo","Single")</f>
        <v>Single</v>
      </c>
      <c r="O153" s="8" t="str" cm="1">
        <f t="array" ref="O153">IF(SUMPRODUCT(OrderLines[UnitPrice],OrderLines[Qty],OrderLines[DiscountPct],--(OrderLines[OrderID] = OrderLines[[#This Row],[OrderID]]))&gt;40,"High Discount","Ok")</f>
        <v>Ok</v>
      </c>
      <c r="P153">
        <f>OrderLines[[#This Row],[UnitCost]]*OrderLines[[#This Row],[Qty]]</f>
        <v>97.94</v>
      </c>
      <c r="Q153" s="8">
        <f>OrderLines[[#This Row],[LineNetAmount]]-OrderLines[[#This Row],[Food Cost]]</f>
        <v>128.65199999999999</v>
      </c>
    </row>
    <row r="154" spans="1:17" x14ac:dyDescent="0.3">
      <c r="A154" t="s">
        <v>99</v>
      </c>
      <c r="B154" t="s">
        <v>402</v>
      </c>
      <c r="C154">
        <v>2</v>
      </c>
      <c r="D154" cm="1">
        <f t="array" ref="D154">VLOOKUP(OrderLines[[#This Row],[SKU]:[SKU]],Menu[],MATCH(OrderLines[[#Headers],[UnitPrice]],Menu[#Headers],0),FALSE)</f>
        <v>30.34</v>
      </c>
      <c r="E154" cm="1">
        <f t="array" ref="E154">VLOOKUP(OrderLines[[#This Row],[SKU]:[SKU]],Menu[],MATCH(OrderLines[[#Headers],[UnitCost]],Menu[#Headers],0),FALSE)</f>
        <v>14.18</v>
      </c>
      <c r="F154" t="str" cm="1">
        <f t="array" ref="F154">VLOOKUP(OrderLines[[#This Row],[SKU]:[SKU]],Menu[],MATCH(OrderLines[[#Headers],[Category]],Menu[#Headers],0),FALSE)</f>
        <v>Beverage</v>
      </c>
      <c r="G154" t="str" cm="1">
        <f t="array" ref="G154">_xlfn.TEXTJOIN("+",TRUE,_xlfn._xlws.SORT(_xlfn.UNIQUE(_xlfn._xlws.FILTER(OrderLines[Category],OrderLines[OrderID]=OrderLines[[#This Row],[OrderID]]))))</f>
        <v>Beverage+Dessert</v>
      </c>
      <c r="H154" s="2" cm="1">
        <f t="array" ref="H154">INT(VLOOKUP(OrderLines[[#This Row],[OrderID]:[OrderID]],Orders[],MATCH(OrderLines[[#Headers],[OrderDateTime]],Orders[#Headers],0),FALSE))</f>
        <v>45888</v>
      </c>
      <c r="I154" t="str" cm="1">
        <f t="array" ref="I154">VLOOKUP(OrderLines[[#This Row],[OrderID]:[OrderID]],Orders[],MATCH(OrderLines[[#Headers],[Branch]],Orders[#Headers],0),FALSE)</f>
        <v>Plant 2 Canteen</v>
      </c>
      <c r="J154" cm="1">
        <f t="array" ref="J154">VLOOKUP(OrderLines[[#This Row],[OrderID]:[OrderID]],Orders[],MATCH(OrderLines[[#Headers],[DiscountPct]],Orders[#Headers],0),FALSE)</f>
        <v>0.03</v>
      </c>
      <c r="K154" t="str" cm="1">
        <f t="array" ref="K154">VLOOKUP(OrderLines[[#This Row],[OrderID]:[OrderID]],Orders[],MATCH(OrderLines[[#Headers],[PaymentType]],Orders[#Headers],0),FALSE)</f>
        <v>Cash</v>
      </c>
      <c r="L154" t="str" cm="1">
        <f t="array" ref="L154">VLOOKUP(OrderLines[[#This Row],[OrderID]:[OrderID]],Orders[],MATCH(OrderLines[[#Headers],[Shift]],Orders[#Headers],0),FALSE)</f>
        <v>Dinner</v>
      </c>
      <c r="M154" s="8">
        <f>(OrderLines[[#This Row],[Qty]]*OrderLines[[#This Row],[UnitPrice]])*(1-OrderLines[[#This Row],[DiscountPct]])</f>
        <v>58.8596</v>
      </c>
      <c r="N154" t="str">
        <f>IF(AND(COUNTIFS(OrderLines[OrderID],OrderLines[[#This Row],[OrderID]],OrderLines[Category],"Hot Meal"),COUNTIFS(OrderLines[OrderID],OrderLines[[#This Row],[OrderID]],OrderLines[Category],"Beverage")),"Combo","Single")</f>
        <v>Single</v>
      </c>
      <c r="O154" s="8" t="str" cm="1">
        <f t="array" ref="O154">IF(SUMPRODUCT(OrderLines[UnitPrice],OrderLines[Qty],OrderLines[DiscountPct],--(OrderLines[OrderID] = OrderLines[[#This Row],[OrderID]]))&gt;40,"High Discount","Ok")</f>
        <v>Ok</v>
      </c>
      <c r="P154">
        <f>OrderLines[[#This Row],[UnitCost]]*OrderLines[[#This Row],[Qty]]</f>
        <v>28.36</v>
      </c>
      <c r="Q154" s="8">
        <f>OrderLines[[#This Row],[LineNetAmount]]-OrderLines[[#This Row],[Food Cost]]</f>
        <v>30.499600000000001</v>
      </c>
    </row>
    <row r="155" spans="1:17" x14ac:dyDescent="0.3">
      <c r="A155" t="s">
        <v>100</v>
      </c>
      <c r="B155" t="s">
        <v>403</v>
      </c>
      <c r="C155">
        <v>2</v>
      </c>
      <c r="D155" cm="1">
        <f t="array" ref="D155">VLOOKUP(OrderLines[[#This Row],[SKU]:[SKU]],Menu[],MATCH(OrderLines[[#Headers],[UnitPrice]],Menu[#Headers],0),FALSE)</f>
        <v>76.55</v>
      </c>
      <c r="E155" cm="1">
        <f t="array" ref="E155">VLOOKUP(OrderLines[[#This Row],[SKU]:[SKU]],Menu[],MATCH(OrderLines[[#Headers],[UnitCost]],Menu[#Headers],0),FALSE)</f>
        <v>38.229999999999997</v>
      </c>
      <c r="F155" t="str" cm="1">
        <f t="array" ref="F155">VLOOKUP(OrderLines[[#This Row],[SKU]:[SKU]],Menu[],MATCH(OrderLines[[#Headers],[Category]],Menu[#Headers],0),FALSE)</f>
        <v>Dessert</v>
      </c>
      <c r="G155" t="str" cm="1">
        <f t="array" ref="G155">_xlfn.TEXTJOIN("+",TRUE,_xlfn._xlws.SORT(_xlfn.UNIQUE(_xlfn._xlws.FILTER(OrderLines[Category],OrderLines[OrderID]=OrderLines[[#This Row],[OrderID]]))))</f>
        <v>Dessert</v>
      </c>
      <c r="H155" s="2" cm="1">
        <f t="array" ref="H155">INT(VLOOKUP(OrderLines[[#This Row],[OrderID]:[OrderID]],Orders[],MATCH(OrderLines[[#Headers],[OrderDateTime]],Orders[#Headers],0),FALSE))</f>
        <v>45866</v>
      </c>
      <c r="I155" t="str" cm="1">
        <f t="array" ref="I155">VLOOKUP(OrderLines[[#This Row],[OrderID]:[OrderID]],Orders[],MATCH(OrderLines[[#Headers],[Branch]],Orders[#Headers],0),FALSE)</f>
        <v>Head Office Café</v>
      </c>
      <c r="J155" cm="1">
        <f t="array" ref="J155">VLOOKUP(OrderLines[[#This Row],[OrderID]:[OrderID]],Orders[],MATCH(OrderLines[[#Headers],[DiscountPct]],Orders[#Headers],0),FALSE)</f>
        <v>0.05</v>
      </c>
      <c r="K155" t="str" cm="1">
        <f t="array" ref="K155">VLOOKUP(OrderLines[[#This Row],[OrderID]:[OrderID]],Orders[],MATCH(OrderLines[[#Headers],[PaymentType]],Orders[#Headers],0),FALSE)</f>
        <v>UPI</v>
      </c>
      <c r="L155" t="str" cm="1">
        <f t="array" ref="L155">VLOOKUP(OrderLines[[#This Row],[OrderID]:[OrderID]],Orders[],MATCH(OrderLines[[#Headers],[Shift]],Orders[#Headers],0),FALSE)</f>
        <v>Dinner</v>
      </c>
      <c r="M155" s="8">
        <f>(OrderLines[[#This Row],[Qty]]*OrderLines[[#This Row],[UnitPrice]])*(1-OrderLines[[#This Row],[DiscountPct]])</f>
        <v>145.44499999999999</v>
      </c>
      <c r="N155" t="str">
        <f>IF(AND(COUNTIFS(OrderLines[OrderID],OrderLines[[#This Row],[OrderID]],OrderLines[Category],"Hot Meal"),COUNTIFS(OrderLines[OrderID],OrderLines[[#This Row],[OrderID]],OrderLines[Category],"Beverage")),"Combo","Single")</f>
        <v>Single</v>
      </c>
      <c r="O155" s="8" t="str" cm="1">
        <f t="array" ref="O155">IF(SUMPRODUCT(OrderLines[UnitPrice],OrderLines[Qty],OrderLines[DiscountPct],--(OrderLines[OrderID] = OrderLines[[#This Row],[OrderID]]))&gt;40,"High Discount","Ok")</f>
        <v>Ok</v>
      </c>
      <c r="P155">
        <f>OrderLines[[#This Row],[UnitCost]]*OrderLines[[#This Row],[Qty]]</f>
        <v>76.459999999999994</v>
      </c>
      <c r="Q155" s="8">
        <f>OrderLines[[#This Row],[LineNetAmount]]-OrderLines[[#This Row],[Food Cost]]</f>
        <v>68.984999999999999</v>
      </c>
    </row>
    <row r="156" spans="1:17" x14ac:dyDescent="0.3">
      <c r="A156" t="s">
        <v>101</v>
      </c>
      <c r="B156" t="s">
        <v>410</v>
      </c>
      <c r="C156">
        <v>1</v>
      </c>
      <c r="D156" cm="1">
        <f t="array" ref="D156">VLOOKUP(OrderLines[[#This Row],[SKU]:[SKU]],Menu[],MATCH(OrderLines[[#Headers],[UnitPrice]],Menu[#Headers],0),FALSE)</f>
        <v>20.11</v>
      </c>
      <c r="E156" cm="1">
        <f t="array" ref="E156">VLOOKUP(OrderLines[[#This Row],[SKU]:[SKU]],Menu[],MATCH(OrderLines[[#Headers],[UnitCost]],Menu[#Headers],0),FALSE)</f>
        <v>8</v>
      </c>
      <c r="F156" t="str" cm="1">
        <f t="array" ref="F156">VLOOKUP(OrderLines[[#This Row],[SKU]:[SKU]],Menu[],MATCH(OrderLines[[#Headers],[Category]],Menu[#Headers],0),FALSE)</f>
        <v>Beverage</v>
      </c>
      <c r="G156" t="str" cm="1">
        <f t="array" ref="G156">_xlfn.TEXTJOIN("+",TRUE,_xlfn._xlws.SORT(_xlfn.UNIQUE(_xlfn._xlws.FILTER(OrderLines[Category],OrderLines[OrderID]=OrderLines[[#This Row],[OrderID]]))))</f>
        <v>Beverage</v>
      </c>
      <c r="H156" s="2" cm="1">
        <f t="array" ref="H156">INT(VLOOKUP(OrderLines[[#This Row],[OrderID]:[OrderID]],Orders[],MATCH(OrderLines[[#Headers],[OrderDateTime]],Orders[#Headers],0),FALSE))</f>
        <v>45848</v>
      </c>
      <c r="I156" t="str" cm="1">
        <f t="array" ref="I156">VLOOKUP(OrderLines[[#This Row],[OrderID]:[OrderID]],Orders[],MATCH(OrderLines[[#Headers],[Branch]],Orders[#Headers],0),FALSE)</f>
        <v>Plant 1 Canteen</v>
      </c>
      <c r="J156" cm="1">
        <f t="array" ref="J156">VLOOKUP(OrderLines[[#This Row],[OrderID]:[OrderID]],Orders[],MATCH(OrderLines[[#Headers],[DiscountPct]],Orders[#Headers],0),FALSE)</f>
        <v>0.08</v>
      </c>
      <c r="K156" t="str" cm="1">
        <f t="array" ref="K156">VLOOKUP(OrderLines[[#This Row],[OrderID]:[OrderID]],Orders[],MATCH(OrderLines[[#Headers],[PaymentType]],Orders[#Headers],0),FALSE)</f>
        <v>Card</v>
      </c>
      <c r="L156" t="str" cm="1">
        <f t="array" ref="L156">VLOOKUP(OrderLines[[#This Row],[OrderID]:[OrderID]],Orders[],MATCH(OrderLines[[#Headers],[Shift]],Orders[#Headers],0),FALSE)</f>
        <v>Breakfast</v>
      </c>
      <c r="M156" s="8">
        <f>(OrderLines[[#This Row],[Qty]]*OrderLines[[#This Row],[UnitPrice]])*(1-OrderLines[[#This Row],[DiscountPct]])</f>
        <v>18.501200000000001</v>
      </c>
      <c r="N156" t="str">
        <f>IF(AND(COUNTIFS(OrderLines[OrderID],OrderLines[[#This Row],[OrderID]],OrderLines[Category],"Hot Meal"),COUNTIFS(OrderLines[OrderID],OrderLines[[#This Row],[OrderID]],OrderLines[Category],"Beverage")),"Combo","Single")</f>
        <v>Single</v>
      </c>
      <c r="O156" s="8" t="str" cm="1">
        <f t="array" ref="O156">IF(SUMPRODUCT(OrderLines[UnitPrice],OrderLines[Qty],OrderLines[DiscountPct],--(OrderLines[OrderID] = OrderLines[[#This Row],[OrderID]]))&gt;40,"High Discount","Ok")</f>
        <v>Ok</v>
      </c>
      <c r="P156">
        <f>OrderLines[[#This Row],[UnitCost]]*OrderLines[[#This Row],[Qty]]</f>
        <v>8</v>
      </c>
      <c r="Q156" s="8">
        <f>OrderLines[[#This Row],[LineNetAmount]]-OrderLines[[#This Row],[Food Cost]]</f>
        <v>10.501200000000001</v>
      </c>
    </row>
    <row r="157" spans="1:17" x14ac:dyDescent="0.3">
      <c r="A157" t="s">
        <v>102</v>
      </c>
      <c r="B157" t="s">
        <v>415</v>
      </c>
      <c r="C157">
        <v>2</v>
      </c>
      <c r="D157" cm="1">
        <f t="array" ref="D157">VLOOKUP(OrderLines[[#This Row],[SKU]:[SKU]],Menu[],MATCH(OrderLines[[#Headers],[UnitPrice]],Menu[#Headers],0),FALSE)</f>
        <v>256.91000000000003</v>
      </c>
      <c r="E157" cm="1">
        <f t="array" ref="E157">VLOOKUP(OrderLines[[#This Row],[SKU]:[SKU]],Menu[],MATCH(OrderLines[[#Headers],[UnitCost]],Menu[#Headers],0),FALSE)</f>
        <v>121.24</v>
      </c>
      <c r="F157" t="str" cm="1">
        <f t="array" ref="F157">VLOOKUP(OrderLines[[#This Row],[SKU]:[SKU]],Menu[],MATCH(OrderLines[[#Headers],[Category]],Menu[#Headers],0),FALSE)</f>
        <v>Hot Meal</v>
      </c>
      <c r="G157" t="str" cm="1">
        <f t="array" ref="G157">_xlfn.TEXTJOIN("+",TRUE,_xlfn._xlws.SORT(_xlfn.UNIQUE(_xlfn._xlws.FILTER(OrderLines[Category],OrderLines[OrderID]=OrderLines[[#This Row],[OrderID]]))))</f>
        <v>Beverage+Hot Meal+Snack</v>
      </c>
      <c r="H157" s="2" cm="1">
        <f t="array" ref="H157">INT(VLOOKUP(OrderLines[[#This Row],[OrderID]:[OrderID]],Orders[],MATCH(OrderLines[[#Headers],[OrderDateTime]],Orders[#Headers],0),FALSE))</f>
        <v>45858</v>
      </c>
      <c r="I157" t="str" cm="1">
        <f t="array" ref="I157">VLOOKUP(OrderLines[[#This Row],[OrderID]:[OrderID]],Orders[],MATCH(OrderLines[[#Headers],[Branch]],Orders[#Headers],0),FALSE)</f>
        <v>Plant 1 Canteen</v>
      </c>
      <c r="J157" cm="1">
        <f t="array" ref="J157">VLOOKUP(OrderLines[[#This Row],[OrderID]:[OrderID]],Orders[],MATCH(OrderLines[[#Headers],[DiscountPct]],Orders[#Headers],0),FALSE)</f>
        <v>0.14000000000000001</v>
      </c>
      <c r="K157" t="str" cm="1">
        <f t="array" ref="K157">VLOOKUP(OrderLines[[#This Row],[OrderID]:[OrderID]],Orders[],MATCH(OrderLines[[#Headers],[PaymentType]],Orders[#Headers],0),FALSE)</f>
        <v>Cash</v>
      </c>
      <c r="L157" t="str" cm="1">
        <f t="array" ref="L157">VLOOKUP(OrderLines[[#This Row],[OrderID]:[OrderID]],Orders[],MATCH(OrderLines[[#Headers],[Shift]],Orders[#Headers],0),FALSE)</f>
        <v>Lunch</v>
      </c>
      <c r="M157" s="8">
        <f>(OrderLines[[#This Row],[Qty]]*OrderLines[[#This Row],[UnitPrice]])*(1-OrderLines[[#This Row],[DiscountPct]])</f>
        <v>441.88520000000005</v>
      </c>
      <c r="N157" t="str">
        <f>IF(AND(COUNTIFS(OrderLines[OrderID],OrderLines[[#This Row],[OrderID]],OrderLines[Category],"Hot Meal"),COUNTIFS(OrderLines[OrderID],OrderLines[[#This Row],[OrderID]],OrderLines[Category],"Beverage")),"Combo","Single")</f>
        <v>Combo</v>
      </c>
      <c r="O157" s="8" t="str" cm="1">
        <f t="array" ref="O157">IF(SUMPRODUCT(OrderLines[UnitPrice],OrderLines[Qty],OrderLines[DiscountPct],--(OrderLines[OrderID] = OrderLines[[#This Row],[OrderID]]))&gt;40,"High Discount","Ok")</f>
        <v>High Discount</v>
      </c>
      <c r="P157">
        <f>OrderLines[[#This Row],[UnitCost]]*OrderLines[[#This Row],[Qty]]</f>
        <v>242.48</v>
      </c>
      <c r="Q157" s="8">
        <f>OrderLines[[#This Row],[LineNetAmount]]-OrderLines[[#This Row],[Food Cost]]</f>
        <v>199.40520000000006</v>
      </c>
    </row>
    <row r="158" spans="1:17" x14ac:dyDescent="0.3">
      <c r="A158" t="s">
        <v>102</v>
      </c>
      <c r="B158" t="s">
        <v>408</v>
      </c>
      <c r="C158">
        <v>2</v>
      </c>
      <c r="D158" cm="1">
        <f t="array" ref="D158">VLOOKUP(OrderLines[[#This Row],[SKU]:[SKU]],Menu[],MATCH(OrderLines[[#Headers],[UnitPrice]],Menu[#Headers],0),FALSE)</f>
        <v>70.540000000000006</v>
      </c>
      <c r="E158" cm="1">
        <f t="array" ref="E158">VLOOKUP(OrderLines[[#This Row],[SKU]:[SKU]],Menu[],MATCH(OrderLines[[#Headers],[UnitCost]],Menu[#Headers],0),FALSE)</f>
        <v>35.81</v>
      </c>
      <c r="F158" t="str" cm="1">
        <f t="array" ref="F158">VLOOKUP(OrderLines[[#This Row],[SKU]:[SKU]],Menu[],MATCH(OrderLines[[#Headers],[Category]],Menu[#Headers],0),FALSE)</f>
        <v>Snack</v>
      </c>
      <c r="G158" t="str" cm="1">
        <f t="array" ref="G158">_xlfn.TEXTJOIN("+",TRUE,_xlfn._xlws.SORT(_xlfn.UNIQUE(_xlfn._xlws.FILTER(OrderLines[Category],OrderLines[OrderID]=OrderLines[[#This Row],[OrderID]]))))</f>
        <v>Beverage+Hot Meal+Snack</v>
      </c>
      <c r="H158" s="2" cm="1">
        <f t="array" ref="H158">INT(VLOOKUP(OrderLines[[#This Row],[OrderID]:[OrderID]],Orders[],MATCH(OrderLines[[#Headers],[OrderDateTime]],Orders[#Headers],0),FALSE))</f>
        <v>45858</v>
      </c>
      <c r="I158" t="str" cm="1">
        <f t="array" ref="I158">VLOOKUP(OrderLines[[#This Row],[OrderID]:[OrderID]],Orders[],MATCH(OrderLines[[#Headers],[Branch]],Orders[#Headers],0),FALSE)</f>
        <v>Plant 1 Canteen</v>
      </c>
      <c r="J158" cm="1">
        <f t="array" ref="J158">VLOOKUP(OrderLines[[#This Row],[OrderID]:[OrderID]],Orders[],MATCH(OrderLines[[#Headers],[DiscountPct]],Orders[#Headers],0),FALSE)</f>
        <v>0.14000000000000001</v>
      </c>
      <c r="K158" t="str" cm="1">
        <f t="array" ref="K158">VLOOKUP(OrderLines[[#This Row],[OrderID]:[OrderID]],Orders[],MATCH(OrderLines[[#Headers],[PaymentType]],Orders[#Headers],0),FALSE)</f>
        <v>Cash</v>
      </c>
      <c r="L158" t="str" cm="1">
        <f t="array" ref="L158">VLOOKUP(OrderLines[[#This Row],[OrderID]:[OrderID]],Orders[],MATCH(OrderLines[[#Headers],[Shift]],Orders[#Headers],0),FALSE)</f>
        <v>Lunch</v>
      </c>
      <c r="M158" s="8">
        <f>(OrderLines[[#This Row],[Qty]]*OrderLines[[#This Row],[UnitPrice]])*(1-OrderLines[[#This Row],[DiscountPct]])</f>
        <v>121.32880000000002</v>
      </c>
      <c r="N158" t="str">
        <f>IF(AND(COUNTIFS(OrderLines[OrderID],OrderLines[[#This Row],[OrderID]],OrderLines[Category],"Hot Meal"),COUNTIFS(OrderLines[OrderID],OrderLines[[#This Row],[OrderID]],OrderLines[Category],"Beverage")),"Combo","Single")</f>
        <v>Combo</v>
      </c>
      <c r="O158" s="8" t="str" cm="1">
        <f t="array" ref="O158">IF(SUMPRODUCT(OrderLines[UnitPrice],OrderLines[Qty],OrderLines[DiscountPct],--(OrderLines[OrderID] = OrderLines[[#This Row],[OrderID]]))&gt;40,"High Discount","Ok")</f>
        <v>High Discount</v>
      </c>
      <c r="P158">
        <f>OrderLines[[#This Row],[UnitCost]]*OrderLines[[#This Row],[Qty]]</f>
        <v>71.62</v>
      </c>
      <c r="Q158" s="8">
        <f>OrderLines[[#This Row],[LineNetAmount]]-OrderLines[[#This Row],[Food Cost]]</f>
        <v>49.708800000000011</v>
      </c>
    </row>
    <row r="159" spans="1:17" x14ac:dyDescent="0.3">
      <c r="A159" t="s">
        <v>102</v>
      </c>
      <c r="B159" t="s">
        <v>409</v>
      </c>
      <c r="C159">
        <v>1</v>
      </c>
      <c r="D159" cm="1">
        <f t="array" ref="D159">VLOOKUP(OrderLines[[#This Row],[SKU]:[SKU]],Menu[],MATCH(OrderLines[[#Headers],[UnitPrice]],Menu[#Headers],0),FALSE)</f>
        <v>28.43</v>
      </c>
      <c r="E159" cm="1">
        <f t="array" ref="E159">VLOOKUP(OrderLines[[#This Row],[SKU]:[SKU]],Menu[],MATCH(OrderLines[[#Headers],[UnitCost]],Menu[#Headers],0),FALSE)</f>
        <v>13.89</v>
      </c>
      <c r="F159" t="str" cm="1">
        <f t="array" ref="F159">VLOOKUP(OrderLines[[#This Row],[SKU]:[SKU]],Menu[],MATCH(OrderLines[[#Headers],[Category]],Menu[#Headers],0),FALSE)</f>
        <v>Beverage</v>
      </c>
      <c r="G159" t="str" cm="1">
        <f t="array" ref="G159">_xlfn.TEXTJOIN("+",TRUE,_xlfn._xlws.SORT(_xlfn.UNIQUE(_xlfn._xlws.FILTER(OrderLines[Category],OrderLines[OrderID]=OrderLines[[#This Row],[OrderID]]))))</f>
        <v>Beverage+Hot Meal+Snack</v>
      </c>
      <c r="H159" s="2" cm="1">
        <f t="array" ref="H159">INT(VLOOKUP(OrderLines[[#This Row],[OrderID]:[OrderID]],Orders[],MATCH(OrderLines[[#Headers],[OrderDateTime]],Orders[#Headers],0),FALSE))</f>
        <v>45858</v>
      </c>
      <c r="I159" t="str" cm="1">
        <f t="array" ref="I159">VLOOKUP(OrderLines[[#This Row],[OrderID]:[OrderID]],Orders[],MATCH(OrderLines[[#Headers],[Branch]],Orders[#Headers],0),FALSE)</f>
        <v>Plant 1 Canteen</v>
      </c>
      <c r="J159" cm="1">
        <f t="array" ref="J159">VLOOKUP(OrderLines[[#This Row],[OrderID]:[OrderID]],Orders[],MATCH(OrderLines[[#Headers],[DiscountPct]],Orders[#Headers],0),FALSE)</f>
        <v>0.14000000000000001</v>
      </c>
      <c r="K159" t="str" cm="1">
        <f t="array" ref="K159">VLOOKUP(OrderLines[[#This Row],[OrderID]:[OrderID]],Orders[],MATCH(OrderLines[[#Headers],[PaymentType]],Orders[#Headers],0),FALSE)</f>
        <v>Cash</v>
      </c>
      <c r="L159" t="str" cm="1">
        <f t="array" ref="L159">VLOOKUP(OrderLines[[#This Row],[OrderID]:[OrderID]],Orders[],MATCH(OrderLines[[#Headers],[Shift]],Orders[#Headers],0),FALSE)</f>
        <v>Lunch</v>
      </c>
      <c r="M159" s="8">
        <f>(OrderLines[[#This Row],[Qty]]*OrderLines[[#This Row],[UnitPrice]])*(1-OrderLines[[#This Row],[DiscountPct]])</f>
        <v>24.4498</v>
      </c>
      <c r="N159" t="str">
        <f>IF(AND(COUNTIFS(OrderLines[OrderID],OrderLines[[#This Row],[OrderID]],OrderLines[Category],"Hot Meal"),COUNTIFS(OrderLines[OrderID],OrderLines[[#This Row],[OrderID]],OrderLines[Category],"Beverage")),"Combo","Single")</f>
        <v>Combo</v>
      </c>
      <c r="O159" s="8" t="str" cm="1">
        <f t="array" ref="O159">IF(SUMPRODUCT(OrderLines[UnitPrice],OrderLines[Qty],OrderLines[DiscountPct],--(OrderLines[OrderID] = OrderLines[[#This Row],[OrderID]]))&gt;40,"High Discount","Ok")</f>
        <v>High Discount</v>
      </c>
      <c r="P159">
        <f>OrderLines[[#This Row],[UnitCost]]*OrderLines[[#This Row],[Qty]]</f>
        <v>13.89</v>
      </c>
      <c r="Q159" s="8">
        <f>OrderLines[[#This Row],[LineNetAmount]]-OrderLines[[#This Row],[Food Cost]]</f>
        <v>10.559799999999999</v>
      </c>
    </row>
    <row r="160" spans="1:17" x14ac:dyDescent="0.3">
      <c r="A160" t="s">
        <v>103</v>
      </c>
      <c r="B160" t="s">
        <v>406</v>
      </c>
      <c r="C160">
        <v>1</v>
      </c>
      <c r="D160" cm="1">
        <f t="array" ref="D160">VLOOKUP(OrderLines[[#This Row],[SKU]:[SKU]],Menu[],MATCH(OrderLines[[#Headers],[UnitPrice]],Menu[#Headers],0),FALSE)</f>
        <v>38.06</v>
      </c>
      <c r="E160" cm="1">
        <f t="array" ref="E160">VLOOKUP(OrderLines[[#This Row],[SKU]:[SKU]],Menu[],MATCH(OrderLines[[#Headers],[UnitCost]],Menu[#Headers],0),FALSE)</f>
        <v>19.55</v>
      </c>
      <c r="F160" t="str" cm="1">
        <f t="array" ref="F160">VLOOKUP(OrderLines[[#This Row],[SKU]:[SKU]],Menu[],MATCH(OrderLines[[#Headers],[Category]],Menu[#Headers],0),FALSE)</f>
        <v>Snack</v>
      </c>
      <c r="G160" t="str" cm="1">
        <f t="array" ref="G160">_xlfn.TEXTJOIN("+",TRUE,_xlfn._xlws.SORT(_xlfn.UNIQUE(_xlfn._xlws.FILTER(OrderLines[Category],OrderLines[OrderID]=OrderLines[[#This Row],[OrderID]]))))</f>
        <v>Dessert+Hot Meal+Snack</v>
      </c>
      <c r="H160" s="2" cm="1">
        <f t="array" ref="H160">INT(VLOOKUP(OrderLines[[#This Row],[OrderID]:[OrderID]],Orders[],MATCH(OrderLines[[#Headers],[OrderDateTime]],Orders[#Headers],0),FALSE))</f>
        <v>45885</v>
      </c>
      <c r="I160" t="str" cm="1">
        <f t="array" ref="I160">VLOOKUP(OrderLines[[#This Row],[OrderID]:[OrderID]],Orders[],MATCH(OrderLines[[#Headers],[Branch]],Orders[#Headers],0),FALSE)</f>
        <v>Head Office Café</v>
      </c>
      <c r="J160" cm="1">
        <f t="array" ref="J160">VLOOKUP(OrderLines[[#This Row],[OrderID]:[OrderID]],Orders[],MATCH(OrderLines[[#Headers],[DiscountPct]],Orders[#Headers],0),FALSE)</f>
        <v>7.0000000000000007E-2</v>
      </c>
      <c r="K160" t="str" cm="1">
        <f t="array" ref="K160">VLOOKUP(OrderLines[[#This Row],[OrderID]:[OrderID]],Orders[],MATCH(OrderLines[[#Headers],[PaymentType]],Orders[#Headers],0),FALSE)</f>
        <v>Card</v>
      </c>
      <c r="L160" t="str" cm="1">
        <f t="array" ref="L160">VLOOKUP(OrderLines[[#This Row],[OrderID]:[OrderID]],Orders[],MATCH(OrderLines[[#Headers],[Shift]],Orders[#Headers],0),FALSE)</f>
        <v>Breakfast</v>
      </c>
      <c r="M160" s="8">
        <f>(OrderLines[[#This Row],[Qty]]*OrderLines[[#This Row],[UnitPrice]])*(1-OrderLines[[#This Row],[DiscountPct]])</f>
        <v>35.395800000000001</v>
      </c>
      <c r="N160" t="str">
        <f>IF(AND(COUNTIFS(OrderLines[OrderID],OrderLines[[#This Row],[OrderID]],OrderLines[Category],"Hot Meal"),COUNTIFS(OrderLines[OrderID],OrderLines[[#This Row],[OrderID]],OrderLines[Category],"Beverage")),"Combo","Single")</f>
        <v>Single</v>
      </c>
      <c r="O160" s="8" t="str" cm="1">
        <f t="array" ref="O160">IF(SUMPRODUCT(OrderLines[UnitPrice],OrderLines[Qty],OrderLines[DiscountPct],--(OrderLines[OrderID] = OrderLines[[#This Row],[OrderID]]))&gt;40,"High Discount","Ok")</f>
        <v>High Discount</v>
      </c>
      <c r="P160">
        <f>OrderLines[[#This Row],[UnitCost]]*OrderLines[[#This Row],[Qty]]</f>
        <v>19.55</v>
      </c>
      <c r="Q160" s="8">
        <f>OrderLines[[#This Row],[LineNetAmount]]-OrderLines[[#This Row],[Food Cost]]</f>
        <v>15.845800000000001</v>
      </c>
    </row>
    <row r="161" spans="1:17" x14ac:dyDescent="0.3">
      <c r="A161" t="s">
        <v>103</v>
      </c>
      <c r="B161" t="s">
        <v>417</v>
      </c>
      <c r="C161">
        <v>3</v>
      </c>
      <c r="D161" cm="1">
        <f t="array" ref="D161">VLOOKUP(OrderLines[[#This Row],[SKU]:[SKU]],Menu[],MATCH(OrderLines[[#Headers],[UnitPrice]],Menu[#Headers],0),FALSE)</f>
        <v>146.4</v>
      </c>
      <c r="E161" cm="1">
        <f t="array" ref="E161">VLOOKUP(OrderLines[[#This Row],[SKU]:[SKU]],Menu[],MATCH(OrderLines[[#Headers],[UnitCost]],Menu[#Headers],0),FALSE)</f>
        <v>80.92</v>
      </c>
      <c r="F161" t="str" cm="1">
        <f t="array" ref="F161">VLOOKUP(OrderLines[[#This Row],[SKU]:[SKU]],Menu[],MATCH(OrderLines[[#Headers],[Category]],Menu[#Headers],0),FALSE)</f>
        <v>Hot Meal</v>
      </c>
      <c r="G161" t="str" cm="1">
        <f t="array" ref="G161">_xlfn.TEXTJOIN("+",TRUE,_xlfn._xlws.SORT(_xlfn.UNIQUE(_xlfn._xlws.FILTER(OrderLines[Category],OrderLines[OrderID]=OrderLines[[#This Row],[OrderID]]))))</f>
        <v>Dessert+Hot Meal+Snack</v>
      </c>
      <c r="H161" s="2" cm="1">
        <f t="array" ref="H161">INT(VLOOKUP(OrderLines[[#This Row],[OrderID]:[OrderID]],Orders[],MATCH(OrderLines[[#Headers],[OrderDateTime]],Orders[#Headers],0),FALSE))</f>
        <v>45885</v>
      </c>
      <c r="I161" t="str" cm="1">
        <f t="array" ref="I161">VLOOKUP(OrderLines[[#This Row],[OrderID]:[OrderID]],Orders[],MATCH(OrderLines[[#Headers],[Branch]],Orders[#Headers],0),FALSE)</f>
        <v>Head Office Café</v>
      </c>
      <c r="J161" cm="1">
        <f t="array" ref="J161">VLOOKUP(OrderLines[[#This Row],[OrderID]:[OrderID]],Orders[],MATCH(OrderLines[[#Headers],[DiscountPct]],Orders[#Headers],0),FALSE)</f>
        <v>7.0000000000000007E-2</v>
      </c>
      <c r="K161" t="str" cm="1">
        <f t="array" ref="K161">VLOOKUP(OrderLines[[#This Row],[OrderID]:[OrderID]],Orders[],MATCH(OrderLines[[#Headers],[PaymentType]],Orders[#Headers],0),FALSE)</f>
        <v>Card</v>
      </c>
      <c r="L161" t="str" cm="1">
        <f t="array" ref="L161">VLOOKUP(OrderLines[[#This Row],[OrderID]:[OrderID]],Orders[],MATCH(OrderLines[[#Headers],[Shift]],Orders[#Headers],0),FALSE)</f>
        <v>Breakfast</v>
      </c>
      <c r="M161" s="8">
        <f>(OrderLines[[#This Row],[Qty]]*OrderLines[[#This Row],[UnitPrice]])*(1-OrderLines[[#This Row],[DiscountPct]])</f>
        <v>408.45600000000002</v>
      </c>
      <c r="N161" t="str">
        <f>IF(AND(COUNTIFS(OrderLines[OrderID],OrderLines[[#This Row],[OrderID]],OrderLines[Category],"Hot Meal"),COUNTIFS(OrderLines[OrderID],OrderLines[[#This Row],[OrderID]],OrderLines[Category],"Beverage")),"Combo","Single")</f>
        <v>Single</v>
      </c>
      <c r="O161" s="8" t="str" cm="1">
        <f t="array" ref="O161">IF(SUMPRODUCT(OrderLines[UnitPrice],OrderLines[Qty],OrderLines[DiscountPct],--(OrderLines[OrderID] = OrderLines[[#This Row],[OrderID]]))&gt;40,"High Discount","Ok")</f>
        <v>High Discount</v>
      </c>
      <c r="P161">
        <f>OrderLines[[#This Row],[UnitCost]]*OrderLines[[#This Row],[Qty]]</f>
        <v>242.76</v>
      </c>
      <c r="Q161" s="8">
        <f>OrderLines[[#This Row],[LineNetAmount]]-OrderLines[[#This Row],[Food Cost]]</f>
        <v>165.69600000000003</v>
      </c>
    </row>
    <row r="162" spans="1:17" x14ac:dyDescent="0.3">
      <c r="A162" t="s">
        <v>103</v>
      </c>
      <c r="B162" t="s">
        <v>403</v>
      </c>
      <c r="C162">
        <v>2</v>
      </c>
      <c r="D162" cm="1">
        <f t="array" ref="D162">VLOOKUP(OrderLines[[#This Row],[SKU]:[SKU]],Menu[],MATCH(OrderLines[[#Headers],[UnitPrice]],Menu[#Headers],0),FALSE)</f>
        <v>76.55</v>
      </c>
      <c r="E162" cm="1">
        <f t="array" ref="E162">VLOOKUP(OrderLines[[#This Row],[SKU]:[SKU]],Menu[],MATCH(OrderLines[[#Headers],[UnitCost]],Menu[#Headers],0),FALSE)</f>
        <v>38.229999999999997</v>
      </c>
      <c r="F162" t="str" cm="1">
        <f t="array" ref="F162">VLOOKUP(OrderLines[[#This Row],[SKU]:[SKU]],Menu[],MATCH(OrderLines[[#Headers],[Category]],Menu[#Headers],0),FALSE)</f>
        <v>Dessert</v>
      </c>
      <c r="G162" t="str" cm="1">
        <f t="array" ref="G162">_xlfn.TEXTJOIN("+",TRUE,_xlfn._xlws.SORT(_xlfn.UNIQUE(_xlfn._xlws.FILTER(OrderLines[Category],OrderLines[OrderID]=OrderLines[[#This Row],[OrderID]]))))</f>
        <v>Dessert+Hot Meal+Snack</v>
      </c>
      <c r="H162" s="2" cm="1">
        <f t="array" ref="H162">INT(VLOOKUP(OrderLines[[#This Row],[OrderID]:[OrderID]],Orders[],MATCH(OrderLines[[#Headers],[OrderDateTime]],Orders[#Headers],0),FALSE))</f>
        <v>45885</v>
      </c>
      <c r="I162" t="str" cm="1">
        <f t="array" ref="I162">VLOOKUP(OrderLines[[#This Row],[OrderID]:[OrderID]],Orders[],MATCH(OrderLines[[#Headers],[Branch]],Orders[#Headers],0),FALSE)</f>
        <v>Head Office Café</v>
      </c>
      <c r="J162" cm="1">
        <f t="array" ref="J162">VLOOKUP(OrderLines[[#This Row],[OrderID]:[OrderID]],Orders[],MATCH(OrderLines[[#Headers],[DiscountPct]],Orders[#Headers],0),FALSE)</f>
        <v>7.0000000000000007E-2</v>
      </c>
      <c r="K162" t="str" cm="1">
        <f t="array" ref="K162">VLOOKUP(OrderLines[[#This Row],[OrderID]:[OrderID]],Orders[],MATCH(OrderLines[[#Headers],[PaymentType]],Orders[#Headers],0),FALSE)</f>
        <v>Card</v>
      </c>
      <c r="L162" t="str" cm="1">
        <f t="array" ref="L162">VLOOKUP(OrderLines[[#This Row],[OrderID]:[OrderID]],Orders[],MATCH(OrderLines[[#Headers],[Shift]],Orders[#Headers],0),FALSE)</f>
        <v>Breakfast</v>
      </c>
      <c r="M162" s="8">
        <f>(OrderLines[[#This Row],[Qty]]*OrderLines[[#This Row],[UnitPrice]])*(1-OrderLines[[#This Row],[DiscountPct]])</f>
        <v>142.38299999999998</v>
      </c>
      <c r="N162" t="str">
        <f>IF(AND(COUNTIFS(OrderLines[OrderID],OrderLines[[#This Row],[OrderID]],OrderLines[Category],"Hot Meal"),COUNTIFS(OrderLines[OrderID],OrderLines[[#This Row],[OrderID]],OrderLines[Category],"Beverage")),"Combo","Single")</f>
        <v>Single</v>
      </c>
      <c r="O162" s="8" t="str" cm="1">
        <f t="array" ref="O162">IF(SUMPRODUCT(OrderLines[UnitPrice],OrderLines[Qty],OrderLines[DiscountPct],--(OrderLines[OrderID] = OrderLines[[#This Row],[OrderID]]))&gt;40,"High Discount","Ok")</f>
        <v>High Discount</v>
      </c>
      <c r="P162">
        <f>OrderLines[[#This Row],[UnitCost]]*OrderLines[[#This Row],[Qty]]</f>
        <v>76.459999999999994</v>
      </c>
      <c r="Q162" s="8">
        <f>OrderLines[[#This Row],[LineNetAmount]]-OrderLines[[#This Row],[Food Cost]]</f>
        <v>65.922999999999988</v>
      </c>
    </row>
    <row r="163" spans="1:17" x14ac:dyDescent="0.3">
      <c r="A163" t="s">
        <v>103</v>
      </c>
      <c r="B163" t="s">
        <v>416</v>
      </c>
      <c r="C163">
        <v>2</v>
      </c>
      <c r="D163" cm="1">
        <f t="array" ref="D163">VLOOKUP(OrderLines[[#This Row],[SKU]:[SKU]],Menu[],MATCH(OrderLines[[#Headers],[UnitPrice]],Menu[#Headers],0),FALSE)</f>
        <v>227.61</v>
      </c>
      <c r="E163" cm="1">
        <f t="array" ref="E163">VLOOKUP(OrderLines[[#This Row],[SKU]:[SKU]],Menu[],MATCH(OrderLines[[#Headers],[UnitCost]],Menu[#Headers],0),FALSE)</f>
        <v>96.22</v>
      </c>
      <c r="F163" t="str" cm="1">
        <f t="array" ref="F163">VLOOKUP(OrderLines[[#This Row],[SKU]:[SKU]],Menu[],MATCH(OrderLines[[#Headers],[Category]],Menu[#Headers],0),FALSE)</f>
        <v>Hot Meal</v>
      </c>
      <c r="G163" t="str" cm="1">
        <f t="array" ref="G163">_xlfn.TEXTJOIN("+",TRUE,_xlfn._xlws.SORT(_xlfn.UNIQUE(_xlfn._xlws.FILTER(OrderLines[Category],OrderLines[OrderID]=OrderLines[[#This Row],[OrderID]]))))</f>
        <v>Dessert+Hot Meal+Snack</v>
      </c>
      <c r="H163" s="2" cm="1">
        <f t="array" ref="H163">INT(VLOOKUP(OrderLines[[#This Row],[OrderID]:[OrderID]],Orders[],MATCH(OrderLines[[#Headers],[OrderDateTime]],Orders[#Headers],0),FALSE))</f>
        <v>45885</v>
      </c>
      <c r="I163" t="str" cm="1">
        <f t="array" ref="I163">VLOOKUP(OrderLines[[#This Row],[OrderID]:[OrderID]],Orders[],MATCH(OrderLines[[#Headers],[Branch]],Orders[#Headers],0),FALSE)</f>
        <v>Head Office Café</v>
      </c>
      <c r="J163" cm="1">
        <f t="array" ref="J163">VLOOKUP(OrderLines[[#This Row],[OrderID]:[OrderID]],Orders[],MATCH(OrderLines[[#Headers],[DiscountPct]],Orders[#Headers],0),FALSE)</f>
        <v>7.0000000000000007E-2</v>
      </c>
      <c r="K163" t="str" cm="1">
        <f t="array" ref="K163">VLOOKUP(OrderLines[[#This Row],[OrderID]:[OrderID]],Orders[],MATCH(OrderLines[[#Headers],[PaymentType]],Orders[#Headers],0),FALSE)</f>
        <v>Card</v>
      </c>
      <c r="L163" t="str" cm="1">
        <f t="array" ref="L163">VLOOKUP(OrderLines[[#This Row],[OrderID]:[OrderID]],Orders[],MATCH(OrderLines[[#Headers],[Shift]],Orders[#Headers],0),FALSE)</f>
        <v>Breakfast</v>
      </c>
      <c r="M163" s="8">
        <f>(OrderLines[[#This Row],[Qty]]*OrderLines[[#This Row],[UnitPrice]])*(1-OrderLines[[#This Row],[DiscountPct]])</f>
        <v>423.3546</v>
      </c>
      <c r="N163" t="str">
        <f>IF(AND(COUNTIFS(OrderLines[OrderID],OrderLines[[#This Row],[OrderID]],OrderLines[Category],"Hot Meal"),COUNTIFS(OrderLines[OrderID],OrderLines[[#This Row],[OrderID]],OrderLines[Category],"Beverage")),"Combo","Single")</f>
        <v>Single</v>
      </c>
      <c r="O163" s="8" t="str" cm="1">
        <f t="array" ref="O163">IF(SUMPRODUCT(OrderLines[UnitPrice],OrderLines[Qty],OrderLines[DiscountPct],--(OrderLines[OrderID] = OrderLines[[#This Row],[OrderID]]))&gt;40,"High Discount","Ok")</f>
        <v>High Discount</v>
      </c>
      <c r="P163">
        <f>OrderLines[[#This Row],[UnitCost]]*OrderLines[[#This Row],[Qty]]</f>
        <v>192.44</v>
      </c>
      <c r="Q163" s="8">
        <f>OrderLines[[#This Row],[LineNetAmount]]-OrderLines[[#This Row],[Food Cost]]</f>
        <v>230.91460000000001</v>
      </c>
    </row>
    <row r="164" spans="1:17" x14ac:dyDescent="0.3">
      <c r="A164" t="s">
        <v>104</v>
      </c>
      <c r="B164" t="s">
        <v>408</v>
      </c>
      <c r="C164">
        <v>1</v>
      </c>
      <c r="D164" cm="1">
        <f t="array" ref="D164">VLOOKUP(OrderLines[[#This Row],[SKU]:[SKU]],Menu[],MATCH(OrderLines[[#Headers],[UnitPrice]],Menu[#Headers],0),FALSE)</f>
        <v>70.540000000000006</v>
      </c>
      <c r="E164" cm="1">
        <f t="array" ref="E164">VLOOKUP(OrderLines[[#This Row],[SKU]:[SKU]],Menu[],MATCH(OrderLines[[#Headers],[UnitCost]],Menu[#Headers],0),FALSE)</f>
        <v>35.81</v>
      </c>
      <c r="F164" t="str" cm="1">
        <f t="array" ref="F164">VLOOKUP(OrderLines[[#This Row],[SKU]:[SKU]],Menu[],MATCH(OrderLines[[#Headers],[Category]],Menu[#Headers],0),FALSE)</f>
        <v>Snack</v>
      </c>
      <c r="G164" t="str" cm="1">
        <f t="array" ref="G164">_xlfn.TEXTJOIN("+",TRUE,_xlfn._xlws.SORT(_xlfn.UNIQUE(_xlfn._xlws.FILTER(OrderLines[Category],OrderLines[OrderID]=OrderLines[[#This Row],[OrderID]]))))</f>
        <v>Beverage+Dessert+Snack</v>
      </c>
      <c r="H164" s="2" cm="1">
        <f t="array" ref="H164">INT(VLOOKUP(OrderLines[[#This Row],[OrderID]:[OrderID]],Orders[],MATCH(OrderLines[[#Headers],[OrderDateTime]],Orders[#Headers],0),FALSE))</f>
        <v>45895</v>
      </c>
      <c r="I164" t="str" cm="1">
        <f t="array" ref="I164">VLOOKUP(OrderLines[[#This Row],[OrderID]:[OrderID]],Orders[],MATCH(OrderLines[[#Headers],[Branch]],Orders[#Headers],0),FALSE)</f>
        <v>Plant 1 Canteen</v>
      </c>
      <c r="J164" cm="1">
        <f t="array" ref="J164">VLOOKUP(OrderLines[[#This Row],[OrderID]:[OrderID]],Orders[],MATCH(OrderLines[[#Headers],[DiscountPct]],Orders[#Headers],0),FALSE)</f>
        <v>7.0000000000000007E-2</v>
      </c>
      <c r="K164" t="str" cm="1">
        <f t="array" ref="K164">VLOOKUP(OrderLines[[#This Row],[OrderID]:[OrderID]],Orders[],MATCH(OrderLines[[#Headers],[PaymentType]],Orders[#Headers],0),FALSE)</f>
        <v>UPI</v>
      </c>
      <c r="L164" t="str" cm="1">
        <f t="array" ref="L164">VLOOKUP(OrderLines[[#This Row],[OrderID]:[OrderID]],Orders[],MATCH(OrderLines[[#Headers],[Shift]],Orders[#Headers],0),FALSE)</f>
        <v>Breakfast</v>
      </c>
      <c r="M164" s="8">
        <f>(OrderLines[[#This Row],[Qty]]*OrderLines[[#This Row],[UnitPrice]])*(1-OrderLines[[#This Row],[DiscountPct]])</f>
        <v>65.602199999999996</v>
      </c>
      <c r="N164" t="str">
        <f>IF(AND(COUNTIFS(OrderLines[OrderID],OrderLines[[#This Row],[OrderID]],OrderLines[Category],"Hot Meal"),COUNTIFS(OrderLines[OrderID],OrderLines[[#This Row],[OrderID]],OrderLines[Category],"Beverage")),"Combo","Single")</f>
        <v>Single</v>
      </c>
      <c r="O164" s="8" t="str" cm="1">
        <f t="array" ref="O164">IF(SUMPRODUCT(OrderLines[UnitPrice],OrderLines[Qty],OrderLines[DiscountPct],--(OrderLines[OrderID] = OrderLines[[#This Row],[OrderID]]))&gt;40,"High Discount","Ok")</f>
        <v>Ok</v>
      </c>
      <c r="P164">
        <f>OrderLines[[#This Row],[UnitCost]]*OrderLines[[#This Row],[Qty]]</f>
        <v>35.81</v>
      </c>
      <c r="Q164" s="8">
        <f>OrderLines[[#This Row],[LineNetAmount]]-OrderLines[[#This Row],[Food Cost]]</f>
        <v>29.792199999999994</v>
      </c>
    </row>
    <row r="165" spans="1:17" x14ac:dyDescent="0.3">
      <c r="A165" t="s">
        <v>104</v>
      </c>
      <c r="B165" t="s">
        <v>409</v>
      </c>
      <c r="C165">
        <v>1</v>
      </c>
      <c r="D165" cm="1">
        <f t="array" ref="D165">VLOOKUP(OrderLines[[#This Row],[SKU]:[SKU]],Menu[],MATCH(OrderLines[[#Headers],[UnitPrice]],Menu[#Headers],0),FALSE)</f>
        <v>28.43</v>
      </c>
      <c r="E165" cm="1">
        <f t="array" ref="E165">VLOOKUP(OrderLines[[#This Row],[SKU]:[SKU]],Menu[],MATCH(OrderLines[[#Headers],[UnitCost]],Menu[#Headers],0),FALSE)</f>
        <v>13.89</v>
      </c>
      <c r="F165" t="str" cm="1">
        <f t="array" ref="F165">VLOOKUP(OrderLines[[#This Row],[SKU]:[SKU]],Menu[],MATCH(OrderLines[[#Headers],[Category]],Menu[#Headers],0),FALSE)</f>
        <v>Beverage</v>
      </c>
      <c r="G165" t="str" cm="1">
        <f t="array" ref="G165">_xlfn.TEXTJOIN("+",TRUE,_xlfn._xlws.SORT(_xlfn.UNIQUE(_xlfn._xlws.FILTER(OrderLines[Category],OrderLines[OrderID]=OrderLines[[#This Row],[OrderID]]))))</f>
        <v>Beverage+Dessert+Snack</v>
      </c>
      <c r="H165" s="2" cm="1">
        <f t="array" ref="H165">INT(VLOOKUP(OrderLines[[#This Row],[OrderID]:[OrderID]],Orders[],MATCH(OrderLines[[#Headers],[OrderDateTime]],Orders[#Headers],0),FALSE))</f>
        <v>45895</v>
      </c>
      <c r="I165" t="str" cm="1">
        <f t="array" ref="I165">VLOOKUP(OrderLines[[#This Row],[OrderID]:[OrderID]],Orders[],MATCH(OrderLines[[#Headers],[Branch]],Orders[#Headers],0),FALSE)</f>
        <v>Plant 1 Canteen</v>
      </c>
      <c r="J165" cm="1">
        <f t="array" ref="J165">VLOOKUP(OrderLines[[#This Row],[OrderID]:[OrderID]],Orders[],MATCH(OrderLines[[#Headers],[DiscountPct]],Orders[#Headers],0),FALSE)</f>
        <v>7.0000000000000007E-2</v>
      </c>
      <c r="K165" t="str" cm="1">
        <f t="array" ref="K165">VLOOKUP(OrderLines[[#This Row],[OrderID]:[OrderID]],Orders[],MATCH(OrderLines[[#Headers],[PaymentType]],Orders[#Headers],0),FALSE)</f>
        <v>UPI</v>
      </c>
      <c r="L165" t="str" cm="1">
        <f t="array" ref="L165">VLOOKUP(OrderLines[[#This Row],[OrderID]:[OrderID]],Orders[],MATCH(OrderLines[[#Headers],[Shift]],Orders[#Headers],0),FALSE)</f>
        <v>Breakfast</v>
      </c>
      <c r="M165" s="8">
        <f>(OrderLines[[#This Row],[Qty]]*OrderLines[[#This Row],[UnitPrice]])*(1-OrderLines[[#This Row],[DiscountPct]])</f>
        <v>26.439899999999998</v>
      </c>
      <c r="N165" t="str">
        <f>IF(AND(COUNTIFS(OrderLines[OrderID],OrderLines[[#This Row],[OrderID]],OrderLines[Category],"Hot Meal"),COUNTIFS(OrderLines[OrderID],OrderLines[[#This Row],[OrderID]],OrderLines[Category],"Beverage")),"Combo","Single")</f>
        <v>Single</v>
      </c>
      <c r="O165" s="8" t="str" cm="1">
        <f t="array" ref="O165">IF(SUMPRODUCT(OrderLines[UnitPrice],OrderLines[Qty],OrderLines[DiscountPct],--(OrderLines[OrderID] = OrderLines[[#This Row],[OrderID]]))&gt;40,"High Discount","Ok")</f>
        <v>Ok</v>
      </c>
      <c r="P165">
        <f>OrderLines[[#This Row],[UnitCost]]*OrderLines[[#This Row],[Qty]]</f>
        <v>13.89</v>
      </c>
      <c r="Q165" s="8">
        <f>OrderLines[[#This Row],[LineNetAmount]]-OrderLines[[#This Row],[Food Cost]]</f>
        <v>12.549899999999997</v>
      </c>
    </row>
    <row r="166" spans="1:17" x14ac:dyDescent="0.3">
      <c r="A166" t="s">
        <v>104</v>
      </c>
      <c r="B166" t="s">
        <v>402</v>
      </c>
      <c r="C166">
        <v>1</v>
      </c>
      <c r="D166" cm="1">
        <f t="array" ref="D166">VLOOKUP(OrderLines[[#This Row],[SKU]:[SKU]],Menu[],MATCH(OrderLines[[#Headers],[UnitPrice]],Menu[#Headers],0),FALSE)</f>
        <v>30.34</v>
      </c>
      <c r="E166" cm="1">
        <f t="array" ref="E166">VLOOKUP(OrderLines[[#This Row],[SKU]:[SKU]],Menu[],MATCH(OrderLines[[#Headers],[UnitCost]],Menu[#Headers],0),FALSE)</f>
        <v>14.18</v>
      </c>
      <c r="F166" t="str" cm="1">
        <f t="array" ref="F166">VLOOKUP(OrderLines[[#This Row],[SKU]:[SKU]],Menu[],MATCH(OrderLines[[#Headers],[Category]],Menu[#Headers],0),FALSE)</f>
        <v>Beverage</v>
      </c>
      <c r="G166" t="str" cm="1">
        <f t="array" ref="G166">_xlfn.TEXTJOIN("+",TRUE,_xlfn._xlws.SORT(_xlfn.UNIQUE(_xlfn._xlws.FILTER(OrderLines[Category],OrderLines[OrderID]=OrderLines[[#This Row],[OrderID]]))))</f>
        <v>Beverage+Dessert+Snack</v>
      </c>
      <c r="H166" s="2" cm="1">
        <f t="array" ref="H166">INT(VLOOKUP(OrderLines[[#This Row],[OrderID]:[OrderID]],Orders[],MATCH(OrderLines[[#Headers],[OrderDateTime]],Orders[#Headers],0),FALSE))</f>
        <v>45895</v>
      </c>
      <c r="I166" t="str" cm="1">
        <f t="array" ref="I166">VLOOKUP(OrderLines[[#This Row],[OrderID]:[OrderID]],Orders[],MATCH(OrderLines[[#Headers],[Branch]],Orders[#Headers],0),FALSE)</f>
        <v>Plant 1 Canteen</v>
      </c>
      <c r="J166" cm="1">
        <f t="array" ref="J166">VLOOKUP(OrderLines[[#This Row],[OrderID]:[OrderID]],Orders[],MATCH(OrderLines[[#Headers],[DiscountPct]],Orders[#Headers],0),FALSE)</f>
        <v>7.0000000000000007E-2</v>
      </c>
      <c r="K166" t="str" cm="1">
        <f t="array" ref="K166">VLOOKUP(OrderLines[[#This Row],[OrderID]:[OrderID]],Orders[],MATCH(OrderLines[[#Headers],[PaymentType]],Orders[#Headers],0),FALSE)</f>
        <v>UPI</v>
      </c>
      <c r="L166" t="str" cm="1">
        <f t="array" ref="L166">VLOOKUP(OrderLines[[#This Row],[OrderID]:[OrderID]],Orders[],MATCH(OrderLines[[#Headers],[Shift]],Orders[#Headers],0),FALSE)</f>
        <v>Breakfast</v>
      </c>
      <c r="M166" s="8">
        <f>(OrderLines[[#This Row],[Qty]]*OrderLines[[#This Row],[UnitPrice]])*(1-OrderLines[[#This Row],[DiscountPct]])</f>
        <v>28.216199999999997</v>
      </c>
      <c r="N166" t="str">
        <f>IF(AND(COUNTIFS(OrderLines[OrderID],OrderLines[[#This Row],[OrderID]],OrderLines[Category],"Hot Meal"),COUNTIFS(OrderLines[OrderID],OrderLines[[#This Row],[OrderID]],OrderLines[Category],"Beverage")),"Combo","Single")</f>
        <v>Single</v>
      </c>
      <c r="O166" s="8" t="str" cm="1">
        <f t="array" ref="O166">IF(SUMPRODUCT(OrderLines[UnitPrice],OrderLines[Qty],OrderLines[DiscountPct],--(OrderLines[OrderID] = OrderLines[[#This Row],[OrderID]]))&gt;40,"High Discount","Ok")</f>
        <v>Ok</v>
      </c>
      <c r="P166">
        <f>OrderLines[[#This Row],[UnitCost]]*OrderLines[[#This Row],[Qty]]</f>
        <v>14.18</v>
      </c>
      <c r="Q166" s="8">
        <f>OrderLines[[#This Row],[LineNetAmount]]-OrderLines[[#This Row],[Food Cost]]</f>
        <v>14.036199999999997</v>
      </c>
    </row>
    <row r="167" spans="1:17" x14ac:dyDescent="0.3">
      <c r="A167" t="s">
        <v>104</v>
      </c>
      <c r="B167" t="s">
        <v>414</v>
      </c>
      <c r="C167">
        <v>2</v>
      </c>
      <c r="D167" cm="1">
        <f t="array" ref="D167">VLOOKUP(OrderLines[[#This Row],[SKU]:[SKU]],Menu[],MATCH(OrderLines[[#Headers],[UnitPrice]],Menu[#Headers],0),FALSE)</f>
        <v>116.8</v>
      </c>
      <c r="E167" cm="1">
        <f t="array" ref="E167">VLOOKUP(OrderLines[[#This Row],[SKU]:[SKU]],Menu[],MATCH(OrderLines[[#Headers],[UnitCost]],Menu[#Headers],0),FALSE)</f>
        <v>48.97</v>
      </c>
      <c r="F167" t="str" cm="1">
        <f t="array" ref="F167">VLOOKUP(OrderLines[[#This Row],[SKU]:[SKU]],Menu[],MATCH(OrderLines[[#Headers],[Category]],Menu[#Headers],0),FALSE)</f>
        <v>Dessert</v>
      </c>
      <c r="G167" t="str" cm="1">
        <f t="array" ref="G167">_xlfn.TEXTJOIN("+",TRUE,_xlfn._xlws.SORT(_xlfn.UNIQUE(_xlfn._xlws.FILTER(OrderLines[Category],OrderLines[OrderID]=OrderLines[[#This Row],[OrderID]]))))</f>
        <v>Beverage+Dessert+Snack</v>
      </c>
      <c r="H167" s="2" cm="1">
        <f t="array" ref="H167">INT(VLOOKUP(OrderLines[[#This Row],[OrderID]:[OrderID]],Orders[],MATCH(OrderLines[[#Headers],[OrderDateTime]],Orders[#Headers],0),FALSE))</f>
        <v>45895</v>
      </c>
      <c r="I167" t="str" cm="1">
        <f t="array" ref="I167">VLOOKUP(OrderLines[[#This Row],[OrderID]:[OrderID]],Orders[],MATCH(OrderLines[[#Headers],[Branch]],Orders[#Headers],0),FALSE)</f>
        <v>Plant 1 Canteen</v>
      </c>
      <c r="J167" cm="1">
        <f t="array" ref="J167">VLOOKUP(OrderLines[[#This Row],[OrderID]:[OrderID]],Orders[],MATCH(OrderLines[[#Headers],[DiscountPct]],Orders[#Headers],0),FALSE)</f>
        <v>7.0000000000000007E-2</v>
      </c>
      <c r="K167" t="str" cm="1">
        <f t="array" ref="K167">VLOOKUP(OrderLines[[#This Row],[OrderID]:[OrderID]],Orders[],MATCH(OrderLines[[#Headers],[PaymentType]],Orders[#Headers],0),FALSE)</f>
        <v>UPI</v>
      </c>
      <c r="L167" t="str" cm="1">
        <f t="array" ref="L167">VLOOKUP(OrderLines[[#This Row],[OrderID]:[OrderID]],Orders[],MATCH(OrderLines[[#Headers],[Shift]],Orders[#Headers],0),FALSE)</f>
        <v>Breakfast</v>
      </c>
      <c r="M167" s="8">
        <f>(OrderLines[[#This Row],[Qty]]*OrderLines[[#This Row],[UnitPrice]])*(1-OrderLines[[#This Row],[DiscountPct]])</f>
        <v>217.24799999999999</v>
      </c>
      <c r="N167" t="str">
        <f>IF(AND(COUNTIFS(OrderLines[OrderID],OrderLines[[#This Row],[OrderID]],OrderLines[Category],"Hot Meal"),COUNTIFS(OrderLines[OrderID],OrderLines[[#This Row],[OrderID]],OrderLines[Category],"Beverage")),"Combo","Single")</f>
        <v>Single</v>
      </c>
      <c r="O167" s="8" t="str" cm="1">
        <f t="array" ref="O167">IF(SUMPRODUCT(OrderLines[UnitPrice],OrderLines[Qty],OrderLines[DiscountPct],--(OrderLines[OrderID] = OrderLines[[#This Row],[OrderID]]))&gt;40,"High Discount","Ok")</f>
        <v>Ok</v>
      </c>
      <c r="P167">
        <f>OrderLines[[#This Row],[UnitCost]]*OrderLines[[#This Row],[Qty]]</f>
        <v>97.94</v>
      </c>
      <c r="Q167" s="8">
        <f>OrderLines[[#This Row],[LineNetAmount]]-OrderLines[[#This Row],[Food Cost]]</f>
        <v>119.30799999999999</v>
      </c>
    </row>
    <row r="168" spans="1:17" x14ac:dyDescent="0.3">
      <c r="A168" t="s">
        <v>105</v>
      </c>
      <c r="B168" t="s">
        <v>405</v>
      </c>
      <c r="C168">
        <v>1</v>
      </c>
      <c r="D168" cm="1">
        <f t="array" ref="D168">VLOOKUP(OrderLines[[#This Row],[SKU]:[SKU]],Menu[],MATCH(OrderLines[[#Headers],[UnitPrice]],Menu[#Headers],0),FALSE)</f>
        <v>170.83</v>
      </c>
      <c r="E168" cm="1">
        <f t="array" ref="E168">VLOOKUP(OrderLines[[#This Row],[SKU]:[SKU]],Menu[],MATCH(OrderLines[[#Headers],[UnitCost]],Menu[#Headers],0),FALSE)</f>
        <v>74.069999999999993</v>
      </c>
      <c r="F168" t="str" cm="1">
        <f t="array" ref="F168">VLOOKUP(OrderLines[[#This Row],[SKU]:[SKU]],Menu[],MATCH(OrderLines[[#Headers],[Category]],Menu[#Headers],0),FALSE)</f>
        <v>Hot Meal</v>
      </c>
      <c r="G168" t="str" cm="1">
        <f t="array" ref="G168">_xlfn.TEXTJOIN("+",TRUE,_xlfn._xlws.SORT(_xlfn.UNIQUE(_xlfn._xlws.FILTER(OrderLines[Category],OrderLines[OrderID]=OrderLines[[#This Row],[OrderID]]))))</f>
        <v>Beverage+Hot Meal+Snack</v>
      </c>
      <c r="H168" s="2" cm="1">
        <f t="array" ref="H168">INT(VLOOKUP(OrderLines[[#This Row],[OrderID]:[OrderID]],Orders[],MATCH(OrderLines[[#Headers],[OrderDateTime]],Orders[#Headers],0),FALSE))</f>
        <v>45887</v>
      </c>
      <c r="I168" t="str" cm="1">
        <f t="array" ref="I168">VLOOKUP(OrderLines[[#This Row],[OrderID]:[OrderID]],Orders[],MATCH(OrderLines[[#Headers],[Branch]],Orders[#Headers],0),FALSE)</f>
        <v>Plant 2 Canteen</v>
      </c>
      <c r="J168" cm="1">
        <f t="array" ref="J168">VLOOKUP(OrderLines[[#This Row],[OrderID]:[OrderID]],Orders[],MATCH(OrderLines[[#Headers],[DiscountPct]],Orders[#Headers],0),FALSE)</f>
        <v>0.06</v>
      </c>
      <c r="K168" t="str" cm="1">
        <f t="array" ref="K168">VLOOKUP(OrderLines[[#This Row],[OrderID]:[OrderID]],Orders[],MATCH(OrderLines[[#Headers],[PaymentType]],Orders[#Headers],0),FALSE)</f>
        <v>Cash</v>
      </c>
      <c r="L168" t="str" cm="1">
        <f t="array" ref="L168">VLOOKUP(OrderLines[[#This Row],[OrderID]:[OrderID]],Orders[],MATCH(OrderLines[[#Headers],[Shift]],Orders[#Headers],0),FALSE)</f>
        <v>Breakfast</v>
      </c>
      <c r="M168" s="8">
        <f>(OrderLines[[#This Row],[Qty]]*OrderLines[[#This Row],[UnitPrice]])*(1-OrderLines[[#This Row],[DiscountPct]])</f>
        <v>160.58019999999999</v>
      </c>
      <c r="N168" t="str">
        <f>IF(AND(COUNTIFS(OrderLines[OrderID],OrderLines[[#This Row],[OrderID]],OrderLines[Category],"Hot Meal"),COUNTIFS(OrderLines[OrderID],OrderLines[[#This Row],[OrderID]],OrderLines[Category],"Beverage")),"Combo","Single")</f>
        <v>Combo</v>
      </c>
      <c r="O168" s="8" t="str" cm="1">
        <f t="array" ref="O168">IF(SUMPRODUCT(OrderLines[UnitPrice],OrderLines[Qty],OrderLines[DiscountPct],--(OrderLines[OrderID] = OrderLines[[#This Row],[OrderID]]))&gt;40,"High Discount","Ok")</f>
        <v>Ok</v>
      </c>
      <c r="P168">
        <f>OrderLines[[#This Row],[UnitCost]]*OrderLines[[#This Row],[Qty]]</f>
        <v>74.069999999999993</v>
      </c>
      <c r="Q168" s="8">
        <f>OrderLines[[#This Row],[LineNetAmount]]-OrderLines[[#This Row],[Food Cost]]</f>
        <v>86.510199999999998</v>
      </c>
    </row>
    <row r="169" spans="1:17" x14ac:dyDescent="0.3">
      <c r="A169" t="s">
        <v>105</v>
      </c>
      <c r="B169" t="s">
        <v>419</v>
      </c>
      <c r="C169">
        <v>1</v>
      </c>
      <c r="D169" cm="1">
        <f t="array" ref="D169">VLOOKUP(OrderLines[[#This Row],[SKU]:[SKU]],Menu[],MATCH(OrderLines[[#Headers],[UnitPrice]],Menu[#Headers],0),FALSE)</f>
        <v>50.19</v>
      </c>
      <c r="E169" cm="1">
        <f t="array" ref="E169">VLOOKUP(OrderLines[[#This Row],[SKU]:[SKU]],Menu[],MATCH(OrderLines[[#Headers],[UnitCost]],Menu[#Headers],0),FALSE)</f>
        <v>22.61</v>
      </c>
      <c r="F169" t="str" cm="1">
        <f t="array" ref="F169">VLOOKUP(OrderLines[[#This Row],[SKU]:[SKU]],Menu[],MATCH(OrderLines[[#Headers],[Category]],Menu[#Headers],0),FALSE)</f>
        <v>Snack</v>
      </c>
      <c r="G169" t="str" cm="1">
        <f t="array" ref="G169">_xlfn.TEXTJOIN("+",TRUE,_xlfn._xlws.SORT(_xlfn.UNIQUE(_xlfn._xlws.FILTER(OrderLines[Category],OrderLines[OrderID]=OrderLines[[#This Row],[OrderID]]))))</f>
        <v>Beverage+Hot Meal+Snack</v>
      </c>
      <c r="H169" s="2" cm="1">
        <f t="array" ref="H169">INT(VLOOKUP(OrderLines[[#This Row],[OrderID]:[OrderID]],Orders[],MATCH(OrderLines[[#Headers],[OrderDateTime]],Orders[#Headers],0),FALSE))</f>
        <v>45887</v>
      </c>
      <c r="I169" t="str" cm="1">
        <f t="array" ref="I169">VLOOKUP(OrderLines[[#This Row],[OrderID]:[OrderID]],Orders[],MATCH(OrderLines[[#Headers],[Branch]],Orders[#Headers],0),FALSE)</f>
        <v>Plant 2 Canteen</v>
      </c>
      <c r="J169" cm="1">
        <f t="array" ref="J169">VLOOKUP(OrderLines[[#This Row],[OrderID]:[OrderID]],Orders[],MATCH(OrderLines[[#Headers],[DiscountPct]],Orders[#Headers],0),FALSE)</f>
        <v>0.06</v>
      </c>
      <c r="K169" t="str" cm="1">
        <f t="array" ref="K169">VLOOKUP(OrderLines[[#This Row],[OrderID]:[OrderID]],Orders[],MATCH(OrderLines[[#Headers],[PaymentType]],Orders[#Headers],0),FALSE)</f>
        <v>Cash</v>
      </c>
      <c r="L169" t="str" cm="1">
        <f t="array" ref="L169">VLOOKUP(OrderLines[[#This Row],[OrderID]:[OrderID]],Orders[],MATCH(OrderLines[[#Headers],[Shift]],Orders[#Headers],0),FALSE)</f>
        <v>Breakfast</v>
      </c>
      <c r="M169" s="8">
        <f>(OrderLines[[#This Row],[Qty]]*OrderLines[[#This Row],[UnitPrice]])*(1-OrderLines[[#This Row],[DiscountPct]])</f>
        <v>47.178599999999996</v>
      </c>
      <c r="N169" t="str">
        <f>IF(AND(COUNTIFS(OrderLines[OrderID],OrderLines[[#This Row],[OrderID]],OrderLines[Category],"Hot Meal"),COUNTIFS(OrderLines[OrderID],OrderLines[[#This Row],[OrderID]],OrderLines[Category],"Beverage")),"Combo","Single")</f>
        <v>Combo</v>
      </c>
      <c r="O169" s="8" t="str" cm="1">
        <f t="array" ref="O169">IF(SUMPRODUCT(OrderLines[UnitPrice],OrderLines[Qty],OrderLines[DiscountPct],--(OrderLines[OrderID] = OrderLines[[#This Row],[OrderID]]))&gt;40,"High Discount","Ok")</f>
        <v>Ok</v>
      </c>
      <c r="P169">
        <f>OrderLines[[#This Row],[UnitCost]]*OrderLines[[#This Row],[Qty]]</f>
        <v>22.61</v>
      </c>
      <c r="Q169" s="8">
        <f>OrderLines[[#This Row],[LineNetAmount]]-OrderLines[[#This Row],[Food Cost]]</f>
        <v>24.568599999999996</v>
      </c>
    </row>
    <row r="170" spans="1:17" x14ac:dyDescent="0.3">
      <c r="A170" t="s">
        <v>105</v>
      </c>
      <c r="B170" t="s">
        <v>402</v>
      </c>
      <c r="C170">
        <v>1</v>
      </c>
      <c r="D170" cm="1">
        <f t="array" ref="D170">VLOOKUP(OrderLines[[#This Row],[SKU]:[SKU]],Menu[],MATCH(OrderLines[[#Headers],[UnitPrice]],Menu[#Headers],0),FALSE)</f>
        <v>30.34</v>
      </c>
      <c r="E170" cm="1">
        <f t="array" ref="E170">VLOOKUP(OrderLines[[#This Row],[SKU]:[SKU]],Menu[],MATCH(OrderLines[[#Headers],[UnitCost]],Menu[#Headers],0),FALSE)</f>
        <v>14.18</v>
      </c>
      <c r="F170" t="str" cm="1">
        <f t="array" ref="F170">VLOOKUP(OrderLines[[#This Row],[SKU]:[SKU]],Menu[],MATCH(OrderLines[[#Headers],[Category]],Menu[#Headers],0),FALSE)</f>
        <v>Beverage</v>
      </c>
      <c r="G170" t="str" cm="1">
        <f t="array" ref="G170">_xlfn.TEXTJOIN("+",TRUE,_xlfn._xlws.SORT(_xlfn.UNIQUE(_xlfn._xlws.FILTER(OrderLines[Category],OrderLines[OrderID]=OrderLines[[#This Row],[OrderID]]))))</f>
        <v>Beverage+Hot Meal+Snack</v>
      </c>
      <c r="H170" s="2" cm="1">
        <f t="array" ref="H170">INT(VLOOKUP(OrderLines[[#This Row],[OrderID]:[OrderID]],Orders[],MATCH(OrderLines[[#Headers],[OrderDateTime]],Orders[#Headers],0),FALSE))</f>
        <v>45887</v>
      </c>
      <c r="I170" t="str" cm="1">
        <f t="array" ref="I170">VLOOKUP(OrderLines[[#This Row],[OrderID]:[OrderID]],Orders[],MATCH(OrderLines[[#Headers],[Branch]],Orders[#Headers],0),FALSE)</f>
        <v>Plant 2 Canteen</v>
      </c>
      <c r="J170" cm="1">
        <f t="array" ref="J170">VLOOKUP(OrderLines[[#This Row],[OrderID]:[OrderID]],Orders[],MATCH(OrderLines[[#Headers],[DiscountPct]],Orders[#Headers],0),FALSE)</f>
        <v>0.06</v>
      </c>
      <c r="K170" t="str" cm="1">
        <f t="array" ref="K170">VLOOKUP(OrderLines[[#This Row],[OrderID]:[OrderID]],Orders[],MATCH(OrderLines[[#Headers],[PaymentType]],Orders[#Headers],0),FALSE)</f>
        <v>Cash</v>
      </c>
      <c r="L170" t="str" cm="1">
        <f t="array" ref="L170">VLOOKUP(OrderLines[[#This Row],[OrderID]:[OrderID]],Orders[],MATCH(OrderLines[[#Headers],[Shift]],Orders[#Headers],0),FALSE)</f>
        <v>Breakfast</v>
      </c>
      <c r="M170" s="8">
        <f>(OrderLines[[#This Row],[Qty]]*OrderLines[[#This Row],[UnitPrice]])*(1-OrderLines[[#This Row],[DiscountPct]])</f>
        <v>28.519599999999997</v>
      </c>
      <c r="N170" t="str">
        <f>IF(AND(COUNTIFS(OrderLines[OrderID],OrderLines[[#This Row],[OrderID]],OrderLines[Category],"Hot Meal"),COUNTIFS(OrderLines[OrderID],OrderLines[[#This Row],[OrderID]],OrderLines[Category],"Beverage")),"Combo","Single")</f>
        <v>Combo</v>
      </c>
      <c r="O170" s="8" t="str" cm="1">
        <f t="array" ref="O170">IF(SUMPRODUCT(OrderLines[UnitPrice],OrderLines[Qty],OrderLines[DiscountPct],--(OrderLines[OrderID] = OrderLines[[#This Row],[OrderID]]))&gt;40,"High Discount","Ok")</f>
        <v>Ok</v>
      </c>
      <c r="P170">
        <f>OrderLines[[#This Row],[UnitCost]]*OrderLines[[#This Row],[Qty]]</f>
        <v>14.18</v>
      </c>
      <c r="Q170" s="8">
        <f>OrderLines[[#This Row],[LineNetAmount]]-OrderLines[[#This Row],[Food Cost]]</f>
        <v>14.339599999999997</v>
      </c>
    </row>
    <row r="171" spans="1:17" x14ac:dyDescent="0.3">
      <c r="A171" t="s">
        <v>105</v>
      </c>
      <c r="B171" t="s">
        <v>417</v>
      </c>
      <c r="C171">
        <v>1</v>
      </c>
      <c r="D171" cm="1">
        <f t="array" ref="D171">VLOOKUP(OrderLines[[#This Row],[SKU]:[SKU]],Menu[],MATCH(OrderLines[[#Headers],[UnitPrice]],Menu[#Headers],0),FALSE)</f>
        <v>146.4</v>
      </c>
      <c r="E171" cm="1">
        <f t="array" ref="E171">VLOOKUP(OrderLines[[#This Row],[SKU]:[SKU]],Menu[],MATCH(OrderLines[[#Headers],[UnitCost]],Menu[#Headers],0),FALSE)</f>
        <v>80.92</v>
      </c>
      <c r="F171" t="str" cm="1">
        <f t="array" ref="F171">VLOOKUP(OrderLines[[#This Row],[SKU]:[SKU]],Menu[],MATCH(OrderLines[[#Headers],[Category]],Menu[#Headers],0),FALSE)</f>
        <v>Hot Meal</v>
      </c>
      <c r="G171" t="str" cm="1">
        <f t="array" ref="G171">_xlfn.TEXTJOIN("+",TRUE,_xlfn._xlws.SORT(_xlfn.UNIQUE(_xlfn._xlws.FILTER(OrderLines[Category],OrderLines[OrderID]=OrderLines[[#This Row],[OrderID]]))))</f>
        <v>Beverage+Hot Meal+Snack</v>
      </c>
      <c r="H171" s="2" cm="1">
        <f t="array" ref="H171">INT(VLOOKUP(OrderLines[[#This Row],[OrderID]:[OrderID]],Orders[],MATCH(OrderLines[[#Headers],[OrderDateTime]],Orders[#Headers],0),FALSE))</f>
        <v>45887</v>
      </c>
      <c r="I171" t="str" cm="1">
        <f t="array" ref="I171">VLOOKUP(OrderLines[[#This Row],[OrderID]:[OrderID]],Orders[],MATCH(OrderLines[[#Headers],[Branch]],Orders[#Headers],0),FALSE)</f>
        <v>Plant 2 Canteen</v>
      </c>
      <c r="J171" cm="1">
        <f t="array" ref="J171">VLOOKUP(OrderLines[[#This Row],[OrderID]:[OrderID]],Orders[],MATCH(OrderLines[[#Headers],[DiscountPct]],Orders[#Headers],0),FALSE)</f>
        <v>0.06</v>
      </c>
      <c r="K171" t="str" cm="1">
        <f t="array" ref="K171">VLOOKUP(OrderLines[[#This Row],[OrderID]:[OrderID]],Orders[],MATCH(OrderLines[[#Headers],[PaymentType]],Orders[#Headers],0),FALSE)</f>
        <v>Cash</v>
      </c>
      <c r="L171" t="str" cm="1">
        <f t="array" ref="L171">VLOOKUP(OrderLines[[#This Row],[OrderID]:[OrderID]],Orders[],MATCH(OrderLines[[#Headers],[Shift]],Orders[#Headers],0),FALSE)</f>
        <v>Breakfast</v>
      </c>
      <c r="M171" s="8">
        <f>(OrderLines[[#This Row],[Qty]]*OrderLines[[#This Row],[UnitPrice]])*(1-OrderLines[[#This Row],[DiscountPct]])</f>
        <v>137.61599999999999</v>
      </c>
      <c r="N171" t="str">
        <f>IF(AND(COUNTIFS(OrderLines[OrderID],OrderLines[[#This Row],[OrderID]],OrderLines[Category],"Hot Meal"),COUNTIFS(OrderLines[OrderID],OrderLines[[#This Row],[OrderID]],OrderLines[Category],"Beverage")),"Combo","Single")</f>
        <v>Combo</v>
      </c>
      <c r="O171" s="8" t="str" cm="1">
        <f t="array" ref="O171">IF(SUMPRODUCT(OrderLines[UnitPrice],OrderLines[Qty],OrderLines[DiscountPct],--(OrderLines[OrderID] = OrderLines[[#This Row],[OrderID]]))&gt;40,"High Discount","Ok")</f>
        <v>Ok</v>
      </c>
      <c r="P171">
        <f>OrderLines[[#This Row],[UnitCost]]*OrderLines[[#This Row],[Qty]]</f>
        <v>80.92</v>
      </c>
      <c r="Q171" s="8">
        <f>OrderLines[[#This Row],[LineNetAmount]]-OrderLines[[#This Row],[Food Cost]]</f>
        <v>56.695999999999984</v>
      </c>
    </row>
    <row r="172" spans="1:17" x14ac:dyDescent="0.3">
      <c r="A172" t="s">
        <v>106</v>
      </c>
      <c r="B172" t="s">
        <v>407</v>
      </c>
      <c r="C172">
        <v>3</v>
      </c>
      <c r="D172" cm="1">
        <f t="array" ref="D172">VLOOKUP(OrderLines[[#This Row],[SKU]:[SKU]],Menu[],MATCH(OrderLines[[#Headers],[UnitPrice]],Menu[#Headers],0),FALSE)</f>
        <v>246.09</v>
      </c>
      <c r="E172" cm="1">
        <f t="array" ref="E172">VLOOKUP(OrderLines[[#This Row],[SKU]:[SKU]],Menu[],MATCH(OrderLines[[#Headers],[UnitCost]],Menu[#Headers],0),FALSE)</f>
        <v>112.08</v>
      </c>
      <c r="F172" t="str" cm="1">
        <f t="array" ref="F172">VLOOKUP(OrderLines[[#This Row],[SKU]:[SKU]],Menu[],MATCH(OrderLines[[#Headers],[Category]],Menu[#Headers],0),FALSE)</f>
        <v>Hot Meal</v>
      </c>
      <c r="G172" t="str" cm="1">
        <f t="array" ref="G172">_xlfn.TEXTJOIN("+",TRUE,_xlfn._xlws.SORT(_xlfn.UNIQUE(_xlfn._xlws.FILTER(OrderLines[Category],OrderLines[OrderID]=OrderLines[[#This Row],[OrderID]]))))</f>
        <v>Hot Meal+Snack</v>
      </c>
      <c r="H172" s="2" cm="1">
        <f t="array" ref="H172">INT(VLOOKUP(OrderLines[[#This Row],[OrderID]:[OrderID]],Orders[],MATCH(OrderLines[[#Headers],[OrderDateTime]],Orders[#Headers],0),FALSE))</f>
        <v>45849</v>
      </c>
      <c r="I172" t="str" cm="1">
        <f t="array" ref="I172">VLOOKUP(OrderLines[[#This Row],[OrderID]:[OrderID]],Orders[],MATCH(OrderLines[[#Headers],[Branch]],Orders[#Headers],0),FALSE)</f>
        <v>Plant 2 Canteen</v>
      </c>
      <c r="J172" cm="1">
        <f t="array" ref="J172">VLOOKUP(OrderLines[[#This Row],[OrderID]:[OrderID]],Orders[],MATCH(OrderLines[[#Headers],[DiscountPct]],Orders[#Headers],0),FALSE)</f>
        <v>0</v>
      </c>
      <c r="K172" t="str" cm="1">
        <f t="array" ref="K172">VLOOKUP(OrderLines[[#This Row],[OrderID]:[OrderID]],Orders[],MATCH(OrderLines[[#Headers],[PaymentType]],Orders[#Headers],0),FALSE)</f>
        <v>Cash</v>
      </c>
      <c r="L172" t="str" cm="1">
        <f t="array" ref="L172">VLOOKUP(OrderLines[[#This Row],[OrderID]:[OrderID]],Orders[],MATCH(OrderLines[[#Headers],[Shift]],Orders[#Headers],0),FALSE)</f>
        <v>Lunch</v>
      </c>
      <c r="M172" s="8">
        <f>(OrderLines[[#This Row],[Qty]]*OrderLines[[#This Row],[UnitPrice]])*(1-OrderLines[[#This Row],[DiscountPct]])</f>
        <v>738.27</v>
      </c>
      <c r="N172" t="str">
        <f>IF(AND(COUNTIFS(OrderLines[OrderID],OrderLines[[#This Row],[OrderID]],OrderLines[Category],"Hot Meal"),COUNTIFS(OrderLines[OrderID],OrderLines[[#This Row],[OrderID]],OrderLines[Category],"Beverage")),"Combo","Single")</f>
        <v>Single</v>
      </c>
      <c r="O172" s="8" t="str" cm="1">
        <f t="array" ref="O172">IF(SUMPRODUCT(OrderLines[UnitPrice],OrderLines[Qty],OrderLines[DiscountPct],--(OrderLines[OrderID] = OrderLines[[#This Row],[OrderID]]))&gt;40,"High Discount","Ok")</f>
        <v>Ok</v>
      </c>
      <c r="P172">
        <f>OrderLines[[#This Row],[UnitCost]]*OrderLines[[#This Row],[Qty]]</f>
        <v>336.24</v>
      </c>
      <c r="Q172" s="8">
        <f>OrderLines[[#This Row],[LineNetAmount]]-OrderLines[[#This Row],[Food Cost]]</f>
        <v>402.03</v>
      </c>
    </row>
    <row r="173" spans="1:17" x14ac:dyDescent="0.3">
      <c r="A173" t="s">
        <v>106</v>
      </c>
      <c r="B173" t="s">
        <v>415</v>
      </c>
      <c r="C173">
        <v>2</v>
      </c>
      <c r="D173" cm="1">
        <f t="array" ref="D173">VLOOKUP(OrderLines[[#This Row],[SKU]:[SKU]],Menu[],MATCH(OrderLines[[#Headers],[UnitPrice]],Menu[#Headers],0),FALSE)</f>
        <v>256.91000000000003</v>
      </c>
      <c r="E173" cm="1">
        <f t="array" ref="E173">VLOOKUP(OrderLines[[#This Row],[SKU]:[SKU]],Menu[],MATCH(OrderLines[[#Headers],[UnitCost]],Menu[#Headers],0),FALSE)</f>
        <v>121.24</v>
      </c>
      <c r="F173" t="str" cm="1">
        <f t="array" ref="F173">VLOOKUP(OrderLines[[#This Row],[SKU]:[SKU]],Menu[],MATCH(OrderLines[[#Headers],[Category]],Menu[#Headers],0),FALSE)</f>
        <v>Hot Meal</v>
      </c>
      <c r="G173" t="str" cm="1">
        <f t="array" ref="G173">_xlfn.TEXTJOIN("+",TRUE,_xlfn._xlws.SORT(_xlfn.UNIQUE(_xlfn._xlws.FILTER(OrderLines[Category],OrderLines[OrderID]=OrderLines[[#This Row],[OrderID]]))))</f>
        <v>Hot Meal+Snack</v>
      </c>
      <c r="H173" s="2" cm="1">
        <f t="array" ref="H173">INT(VLOOKUP(OrderLines[[#This Row],[OrderID]:[OrderID]],Orders[],MATCH(OrderLines[[#Headers],[OrderDateTime]],Orders[#Headers],0),FALSE))</f>
        <v>45849</v>
      </c>
      <c r="I173" t="str" cm="1">
        <f t="array" ref="I173">VLOOKUP(OrderLines[[#This Row],[OrderID]:[OrderID]],Orders[],MATCH(OrderLines[[#Headers],[Branch]],Orders[#Headers],0),FALSE)</f>
        <v>Plant 2 Canteen</v>
      </c>
      <c r="J173" cm="1">
        <f t="array" ref="J173">VLOOKUP(OrderLines[[#This Row],[OrderID]:[OrderID]],Orders[],MATCH(OrderLines[[#Headers],[DiscountPct]],Orders[#Headers],0),FALSE)</f>
        <v>0</v>
      </c>
      <c r="K173" t="str" cm="1">
        <f t="array" ref="K173">VLOOKUP(OrderLines[[#This Row],[OrderID]:[OrderID]],Orders[],MATCH(OrderLines[[#Headers],[PaymentType]],Orders[#Headers],0),FALSE)</f>
        <v>Cash</v>
      </c>
      <c r="L173" t="str" cm="1">
        <f t="array" ref="L173">VLOOKUP(OrderLines[[#This Row],[OrderID]:[OrderID]],Orders[],MATCH(OrderLines[[#Headers],[Shift]],Orders[#Headers],0),FALSE)</f>
        <v>Lunch</v>
      </c>
      <c r="M173" s="8">
        <f>(OrderLines[[#This Row],[Qty]]*OrderLines[[#This Row],[UnitPrice]])*(1-OrderLines[[#This Row],[DiscountPct]])</f>
        <v>513.82000000000005</v>
      </c>
      <c r="N173" t="str">
        <f>IF(AND(COUNTIFS(OrderLines[OrderID],OrderLines[[#This Row],[OrderID]],OrderLines[Category],"Hot Meal"),COUNTIFS(OrderLines[OrderID],OrderLines[[#This Row],[OrderID]],OrderLines[Category],"Beverage")),"Combo","Single")</f>
        <v>Single</v>
      </c>
      <c r="O173" s="8" t="str" cm="1">
        <f t="array" ref="O173">IF(SUMPRODUCT(OrderLines[UnitPrice],OrderLines[Qty],OrderLines[DiscountPct],--(OrderLines[OrderID] = OrderLines[[#This Row],[OrderID]]))&gt;40,"High Discount","Ok")</f>
        <v>Ok</v>
      </c>
      <c r="P173">
        <f>OrderLines[[#This Row],[UnitCost]]*OrderLines[[#This Row],[Qty]]</f>
        <v>242.48</v>
      </c>
      <c r="Q173" s="8">
        <f>OrderLines[[#This Row],[LineNetAmount]]-OrderLines[[#This Row],[Food Cost]]</f>
        <v>271.34000000000003</v>
      </c>
    </row>
    <row r="174" spans="1:17" x14ac:dyDescent="0.3">
      <c r="A174" t="s">
        <v>106</v>
      </c>
      <c r="B174" t="s">
        <v>408</v>
      </c>
      <c r="C174">
        <v>2</v>
      </c>
      <c r="D174" cm="1">
        <f t="array" ref="D174">VLOOKUP(OrderLines[[#This Row],[SKU]:[SKU]],Menu[],MATCH(OrderLines[[#Headers],[UnitPrice]],Menu[#Headers],0),FALSE)</f>
        <v>70.540000000000006</v>
      </c>
      <c r="E174" cm="1">
        <f t="array" ref="E174">VLOOKUP(OrderLines[[#This Row],[SKU]:[SKU]],Menu[],MATCH(OrderLines[[#Headers],[UnitCost]],Menu[#Headers],0),FALSE)</f>
        <v>35.81</v>
      </c>
      <c r="F174" t="str" cm="1">
        <f t="array" ref="F174">VLOOKUP(OrderLines[[#This Row],[SKU]:[SKU]],Menu[],MATCH(OrderLines[[#Headers],[Category]],Menu[#Headers],0),FALSE)</f>
        <v>Snack</v>
      </c>
      <c r="G174" t="str" cm="1">
        <f t="array" ref="G174">_xlfn.TEXTJOIN("+",TRUE,_xlfn._xlws.SORT(_xlfn.UNIQUE(_xlfn._xlws.FILTER(OrderLines[Category],OrderLines[OrderID]=OrderLines[[#This Row],[OrderID]]))))</f>
        <v>Hot Meal+Snack</v>
      </c>
      <c r="H174" s="2" cm="1">
        <f t="array" ref="H174">INT(VLOOKUP(OrderLines[[#This Row],[OrderID]:[OrderID]],Orders[],MATCH(OrderLines[[#Headers],[OrderDateTime]],Orders[#Headers],0),FALSE))</f>
        <v>45849</v>
      </c>
      <c r="I174" t="str" cm="1">
        <f t="array" ref="I174">VLOOKUP(OrderLines[[#This Row],[OrderID]:[OrderID]],Orders[],MATCH(OrderLines[[#Headers],[Branch]],Orders[#Headers],0),FALSE)</f>
        <v>Plant 2 Canteen</v>
      </c>
      <c r="J174" cm="1">
        <f t="array" ref="J174">VLOOKUP(OrderLines[[#This Row],[OrderID]:[OrderID]],Orders[],MATCH(OrderLines[[#Headers],[DiscountPct]],Orders[#Headers],0),FALSE)</f>
        <v>0</v>
      </c>
      <c r="K174" t="str" cm="1">
        <f t="array" ref="K174">VLOOKUP(OrderLines[[#This Row],[OrderID]:[OrderID]],Orders[],MATCH(OrderLines[[#Headers],[PaymentType]],Orders[#Headers],0),FALSE)</f>
        <v>Cash</v>
      </c>
      <c r="L174" t="str" cm="1">
        <f t="array" ref="L174">VLOOKUP(OrderLines[[#This Row],[OrderID]:[OrderID]],Orders[],MATCH(OrderLines[[#Headers],[Shift]],Orders[#Headers],0),FALSE)</f>
        <v>Lunch</v>
      </c>
      <c r="M174" s="8">
        <f>(OrderLines[[#This Row],[Qty]]*OrderLines[[#This Row],[UnitPrice]])*(1-OrderLines[[#This Row],[DiscountPct]])</f>
        <v>141.08000000000001</v>
      </c>
      <c r="N174" t="str">
        <f>IF(AND(COUNTIFS(OrderLines[OrderID],OrderLines[[#This Row],[OrderID]],OrderLines[Category],"Hot Meal"),COUNTIFS(OrderLines[OrderID],OrderLines[[#This Row],[OrderID]],OrderLines[Category],"Beverage")),"Combo","Single")</f>
        <v>Single</v>
      </c>
      <c r="O174" s="8" t="str" cm="1">
        <f t="array" ref="O174">IF(SUMPRODUCT(OrderLines[UnitPrice],OrderLines[Qty],OrderLines[DiscountPct],--(OrderLines[OrderID] = OrderLines[[#This Row],[OrderID]]))&gt;40,"High Discount","Ok")</f>
        <v>Ok</v>
      </c>
      <c r="P174">
        <f>OrderLines[[#This Row],[UnitCost]]*OrderLines[[#This Row],[Qty]]</f>
        <v>71.62</v>
      </c>
      <c r="Q174" s="8">
        <f>OrderLines[[#This Row],[LineNetAmount]]-OrderLines[[#This Row],[Food Cost]]</f>
        <v>69.460000000000008</v>
      </c>
    </row>
    <row r="175" spans="1:17" x14ac:dyDescent="0.3">
      <c r="A175" t="s">
        <v>106</v>
      </c>
      <c r="B175" t="s">
        <v>417</v>
      </c>
      <c r="C175">
        <v>1</v>
      </c>
      <c r="D175" cm="1">
        <f t="array" ref="D175">VLOOKUP(OrderLines[[#This Row],[SKU]:[SKU]],Menu[],MATCH(OrderLines[[#Headers],[UnitPrice]],Menu[#Headers],0),FALSE)</f>
        <v>146.4</v>
      </c>
      <c r="E175" cm="1">
        <f t="array" ref="E175">VLOOKUP(OrderLines[[#This Row],[SKU]:[SKU]],Menu[],MATCH(OrderLines[[#Headers],[UnitCost]],Menu[#Headers],0),FALSE)</f>
        <v>80.92</v>
      </c>
      <c r="F175" t="str" cm="1">
        <f t="array" ref="F175">VLOOKUP(OrderLines[[#This Row],[SKU]:[SKU]],Menu[],MATCH(OrderLines[[#Headers],[Category]],Menu[#Headers],0),FALSE)</f>
        <v>Hot Meal</v>
      </c>
      <c r="G175" t="str" cm="1">
        <f t="array" ref="G175">_xlfn.TEXTJOIN("+",TRUE,_xlfn._xlws.SORT(_xlfn.UNIQUE(_xlfn._xlws.FILTER(OrderLines[Category],OrderLines[OrderID]=OrderLines[[#This Row],[OrderID]]))))</f>
        <v>Hot Meal+Snack</v>
      </c>
      <c r="H175" s="2" cm="1">
        <f t="array" ref="H175">INT(VLOOKUP(OrderLines[[#This Row],[OrderID]:[OrderID]],Orders[],MATCH(OrderLines[[#Headers],[OrderDateTime]],Orders[#Headers],0),FALSE))</f>
        <v>45849</v>
      </c>
      <c r="I175" t="str" cm="1">
        <f t="array" ref="I175">VLOOKUP(OrderLines[[#This Row],[OrderID]:[OrderID]],Orders[],MATCH(OrderLines[[#Headers],[Branch]],Orders[#Headers],0),FALSE)</f>
        <v>Plant 2 Canteen</v>
      </c>
      <c r="J175" cm="1">
        <f t="array" ref="J175">VLOOKUP(OrderLines[[#This Row],[OrderID]:[OrderID]],Orders[],MATCH(OrderLines[[#Headers],[DiscountPct]],Orders[#Headers],0),FALSE)</f>
        <v>0</v>
      </c>
      <c r="K175" t="str" cm="1">
        <f t="array" ref="K175">VLOOKUP(OrderLines[[#This Row],[OrderID]:[OrderID]],Orders[],MATCH(OrderLines[[#Headers],[PaymentType]],Orders[#Headers],0),FALSE)</f>
        <v>Cash</v>
      </c>
      <c r="L175" t="str" cm="1">
        <f t="array" ref="L175">VLOOKUP(OrderLines[[#This Row],[OrderID]:[OrderID]],Orders[],MATCH(OrderLines[[#Headers],[Shift]],Orders[#Headers],0),FALSE)</f>
        <v>Lunch</v>
      </c>
      <c r="M175" s="8">
        <f>(OrderLines[[#This Row],[Qty]]*OrderLines[[#This Row],[UnitPrice]])*(1-OrderLines[[#This Row],[DiscountPct]])</f>
        <v>146.4</v>
      </c>
      <c r="N175" t="str">
        <f>IF(AND(COUNTIFS(OrderLines[OrderID],OrderLines[[#This Row],[OrderID]],OrderLines[Category],"Hot Meal"),COUNTIFS(OrderLines[OrderID],OrderLines[[#This Row],[OrderID]],OrderLines[Category],"Beverage")),"Combo","Single")</f>
        <v>Single</v>
      </c>
      <c r="O175" s="8" t="str" cm="1">
        <f t="array" ref="O175">IF(SUMPRODUCT(OrderLines[UnitPrice],OrderLines[Qty],OrderLines[DiscountPct],--(OrderLines[OrderID] = OrderLines[[#This Row],[OrderID]]))&gt;40,"High Discount","Ok")</f>
        <v>Ok</v>
      </c>
      <c r="P175">
        <f>OrderLines[[#This Row],[UnitCost]]*OrderLines[[#This Row],[Qty]]</f>
        <v>80.92</v>
      </c>
      <c r="Q175" s="8">
        <f>OrderLines[[#This Row],[LineNetAmount]]-OrderLines[[#This Row],[Food Cost]]</f>
        <v>65.48</v>
      </c>
    </row>
    <row r="176" spans="1:17" x14ac:dyDescent="0.3">
      <c r="A176" t="s">
        <v>107</v>
      </c>
      <c r="B176" t="s">
        <v>410</v>
      </c>
      <c r="C176">
        <v>3</v>
      </c>
      <c r="D176" cm="1">
        <f t="array" ref="D176">VLOOKUP(OrderLines[[#This Row],[SKU]:[SKU]],Menu[],MATCH(OrderLines[[#Headers],[UnitPrice]],Menu[#Headers],0),FALSE)</f>
        <v>20.11</v>
      </c>
      <c r="E176" cm="1">
        <f t="array" ref="E176">VLOOKUP(OrderLines[[#This Row],[SKU]:[SKU]],Menu[],MATCH(OrderLines[[#Headers],[UnitCost]],Menu[#Headers],0),FALSE)</f>
        <v>8</v>
      </c>
      <c r="F176" t="str" cm="1">
        <f t="array" ref="F176">VLOOKUP(OrderLines[[#This Row],[SKU]:[SKU]],Menu[],MATCH(OrderLines[[#Headers],[Category]],Menu[#Headers],0),FALSE)</f>
        <v>Beverage</v>
      </c>
      <c r="G176" t="str" cm="1">
        <f t="array" ref="G176">_xlfn.TEXTJOIN("+",TRUE,_xlfn._xlws.SORT(_xlfn.UNIQUE(_xlfn._xlws.FILTER(OrderLines[Category],OrderLines[OrderID]=OrderLines[[#This Row],[OrderID]]))))</f>
        <v>Beverage</v>
      </c>
      <c r="H176" s="2" cm="1">
        <f t="array" ref="H176">INT(VLOOKUP(OrderLines[[#This Row],[OrderID]:[OrderID]],Orders[],MATCH(OrderLines[[#Headers],[OrderDateTime]],Orders[#Headers],0),FALSE))</f>
        <v>45884</v>
      </c>
      <c r="I176" t="str" cm="1">
        <f t="array" ref="I176">VLOOKUP(OrderLines[[#This Row],[OrderID]:[OrderID]],Orders[],MATCH(OrderLines[[#Headers],[Branch]],Orders[#Headers],0),FALSE)</f>
        <v>Plant 1 Canteen</v>
      </c>
      <c r="J176" cm="1">
        <f t="array" ref="J176">VLOOKUP(OrderLines[[#This Row],[OrderID]:[OrderID]],Orders[],MATCH(OrderLines[[#Headers],[DiscountPct]],Orders[#Headers],0),FALSE)</f>
        <v>0.06</v>
      </c>
      <c r="K176" t="str" cm="1">
        <f t="array" ref="K176">VLOOKUP(OrderLines[[#This Row],[OrderID]:[OrderID]],Orders[],MATCH(OrderLines[[#Headers],[PaymentType]],Orders[#Headers],0),FALSE)</f>
        <v>Cash</v>
      </c>
      <c r="L176" t="str" cm="1">
        <f t="array" ref="L176">VLOOKUP(OrderLines[[#This Row],[OrderID]:[OrderID]],Orders[],MATCH(OrderLines[[#Headers],[Shift]],Orders[#Headers],0),FALSE)</f>
        <v>Breakfast</v>
      </c>
      <c r="M176" s="8">
        <f>(OrderLines[[#This Row],[Qty]]*OrderLines[[#This Row],[UnitPrice]])*(1-OrderLines[[#This Row],[DiscountPct]])</f>
        <v>56.710199999999993</v>
      </c>
      <c r="N176" t="str">
        <f>IF(AND(COUNTIFS(OrderLines[OrderID],OrderLines[[#This Row],[OrderID]],OrderLines[Category],"Hot Meal"),COUNTIFS(OrderLines[OrderID],OrderLines[[#This Row],[OrderID]],OrderLines[Category],"Beverage")),"Combo","Single")</f>
        <v>Single</v>
      </c>
      <c r="O176" s="8" t="str" cm="1">
        <f t="array" ref="O176">IF(SUMPRODUCT(OrderLines[UnitPrice],OrderLines[Qty],OrderLines[DiscountPct],--(OrderLines[OrderID] = OrderLines[[#This Row],[OrderID]]))&gt;40,"High Discount","Ok")</f>
        <v>Ok</v>
      </c>
      <c r="P176">
        <f>OrderLines[[#This Row],[UnitCost]]*OrderLines[[#This Row],[Qty]]</f>
        <v>24</v>
      </c>
      <c r="Q176" s="8">
        <f>OrderLines[[#This Row],[LineNetAmount]]-OrderLines[[#This Row],[Food Cost]]</f>
        <v>32.710199999999993</v>
      </c>
    </row>
    <row r="177" spans="1:17" x14ac:dyDescent="0.3">
      <c r="A177" t="s">
        <v>108</v>
      </c>
      <c r="B177" t="s">
        <v>405</v>
      </c>
      <c r="C177">
        <v>1</v>
      </c>
      <c r="D177" cm="1">
        <f t="array" ref="D177">VLOOKUP(OrderLines[[#This Row],[SKU]:[SKU]],Menu[],MATCH(OrderLines[[#Headers],[UnitPrice]],Menu[#Headers],0),FALSE)</f>
        <v>170.83</v>
      </c>
      <c r="E177" cm="1">
        <f t="array" ref="E177">VLOOKUP(OrderLines[[#This Row],[SKU]:[SKU]],Menu[],MATCH(OrderLines[[#Headers],[UnitCost]],Menu[#Headers],0),FALSE)</f>
        <v>74.069999999999993</v>
      </c>
      <c r="F177" t="str" cm="1">
        <f t="array" ref="F177">VLOOKUP(OrderLines[[#This Row],[SKU]:[SKU]],Menu[],MATCH(OrderLines[[#Headers],[Category]],Menu[#Headers],0),FALSE)</f>
        <v>Hot Meal</v>
      </c>
      <c r="G177" t="str" cm="1">
        <f t="array" ref="G177">_xlfn.TEXTJOIN("+",TRUE,_xlfn._xlws.SORT(_xlfn.UNIQUE(_xlfn._xlws.FILTER(OrderLines[Category],OrderLines[OrderID]=OrderLines[[#This Row],[OrderID]]))))</f>
        <v>Dessert+Hot Meal</v>
      </c>
      <c r="H177" s="2" cm="1">
        <f t="array" ref="H177">INT(VLOOKUP(OrderLines[[#This Row],[OrderID]:[OrderID]],Orders[],MATCH(OrderLines[[#Headers],[OrderDateTime]],Orders[#Headers],0),FALSE))</f>
        <v>45883</v>
      </c>
      <c r="I177" t="str" cm="1">
        <f t="array" ref="I177">VLOOKUP(OrderLines[[#This Row],[OrderID]:[OrderID]],Orders[],MATCH(OrderLines[[#Headers],[Branch]],Orders[#Headers],0),FALSE)</f>
        <v>Plant 1 Canteen</v>
      </c>
      <c r="J177" cm="1">
        <f t="array" ref="J177">VLOOKUP(OrderLines[[#This Row],[OrderID]:[OrderID]],Orders[],MATCH(OrderLines[[#Headers],[DiscountPct]],Orders[#Headers],0),FALSE)</f>
        <v>0.06</v>
      </c>
      <c r="K177" t="str" cm="1">
        <f t="array" ref="K177">VLOOKUP(OrderLines[[#This Row],[OrderID]:[OrderID]],Orders[],MATCH(OrderLines[[#Headers],[PaymentType]],Orders[#Headers],0),FALSE)</f>
        <v>UPI</v>
      </c>
      <c r="L177" t="str" cm="1">
        <f t="array" ref="L177">VLOOKUP(OrderLines[[#This Row],[OrderID]:[OrderID]],Orders[],MATCH(OrderLines[[#Headers],[Shift]],Orders[#Headers],0),FALSE)</f>
        <v>Lunch</v>
      </c>
      <c r="M177" s="8">
        <f>(OrderLines[[#This Row],[Qty]]*OrderLines[[#This Row],[UnitPrice]])*(1-OrderLines[[#This Row],[DiscountPct]])</f>
        <v>160.58019999999999</v>
      </c>
      <c r="N177" t="str">
        <f>IF(AND(COUNTIFS(OrderLines[OrderID],OrderLines[[#This Row],[OrderID]],OrderLines[Category],"Hot Meal"),COUNTIFS(OrderLines[OrderID],OrderLines[[#This Row],[OrderID]],OrderLines[Category],"Beverage")),"Combo","Single")</f>
        <v>Single</v>
      </c>
      <c r="O177" s="8" t="str" cm="1">
        <f t="array" ref="O177">IF(SUMPRODUCT(OrderLines[UnitPrice],OrderLines[Qty],OrderLines[DiscountPct],--(OrderLines[OrderID] = OrderLines[[#This Row],[OrderID]]))&gt;40,"High Discount","Ok")</f>
        <v>Ok</v>
      </c>
      <c r="P177">
        <f>OrderLines[[#This Row],[UnitCost]]*OrderLines[[#This Row],[Qty]]</f>
        <v>74.069999999999993</v>
      </c>
      <c r="Q177" s="8">
        <f>OrderLines[[#This Row],[LineNetAmount]]-OrderLines[[#This Row],[Food Cost]]</f>
        <v>86.510199999999998</v>
      </c>
    </row>
    <row r="178" spans="1:17" x14ac:dyDescent="0.3">
      <c r="A178" t="s">
        <v>108</v>
      </c>
      <c r="B178" t="s">
        <v>403</v>
      </c>
      <c r="C178">
        <v>2</v>
      </c>
      <c r="D178" cm="1">
        <f t="array" ref="D178">VLOOKUP(OrderLines[[#This Row],[SKU]:[SKU]],Menu[],MATCH(OrderLines[[#Headers],[UnitPrice]],Menu[#Headers],0),FALSE)</f>
        <v>76.55</v>
      </c>
      <c r="E178" cm="1">
        <f t="array" ref="E178">VLOOKUP(OrderLines[[#This Row],[SKU]:[SKU]],Menu[],MATCH(OrderLines[[#Headers],[UnitCost]],Menu[#Headers],0),FALSE)</f>
        <v>38.229999999999997</v>
      </c>
      <c r="F178" t="str" cm="1">
        <f t="array" ref="F178">VLOOKUP(OrderLines[[#This Row],[SKU]:[SKU]],Menu[],MATCH(OrderLines[[#Headers],[Category]],Menu[#Headers],0),FALSE)</f>
        <v>Dessert</v>
      </c>
      <c r="G178" t="str" cm="1">
        <f t="array" ref="G178">_xlfn.TEXTJOIN("+",TRUE,_xlfn._xlws.SORT(_xlfn.UNIQUE(_xlfn._xlws.FILTER(OrderLines[Category],OrderLines[OrderID]=OrderLines[[#This Row],[OrderID]]))))</f>
        <v>Dessert+Hot Meal</v>
      </c>
      <c r="H178" s="2" cm="1">
        <f t="array" ref="H178">INT(VLOOKUP(OrderLines[[#This Row],[OrderID]:[OrderID]],Orders[],MATCH(OrderLines[[#Headers],[OrderDateTime]],Orders[#Headers],0),FALSE))</f>
        <v>45883</v>
      </c>
      <c r="I178" t="str" cm="1">
        <f t="array" ref="I178">VLOOKUP(OrderLines[[#This Row],[OrderID]:[OrderID]],Orders[],MATCH(OrderLines[[#Headers],[Branch]],Orders[#Headers],0),FALSE)</f>
        <v>Plant 1 Canteen</v>
      </c>
      <c r="J178" cm="1">
        <f t="array" ref="J178">VLOOKUP(OrderLines[[#This Row],[OrderID]:[OrderID]],Orders[],MATCH(OrderLines[[#Headers],[DiscountPct]],Orders[#Headers],0),FALSE)</f>
        <v>0.06</v>
      </c>
      <c r="K178" t="str" cm="1">
        <f t="array" ref="K178">VLOOKUP(OrderLines[[#This Row],[OrderID]:[OrderID]],Orders[],MATCH(OrderLines[[#Headers],[PaymentType]],Orders[#Headers],0),FALSE)</f>
        <v>UPI</v>
      </c>
      <c r="L178" t="str" cm="1">
        <f t="array" ref="L178">VLOOKUP(OrderLines[[#This Row],[OrderID]:[OrderID]],Orders[],MATCH(OrderLines[[#Headers],[Shift]],Orders[#Headers],0),FALSE)</f>
        <v>Lunch</v>
      </c>
      <c r="M178" s="8">
        <f>(OrderLines[[#This Row],[Qty]]*OrderLines[[#This Row],[UnitPrice]])*(1-OrderLines[[#This Row],[DiscountPct]])</f>
        <v>143.91399999999999</v>
      </c>
      <c r="N178" t="str">
        <f>IF(AND(COUNTIFS(OrderLines[OrderID],OrderLines[[#This Row],[OrderID]],OrderLines[Category],"Hot Meal"),COUNTIFS(OrderLines[OrderID],OrderLines[[#This Row],[OrderID]],OrderLines[Category],"Beverage")),"Combo","Single")</f>
        <v>Single</v>
      </c>
      <c r="O178" s="8" t="str" cm="1">
        <f t="array" ref="O178">IF(SUMPRODUCT(OrderLines[UnitPrice],OrderLines[Qty],OrderLines[DiscountPct],--(OrderLines[OrderID] = OrderLines[[#This Row],[OrderID]]))&gt;40,"High Discount","Ok")</f>
        <v>Ok</v>
      </c>
      <c r="P178">
        <f>OrderLines[[#This Row],[UnitCost]]*OrderLines[[#This Row],[Qty]]</f>
        <v>76.459999999999994</v>
      </c>
      <c r="Q178" s="8">
        <f>OrderLines[[#This Row],[LineNetAmount]]-OrderLines[[#This Row],[Food Cost]]</f>
        <v>67.453999999999994</v>
      </c>
    </row>
    <row r="179" spans="1:17" x14ac:dyDescent="0.3">
      <c r="A179" t="s">
        <v>109</v>
      </c>
      <c r="B179" t="s">
        <v>405</v>
      </c>
      <c r="C179">
        <v>2</v>
      </c>
      <c r="D179" cm="1">
        <f t="array" ref="D179">VLOOKUP(OrderLines[[#This Row],[SKU]:[SKU]],Menu[],MATCH(OrderLines[[#Headers],[UnitPrice]],Menu[#Headers],0),FALSE)</f>
        <v>170.83</v>
      </c>
      <c r="E179" cm="1">
        <f t="array" ref="E179">VLOOKUP(OrderLines[[#This Row],[SKU]:[SKU]],Menu[],MATCH(OrderLines[[#Headers],[UnitCost]],Menu[#Headers],0),FALSE)</f>
        <v>74.069999999999993</v>
      </c>
      <c r="F179" t="str" cm="1">
        <f t="array" ref="F179">VLOOKUP(OrderLines[[#This Row],[SKU]:[SKU]],Menu[],MATCH(OrderLines[[#Headers],[Category]],Menu[#Headers],0),FALSE)</f>
        <v>Hot Meal</v>
      </c>
      <c r="G179" t="str" cm="1">
        <f t="array" ref="G179">_xlfn.TEXTJOIN("+",TRUE,_xlfn._xlws.SORT(_xlfn.UNIQUE(_xlfn._xlws.FILTER(OrderLines[Category],OrderLines[OrderID]=OrderLines[[#This Row],[OrderID]]))))</f>
        <v>Beverage+Hot Meal</v>
      </c>
      <c r="H179" s="2" cm="1">
        <f t="array" ref="H179">INT(VLOOKUP(OrderLines[[#This Row],[OrderID]:[OrderID]],Orders[],MATCH(OrderLines[[#Headers],[OrderDateTime]],Orders[#Headers],0),FALSE))</f>
        <v>45893</v>
      </c>
      <c r="I179" t="str" cm="1">
        <f t="array" ref="I179">VLOOKUP(OrderLines[[#This Row],[OrderID]:[OrderID]],Orders[],MATCH(OrderLines[[#Headers],[Branch]],Orders[#Headers],0),FALSE)</f>
        <v>Head Office Café</v>
      </c>
      <c r="J179" cm="1">
        <f t="array" ref="J179">VLOOKUP(OrderLines[[#This Row],[OrderID]:[OrderID]],Orders[],MATCH(OrderLines[[#Headers],[DiscountPct]],Orders[#Headers],0),FALSE)</f>
        <v>0.16</v>
      </c>
      <c r="K179" t="str" cm="1">
        <f t="array" ref="K179">VLOOKUP(OrderLines[[#This Row],[OrderID]:[OrderID]],Orders[],MATCH(OrderLines[[#Headers],[PaymentType]],Orders[#Headers],0),FALSE)</f>
        <v>Card</v>
      </c>
      <c r="L179" t="str" cm="1">
        <f t="array" ref="L179">VLOOKUP(OrderLines[[#This Row],[OrderID]:[OrderID]],Orders[],MATCH(OrderLines[[#Headers],[Shift]],Orders[#Headers],0),FALSE)</f>
        <v>Lunch</v>
      </c>
      <c r="M179" s="8">
        <f>(OrderLines[[#This Row],[Qty]]*OrderLines[[#This Row],[UnitPrice]])*(1-OrderLines[[#This Row],[DiscountPct]])</f>
        <v>286.99439999999998</v>
      </c>
      <c r="N179" t="str">
        <f>IF(AND(COUNTIFS(OrderLines[OrderID],OrderLines[[#This Row],[OrderID]],OrderLines[Category],"Hot Meal"),COUNTIFS(OrderLines[OrderID],OrderLines[[#This Row],[OrderID]],OrderLines[Category],"Beverage")),"Combo","Single")</f>
        <v>Combo</v>
      </c>
      <c r="O179" s="8" t="str" cm="1">
        <f t="array" ref="O179">IF(SUMPRODUCT(OrderLines[UnitPrice],OrderLines[Qty],OrderLines[DiscountPct],--(OrderLines[OrderID] = OrderLines[[#This Row],[OrderID]]))&gt;40,"High Discount","Ok")</f>
        <v>High Discount</v>
      </c>
      <c r="P179">
        <f>OrderLines[[#This Row],[UnitCost]]*OrderLines[[#This Row],[Qty]]</f>
        <v>148.13999999999999</v>
      </c>
      <c r="Q179" s="8">
        <f>OrderLines[[#This Row],[LineNetAmount]]-OrderLines[[#This Row],[Food Cost]]</f>
        <v>138.8544</v>
      </c>
    </row>
    <row r="180" spans="1:17" x14ac:dyDescent="0.3">
      <c r="A180" t="s">
        <v>109</v>
      </c>
      <c r="B180" t="s">
        <v>402</v>
      </c>
      <c r="C180">
        <v>1</v>
      </c>
      <c r="D180" cm="1">
        <f t="array" ref="D180">VLOOKUP(OrderLines[[#This Row],[SKU]:[SKU]],Menu[],MATCH(OrderLines[[#Headers],[UnitPrice]],Menu[#Headers],0),FALSE)</f>
        <v>30.34</v>
      </c>
      <c r="E180" cm="1">
        <f t="array" ref="E180">VLOOKUP(OrderLines[[#This Row],[SKU]:[SKU]],Menu[],MATCH(OrderLines[[#Headers],[UnitCost]],Menu[#Headers],0),FALSE)</f>
        <v>14.18</v>
      </c>
      <c r="F180" t="str" cm="1">
        <f t="array" ref="F180">VLOOKUP(OrderLines[[#This Row],[SKU]:[SKU]],Menu[],MATCH(OrderLines[[#Headers],[Category]],Menu[#Headers],0),FALSE)</f>
        <v>Beverage</v>
      </c>
      <c r="G180" t="str" cm="1">
        <f t="array" ref="G180">_xlfn.TEXTJOIN("+",TRUE,_xlfn._xlws.SORT(_xlfn.UNIQUE(_xlfn._xlws.FILTER(OrderLines[Category],OrderLines[OrderID]=OrderLines[[#This Row],[OrderID]]))))</f>
        <v>Beverage+Hot Meal</v>
      </c>
      <c r="H180" s="2" cm="1">
        <f t="array" ref="H180">INT(VLOOKUP(OrderLines[[#This Row],[OrderID]:[OrderID]],Orders[],MATCH(OrderLines[[#Headers],[OrderDateTime]],Orders[#Headers],0),FALSE))</f>
        <v>45893</v>
      </c>
      <c r="I180" t="str" cm="1">
        <f t="array" ref="I180">VLOOKUP(OrderLines[[#This Row],[OrderID]:[OrderID]],Orders[],MATCH(OrderLines[[#Headers],[Branch]],Orders[#Headers],0),FALSE)</f>
        <v>Head Office Café</v>
      </c>
      <c r="J180" cm="1">
        <f t="array" ref="J180">VLOOKUP(OrderLines[[#This Row],[OrderID]:[OrderID]],Orders[],MATCH(OrderLines[[#Headers],[DiscountPct]],Orders[#Headers],0),FALSE)</f>
        <v>0.16</v>
      </c>
      <c r="K180" t="str" cm="1">
        <f t="array" ref="K180">VLOOKUP(OrderLines[[#This Row],[OrderID]:[OrderID]],Orders[],MATCH(OrderLines[[#Headers],[PaymentType]],Orders[#Headers],0),FALSE)</f>
        <v>Card</v>
      </c>
      <c r="L180" t="str" cm="1">
        <f t="array" ref="L180">VLOOKUP(OrderLines[[#This Row],[OrderID]:[OrderID]],Orders[],MATCH(OrderLines[[#Headers],[Shift]],Orders[#Headers],0),FALSE)</f>
        <v>Lunch</v>
      </c>
      <c r="M180" s="8">
        <f>(OrderLines[[#This Row],[Qty]]*OrderLines[[#This Row],[UnitPrice]])*(1-OrderLines[[#This Row],[DiscountPct]])</f>
        <v>25.485599999999998</v>
      </c>
      <c r="N180" t="str">
        <f>IF(AND(COUNTIFS(OrderLines[OrderID],OrderLines[[#This Row],[OrderID]],OrderLines[Category],"Hot Meal"),COUNTIFS(OrderLines[OrderID],OrderLines[[#This Row],[OrderID]],OrderLines[Category],"Beverage")),"Combo","Single")</f>
        <v>Combo</v>
      </c>
      <c r="O180" s="8" t="str" cm="1">
        <f t="array" ref="O180">IF(SUMPRODUCT(OrderLines[UnitPrice],OrderLines[Qty],OrderLines[DiscountPct],--(OrderLines[OrderID] = OrderLines[[#This Row],[OrderID]]))&gt;40,"High Discount","Ok")</f>
        <v>High Discount</v>
      </c>
      <c r="P180">
        <f>OrderLines[[#This Row],[UnitCost]]*OrderLines[[#This Row],[Qty]]</f>
        <v>14.18</v>
      </c>
      <c r="Q180" s="8">
        <f>OrderLines[[#This Row],[LineNetAmount]]-OrderLines[[#This Row],[Food Cost]]</f>
        <v>11.305599999999998</v>
      </c>
    </row>
    <row r="181" spans="1:17" x14ac:dyDescent="0.3">
      <c r="A181" t="s">
        <v>109</v>
      </c>
      <c r="B181" t="s">
        <v>409</v>
      </c>
      <c r="C181">
        <v>1</v>
      </c>
      <c r="D181" cm="1">
        <f t="array" ref="D181">VLOOKUP(OrderLines[[#This Row],[SKU]:[SKU]],Menu[],MATCH(OrderLines[[#Headers],[UnitPrice]],Menu[#Headers],0),FALSE)</f>
        <v>28.43</v>
      </c>
      <c r="E181" cm="1">
        <f t="array" ref="E181">VLOOKUP(OrderLines[[#This Row],[SKU]:[SKU]],Menu[],MATCH(OrderLines[[#Headers],[UnitCost]],Menu[#Headers],0),FALSE)</f>
        <v>13.89</v>
      </c>
      <c r="F181" t="str" cm="1">
        <f t="array" ref="F181">VLOOKUP(OrderLines[[#This Row],[SKU]:[SKU]],Menu[],MATCH(OrderLines[[#Headers],[Category]],Menu[#Headers],0),FALSE)</f>
        <v>Beverage</v>
      </c>
      <c r="G181" t="str" cm="1">
        <f t="array" ref="G181">_xlfn.TEXTJOIN("+",TRUE,_xlfn._xlws.SORT(_xlfn.UNIQUE(_xlfn._xlws.FILTER(OrderLines[Category],OrderLines[OrderID]=OrderLines[[#This Row],[OrderID]]))))</f>
        <v>Beverage+Hot Meal</v>
      </c>
      <c r="H181" s="2" cm="1">
        <f t="array" ref="H181">INT(VLOOKUP(OrderLines[[#This Row],[OrderID]:[OrderID]],Orders[],MATCH(OrderLines[[#Headers],[OrderDateTime]],Orders[#Headers],0),FALSE))</f>
        <v>45893</v>
      </c>
      <c r="I181" t="str" cm="1">
        <f t="array" ref="I181">VLOOKUP(OrderLines[[#This Row],[OrderID]:[OrderID]],Orders[],MATCH(OrderLines[[#Headers],[Branch]],Orders[#Headers],0),FALSE)</f>
        <v>Head Office Café</v>
      </c>
      <c r="J181" cm="1">
        <f t="array" ref="J181">VLOOKUP(OrderLines[[#This Row],[OrderID]:[OrderID]],Orders[],MATCH(OrderLines[[#Headers],[DiscountPct]],Orders[#Headers],0),FALSE)</f>
        <v>0.16</v>
      </c>
      <c r="K181" t="str" cm="1">
        <f t="array" ref="K181">VLOOKUP(OrderLines[[#This Row],[OrderID]:[OrderID]],Orders[],MATCH(OrderLines[[#Headers],[PaymentType]],Orders[#Headers],0),FALSE)</f>
        <v>Card</v>
      </c>
      <c r="L181" t="str" cm="1">
        <f t="array" ref="L181">VLOOKUP(OrderLines[[#This Row],[OrderID]:[OrderID]],Orders[],MATCH(OrderLines[[#Headers],[Shift]],Orders[#Headers],0),FALSE)</f>
        <v>Lunch</v>
      </c>
      <c r="M181" s="8">
        <f>(OrderLines[[#This Row],[Qty]]*OrderLines[[#This Row],[UnitPrice]])*(1-OrderLines[[#This Row],[DiscountPct]])</f>
        <v>23.8812</v>
      </c>
      <c r="N181" t="str">
        <f>IF(AND(COUNTIFS(OrderLines[OrderID],OrderLines[[#This Row],[OrderID]],OrderLines[Category],"Hot Meal"),COUNTIFS(OrderLines[OrderID],OrderLines[[#This Row],[OrderID]],OrderLines[Category],"Beverage")),"Combo","Single")</f>
        <v>Combo</v>
      </c>
      <c r="O181" s="8" t="str" cm="1">
        <f t="array" ref="O181">IF(SUMPRODUCT(OrderLines[UnitPrice],OrderLines[Qty],OrderLines[DiscountPct],--(OrderLines[OrderID] = OrderLines[[#This Row],[OrderID]]))&gt;40,"High Discount","Ok")</f>
        <v>High Discount</v>
      </c>
      <c r="P181">
        <f>OrderLines[[#This Row],[UnitCost]]*OrderLines[[#This Row],[Qty]]</f>
        <v>13.89</v>
      </c>
      <c r="Q181" s="8">
        <f>OrderLines[[#This Row],[LineNetAmount]]-OrderLines[[#This Row],[Food Cost]]</f>
        <v>9.9911999999999992</v>
      </c>
    </row>
    <row r="182" spans="1:17" x14ac:dyDescent="0.3">
      <c r="A182" t="s">
        <v>110</v>
      </c>
      <c r="B182" t="s">
        <v>419</v>
      </c>
      <c r="C182">
        <v>2</v>
      </c>
      <c r="D182" cm="1">
        <f t="array" ref="D182">VLOOKUP(OrderLines[[#This Row],[SKU]:[SKU]],Menu[],MATCH(OrderLines[[#Headers],[UnitPrice]],Menu[#Headers],0),FALSE)</f>
        <v>50.19</v>
      </c>
      <c r="E182" cm="1">
        <f t="array" ref="E182">VLOOKUP(OrderLines[[#This Row],[SKU]:[SKU]],Menu[],MATCH(OrderLines[[#Headers],[UnitCost]],Menu[#Headers],0),FALSE)</f>
        <v>22.61</v>
      </c>
      <c r="F182" t="str" cm="1">
        <f t="array" ref="F182">VLOOKUP(OrderLines[[#This Row],[SKU]:[SKU]],Menu[],MATCH(OrderLines[[#Headers],[Category]],Menu[#Headers],0),FALSE)</f>
        <v>Snack</v>
      </c>
      <c r="G182" t="str" cm="1">
        <f t="array" ref="G182">_xlfn.TEXTJOIN("+",TRUE,_xlfn._xlws.SORT(_xlfn.UNIQUE(_xlfn._xlws.FILTER(OrderLines[Category],OrderLines[OrderID]=OrderLines[[#This Row],[OrderID]]))))</f>
        <v>Snack</v>
      </c>
      <c r="H182" s="2" cm="1">
        <f t="array" ref="H182">INT(VLOOKUP(OrderLines[[#This Row],[OrderID]:[OrderID]],Orders[],MATCH(OrderLines[[#Headers],[OrderDateTime]],Orders[#Headers],0),FALSE))</f>
        <v>45880</v>
      </c>
      <c r="I182" t="str" cm="1">
        <f t="array" ref="I182">VLOOKUP(OrderLines[[#This Row],[OrderID]:[OrderID]],Orders[],MATCH(OrderLines[[#Headers],[Branch]],Orders[#Headers],0),FALSE)</f>
        <v>Head Office Café</v>
      </c>
      <c r="J182" cm="1">
        <f t="array" ref="J182">VLOOKUP(OrderLines[[#This Row],[OrderID]:[OrderID]],Orders[],MATCH(OrderLines[[#Headers],[DiscountPct]],Orders[#Headers],0),FALSE)</f>
        <v>0.05</v>
      </c>
      <c r="K182" t="str" cm="1">
        <f t="array" ref="K182">VLOOKUP(OrderLines[[#This Row],[OrderID]:[OrderID]],Orders[],MATCH(OrderLines[[#Headers],[PaymentType]],Orders[#Headers],0),FALSE)</f>
        <v>Cash</v>
      </c>
      <c r="L182" t="str" cm="1">
        <f t="array" ref="L182">VLOOKUP(OrderLines[[#This Row],[OrderID]:[OrderID]],Orders[],MATCH(OrderLines[[#Headers],[Shift]],Orders[#Headers],0),FALSE)</f>
        <v>Dinner</v>
      </c>
      <c r="M182" s="8">
        <f>(OrderLines[[#This Row],[Qty]]*OrderLines[[#This Row],[UnitPrice]])*(1-OrderLines[[#This Row],[DiscountPct]])</f>
        <v>95.36099999999999</v>
      </c>
      <c r="N182" t="str">
        <f>IF(AND(COUNTIFS(OrderLines[OrderID],OrderLines[[#This Row],[OrderID]],OrderLines[Category],"Hot Meal"),COUNTIFS(OrderLines[OrderID],OrderLines[[#This Row],[OrderID]],OrderLines[Category],"Beverage")),"Combo","Single")</f>
        <v>Single</v>
      </c>
      <c r="O182" s="8" t="str" cm="1">
        <f t="array" ref="O182">IF(SUMPRODUCT(OrderLines[UnitPrice],OrderLines[Qty],OrderLines[DiscountPct],--(OrderLines[OrderID] = OrderLines[[#This Row],[OrderID]]))&gt;40,"High Discount","Ok")</f>
        <v>Ok</v>
      </c>
      <c r="P182">
        <f>OrderLines[[#This Row],[UnitCost]]*OrderLines[[#This Row],[Qty]]</f>
        <v>45.22</v>
      </c>
      <c r="Q182" s="8">
        <f>OrderLines[[#This Row],[LineNetAmount]]-OrderLines[[#This Row],[Food Cost]]</f>
        <v>50.140999999999991</v>
      </c>
    </row>
    <row r="183" spans="1:17" x14ac:dyDescent="0.3">
      <c r="A183" t="s">
        <v>111</v>
      </c>
      <c r="B183" t="s">
        <v>411</v>
      </c>
      <c r="C183">
        <v>1</v>
      </c>
      <c r="D183" cm="1">
        <f t="array" ref="D183">VLOOKUP(OrderLines[[#This Row],[SKU]:[SKU]],Menu[],MATCH(OrderLines[[#Headers],[UnitPrice]],Menu[#Headers],0),FALSE)</f>
        <v>22.2</v>
      </c>
      <c r="E183" cm="1">
        <f t="array" ref="E183">VLOOKUP(OrderLines[[#This Row],[SKU]:[SKU]],Menu[],MATCH(OrderLines[[#Headers],[UnitCost]],Menu[#Headers],0),FALSE)</f>
        <v>9.3800000000000008</v>
      </c>
      <c r="F183" t="str" cm="1">
        <f t="array" ref="F183">VLOOKUP(OrderLines[[#This Row],[SKU]:[SKU]],Menu[],MATCH(OrderLines[[#Headers],[Category]],Menu[#Headers],0),FALSE)</f>
        <v>Beverage</v>
      </c>
      <c r="G183" t="str" cm="1">
        <f t="array" ref="G183">_xlfn.TEXTJOIN("+",TRUE,_xlfn._xlws.SORT(_xlfn.UNIQUE(_xlfn._xlws.FILTER(OrderLines[Category],OrderLines[OrderID]=OrderLines[[#This Row],[OrderID]]))))</f>
        <v>Beverage+Hot Meal+Snack</v>
      </c>
      <c r="H183" s="2" cm="1">
        <f t="array" ref="H183">INT(VLOOKUP(OrderLines[[#This Row],[OrderID]:[OrderID]],Orders[],MATCH(OrderLines[[#Headers],[OrderDateTime]],Orders[#Headers],0),FALSE))</f>
        <v>45882</v>
      </c>
      <c r="I183" t="str" cm="1">
        <f t="array" ref="I183">VLOOKUP(OrderLines[[#This Row],[OrderID]:[OrderID]],Orders[],MATCH(OrderLines[[#Headers],[Branch]],Orders[#Headers],0),FALSE)</f>
        <v>Plant 2 Canteen</v>
      </c>
      <c r="J183" cm="1">
        <f t="array" ref="J183">VLOOKUP(OrderLines[[#This Row],[OrderID]:[OrderID]],Orders[],MATCH(OrderLines[[#Headers],[DiscountPct]],Orders[#Headers],0),FALSE)</f>
        <v>7.0000000000000007E-2</v>
      </c>
      <c r="K183" t="str" cm="1">
        <f t="array" ref="K183">VLOOKUP(OrderLines[[#This Row],[OrderID]:[OrderID]],Orders[],MATCH(OrderLines[[#Headers],[PaymentType]],Orders[#Headers],0),FALSE)</f>
        <v>UPI</v>
      </c>
      <c r="L183" t="str" cm="1">
        <f t="array" ref="L183">VLOOKUP(OrderLines[[#This Row],[OrderID]:[OrderID]],Orders[],MATCH(OrderLines[[#Headers],[Shift]],Orders[#Headers],0),FALSE)</f>
        <v>Dinner</v>
      </c>
      <c r="M183" s="8">
        <f>(OrderLines[[#This Row],[Qty]]*OrderLines[[#This Row],[UnitPrice]])*(1-OrderLines[[#This Row],[DiscountPct]])</f>
        <v>20.645999999999997</v>
      </c>
      <c r="N183" t="str">
        <f>IF(AND(COUNTIFS(OrderLines[OrderID],OrderLines[[#This Row],[OrderID]],OrderLines[Category],"Hot Meal"),COUNTIFS(OrderLines[OrderID],OrderLines[[#This Row],[OrderID]],OrderLines[Category],"Beverage")),"Combo","Single")</f>
        <v>Combo</v>
      </c>
      <c r="O183" s="8" t="str" cm="1">
        <f t="array" ref="O183">IF(SUMPRODUCT(OrderLines[UnitPrice],OrderLines[Qty],OrderLines[DiscountPct],--(OrderLines[OrderID] = OrderLines[[#This Row],[OrderID]]))&gt;40,"High Discount","Ok")</f>
        <v>High Discount</v>
      </c>
      <c r="P183">
        <f>OrderLines[[#This Row],[UnitCost]]*OrderLines[[#This Row],[Qty]]</f>
        <v>9.3800000000000008</v>
      </c>
      <c r="Q183" s="8">
        <f>OrderLines[[#This Row],[LineNetAmount]]-OrderLines[[#This Row],[Food Cost]]</f>
        <v>11.265999999999996</v>
      </c>
    </row>
    <row r="184" spans="1:17" x14ac:dyDescent="0.3">
      <c r="A184" t="s">
        <v>111</v>
      </c>
      <c r="B184" t="s">
        <v>401</v>
      </c>
      <c r="C184">
        <v>1</v>
      </c>
      <c r="D184" cm="1">
        <f t="array" ref="D184">VLOOKUP(OrderLines[[#This Row],[SKU]:[SKU]],Menu[],MATCH(OrderLines[[#Headers],[UnitPrice]],Menu[#Headers],0),FALSE)</f>
        <v>52.45</v>
      </c>
      <c r="E184" cm="1">
        <f t="array" ref="E184">VLOOKUP(OrderLines[[#This Row],[SKU]:[SKU]],Menu[],MATCH(OrderLines[[#Headers],[UnitCost]],Menu[#Headers],0),FALSE)</f>
        <v>25.8</v>
      </c>
      <c r="F184" t="str" cm="1">
        <f t="array" ref="F184">VLOOKUP(OrderLines[[#This Row],[SKU]:[SKU]],Menu[],MATCH(OrderLines[[#Headers],[Category]],Menu[#Headers],0),FALSE)</f>
        <v>Snack</v>
      </c>
      <c r="G184" t="str" cm="1">
        <f t="array" ref="G184">_xlfn.TEXTJOIN("+",TRUE,_xlfn._xlws.SORT(_xlfn.UNIQUE(_xlfn._xlws.FILTER(OrderLines[Category],OrderLines[OrderID]=OrderLines[[#This Row],[OrderID]]))))</f>
        <v>Beverage+Hot Meal+Snack</v>
      </c>
      <c r="H184" s="2" cm="1">
        <f t="array" ref="H184">INT(VLOOKUP(OrderLines[[#This Row],[OrderID]:[OrderID]],Orders[],MATCH(OrderLines[[#Headers],[OrderDateTime]],Orders[#Headers],0),FALSE))</f>
        <v>45882</v>
      </c>
      <c r="I184" t="str" cm="1">
        <f t="array" ref="I184">VLOOKUP(OrderLines[[#This Row],[OrderID]:[OrderID]],Orders[],MATCH(OrderLines[[#Headers],[Branch]],Orders[#Headers],0),FALSE)</f>
        <v>Plant 2 Canteen</v>
      </c>
      <c r="J184" cm="1">
        <f t="array" ref="J184">VLOOKUP(OrderLines[[#This Row],[OrderID]:[OrderID]],Orders[],MATCH(OrderLines[[#Headers],[DiscountPct]],Orders[#Headers],0),FALSE)</f>
        <v>7.0000000000000007E-2</v>
      </c>
      <c r="K184" t="str" cm="1">
        <f t="array" ref="K184">VLOOKUP(OrderLines[[#This Row],[OrderID]:[OrderID]],Orders[],MATCH(OrderLines[[#Headers],[PaymentType]],Orders[#Headers],0),FALSE)</f>
        <v>UPI</v>
      </c>
      <c r="L184" t="str" cm="1">
        <f t="array" ref="L184">VLOOKUP(OrderLines[[#This Row],[OrderID]:[OrderID]],Orders[],MATCH(OrderLines[[#Headers],[Shift]],Orders[#Headers],0),FALSE)</f>
        <v>Dinner</v>
      </c>
      <c r="M184" s="8">
        <f>(OrderLines[[#This Row],[Qty]]*OrderLines[[#This Row],[UnitPrice]])*(1-OrderLines[[#This Row],[DiscountPct]])</f>
        <v>48.778500000000001</v>
      </c>
      <c r="N184" t="str">
        <f>IF(AND(COUNTIFS(OrderLines[OrderID],OrderLines[[#This Row],[OrderID]],OrderLines[Category],"Hot Meal"),COUNTIFS(OrderLines[OrderID],OrderLines[[#This Row],[OrderID]],OrderLines[Category],"Beverage")),"Combo","Single")</f>
        <v>Combo</v>
      </c>
      <c r="O184" s="8" t="str" cm="1">
        <f t="array" ref="O184">IF(SUMPRODUCT(OrderLines[UnitPrice],OrderLines[Qty],OrderLines[DiscountPct],--(OrderLines[OrderID] = OrderLines[[#This Row],[OrderID]]))&gt;40,"High Discount","Ok")</f>
        <v>High Discount</v>
      </c>
      <c r="P184">
        <f>OrderLines[[#This Row],[UnitCost]]*OrderLines[[#This Row],[Qty]]</f>
        <v>25.8</v>
      </c>
      <c r="Q184" s="8">
        <f>OrderLines[[#This Row],[LineNetAmount]]-OrderLines[[#This Row],[Food Cost]]</f>
        <v>22.9785</v>
      </c>
    </row>
    <row r="185" spans="1:17" x14ac:dyDescent="0.3">
      <c r="A185" t="s">
        <v>111</v>
      </c>
      <c r="B185" t="s">
        <v>408</v>
      </c>
      <c r="C185">
        <v>2</v>
      </c>
      <c r="D185" cm="1">
        <f t="array" ref="D185">VLOOKUP(OrderLines[[#This Row],[SKU]:[SKU]],Menu[],MATCH(OrderLines[[#Headers],[UnitPrice]],Menu[#Headers],0),FALSE)</f>
        <v>70.540000000000006</v>
      </c>
      <c r="E185" cm="1">
        <f t="array" ref="E185">VLOOKUP(OrderLines[[#This Row],[SKU]:[SKU]],Menu[],MATCH(OrderLines[[#Headers],[UnitCost]],Menu[#Headers],0),FALSE)</f>
        <v>35.81</v>
      </c>
      <c r="F185" t="str" cm="1">
        <f t="array" ref="F185">VLOOKUP(OrderLines[[#This Row],[SKU]:[SKU]],Menu[],MATCH(OrderLines[[#Headers],[Category]],Menu[#Headers],0),FALSE)</f>
        <v>Snack</v>
      </c>
      <c r="G185" t="str" cm="1">
        <f t="array" ref="G185">_xlfn.TEXTJOIN("+",TRUE,_xlfn._xlws.SORT(_xlfn.UNIQUE(_xlfn._xlws.FILTER(OrderLines[Category],OrderLines[OrderID]=OrderLines[[#This Row],[OrderID]]))))</f>
        <v>Beverage+Hot Meal+Snack</v>
      </c>
      <c r="H185" s="2" cm="1">
        <f t="array" ref="H185">INT(VLOOKUP(OrderLines[[#This Row],[OrderID]:[OrderID]],Orders[],MATCH(OrderLines[[#Headers],[OrderDateTime]],Orders[#Headers],0),FALSE))</f>
        <v>45882</v>
      </c>
      <c r="I185" t="str" cm="1">
        <f t="array" ref="I185">VLOOKUP(OrderLines[[#This Row],[OrderID]:[OrderID]],Orders[],MATCH(OrderLines[[#Headers],[Branch]],Orders[#Headers],0),FALSE)</f>
        <v>Plant 2 Canteen</v>
      </c>
      <c r="J185" cm="1">
        <f t="array" ref="J185">VLOOKUP(OrderLines[[#This Row],[OrderID]:[OrderID]],Orders[],MATCH(OrderLines[[#Headers],[DiscountPct]],Orders[#Headers],0),FALSE)</f>
        <v>7.0000000000000007E-2</v>
      </c>
      <c r="K185" t="str" cm="1">
        <f t="array" ref="K185">VLOOKUP(OrderLines[[#This Row],[OrderID]:[OrderID]],Orders[],MATCH(OrderLines[[#Headers],[PaymentType]],Orders[#Headers],0),FALSE)</f>
        <v>UPI</v>
      </c>
      <c r="L185" t="str" cm="1">
        <f t="array" ref="L185">VLOOKUP(OrderLines[[#This Row],[OrderID]:[OrderID]],Orders[],MATCH(OrderLines[[#Headers],[Shift]],Orders[#Headers],0),FALSE)</f>
        <v>Dinner</v>
      </c>
      <c r="M185" s="8">
        <f>(OrderLines[[#This Row],[Qty]]*OrderLines[[#This Row],[UnitPrice]])*(1-OrderLines[[#This Row],[DiscountPct]])</f>
        <v>131.20439999999999</v>
      </c>
      <c r="N185" t="str">
        <f>IF(AND(COUNTIFS(OrderLines[OrderID],OrderLines[[#This Row],[OrderID]],OrderLines[Category],"Hot Meal"),COUNTIFS(OrderLines[OrderID],OrderLines[[#This Row],[OrderID]],OrderLines[Category],"Beverage")),"Combo","Single")</f>
        <v>Combo</v>
      </c>
      <c r="O185" s="8" t="str" cm="1">
        <f t="array" ref="O185">IF(SUMPRODUCT(OrderLines[UnitPrice],OrderLines[Qty],OrderLines[DiscountPct],--(OrderLines[OrderID] = OrderLines[[#This Row],[OrderID]]))&gt;40,"High Discount","Ok")</f>
        <v>High Discount</v>
      </c>
      <c r="P185">
        <f>OrderLines[[#This Row],[UnitCost]]*OrderLines[[#This Row],[Qty]]</f>
        <v>71.62</v>
      </c>
      <c r="Q185" s="8">
        <f>OrderLines[[#This Row],[LineNetAmount]]-OrderLines[[#This Row],[Food Cost]]</f>
        <v>59.584399999999988</v>
      </c>
    </row>
    <row r="186" spans="1:17" x14ac:dyDescent="0.3">
      <c r="A186" t="s">
        <v>111</v>
      </c>
      <c r="B186" t="s">
        <v>416</v>
      </c>
      <c r="C186">
        <v>3</v>
      </c>
      <c r="D186" cm="1">
        <f t="array" ref="D186">VLOOKUP(OrderLines[[#This Row],[SKU]:[SKU]],Menu[],MATCH(OrderLines[[#Headers],[UnitPrice]],Menu[#Headers],0),FALSE)</f>
        <v>227.61</v>
      </c>
      <c r="E186" cm="1">
        <f t="array" ref="E186">VLOOKUP(OrderLines[[#This Row],[SKU]:[SKU]],Menu[],MATCH(OrderLines[[#Headers],[UnitCost]],Menu[#Headers],0),FALSE)</f>
        <v>96.22</v>
      </c>
      <c r="F186" t="str" cm="1">
        <f t="array" ref="F186">VLOOKUP(OrderLines[[#This Row],[SKU]:[SKU]],Menu[],MATCH(OrderLines[[#Headers],[Category]],Menu[#Headers],0),FALSE)</f>
        <v>Hot Meal</v>
      </c>
      <c r="G186" t="str" cm="1">
        <f t="array" ref="G186">_xlfn.TEXTJOIN("+",TRUE,_xlfn._xlws.SORT(_xlfn.UNIQUE(_xlfn._xlws.FILTER(OrderLines[Category],OrderLines[OrderID]=OrderLines[[#This Row],[OrderID]]))))</f>
        <v>Beverage+Hot Meal+Snack</v>
      </c>
      <c r="H186" s="2" cm="1">
        <f t="array" ref="H186">INT(VLOOKUP(OrderLines[[#This Row],[OrderID]:[OrderID]],Orders[],MATCH(OrderLines[[#Headers],[OrderDateTime]],Orders[#Headers],0),FALSE))</f>
        <v>45882</v>
      </c>
      <c r="I186" t="str" cm="1">
        <f t="array" ref="I186">VLOOKUP(OrderLines[[#This Row],[OrderID]:[OrderID]],Orders[],MATCH(OrderLines[[#Headers],[Branch]],Orders[#Headers],0),FALSE)</f>
        <v>Plant 2 Canteen</v>
      </c>
      <c r="J186" cm="1">
        <f t="array" ref="J186">VLOOKUP(OrderLines[[#This Row],[OrderID]:[OrderID]],Orders[],MATCH(OrderLines[[#Headers],[DiscountPct]],Orders[#Headers],0),FALSE)</f>
        <v>7.0000000000000007E-2</v>
      </c>
      <c r="K186" t="str" cm="1">
        <f t="array" ref="K186">VLOOKUP(OrderLines[[#This Row],[OrderID]:[OrderID]],Orders[],MATCH(OrderLines[[#Headers],[PaymentType]],Orders[#Headers],0),FALSE)</f>
        <v>UPI</v>
      </c>
      <c r="L186" t="str" cm="1">
        <f t="array" ref="L186">VLOOKUP(OrderLines[[#This Row],[OrderID]:[OrderID]],Orders[],MATCH(OrderLines[[#Headers],[Shift]],Orders[#Headers],0),FALSE)</f>
        <v>Dinner</v>
      </c>
      <c r="M186" s="8">
        <f>(OrderLines[[#This Row],[Qty]]*OrderLines[[#This Row],[UnitPrice]])*(1-OrderLines[[#This Row],[DiscountPct]])</f>
        <v>635.03189999999995</v>
      </c>
      <c r="N186" t="str">
        <f>IF(AND(COUNTIFS(OrderLines[OrderID],OrderLines[[#This Row],[OrderID]],OrderLines[Category],"Hot Meal"),COUNTIFS(OrderLines[OrderID],OrderLines[[#This Row],[OrderID]],OrderLines[Category],"Beverage")),"Combo","Single")</f>
        <v>Combo</v>
      </c>
      <c r="O186" s="8" t="str" cm="1">
        <f t="array" ref="O186">IF(SUMPRODUCT(OrderLines[UnitPrice],OrderLines[Qty],OrderLines[DiscountPct],--(OrderLines[OrderID] = OrderLines[[#This Row],[OrderID]]))&gt;40,"High Discount","Ok")</f>
        <v>High Discount</v>
      </c>
      <c r="P186">
        <f>OrderLines[[#This Row],[UnitCost]]*OrderLines[[#This Row],[Qty]]</f>
        <v>288.65999999999997</v>
      </c>
      <c r="Q186" s="8">
        <f>OrderLines[[#This Row],[LineNetAmount]]-OrderLines[[#This Row],[Food Cost]]</f>
        <v>346.37189999999998</v>
      </c>
    </row>
    <row r="187" spans="1:17" x14ac:dyDescent="0.3">
      <c r="A187" t="s">
        <v>112</v>
      </c>
      <c r="B187" t="s">
        <v>409</v>
      </c>
      <c r="C187">
        <v>2</v>
      </c>
      <c r="D187" cm="1">
        <f t="array" ref="D187">VLOOKUP(OrderLines[[#This Row],[SKU]:[SKU]],Menu[],MATCH(OrderLines[[#Headers],[UnitPrice]],Menu[#Headers],0),FALSE)</f>
        <v>28.43</v>
      </c>
      <c r="E187" cm="1">
        <f t="array" ref="E187">VLOOKUP(OrderLines[[#This Row],[SKU]:[SKU]],Menu[],MATCH(OrderLines[[#Headers],[UnitCost]],Menu[#Headers],0),FALSE)</f>
        <v>13.89</v>
      </c>
      <c r="F187" t="str" cm="1">
        <f t="array" ref="F187">VLOOKUP(OrderLines[[#This Row],[SKU]:[SKU]],Menu[],MATCH(OrderLines[[#Headers],[Category]],Menu[#Headers],0),FALSE)</f>
        <v>Beverage</v>
      </c>
      <c r="G187" t="str" cm="1">
        <f t="array" ref="G187">_xlfn.TEXTJOIN("+",TRUE,_xlfn._xlws.SORT(_xlfn.UNIQUE(_xlfn._xlws.FILTER(OrderLines[Category],OrderLines[OrderID]=OrderLines[[#This Row],[OrderID]]))))</f>
        <v>Beverage+Hot Meal+Snack</v>
      </c>
      <c r="H187" s="2" cm="1">
        <f t="array" ref="H187">INT(VLOOKUP(OrderLines[[#This Row],[OrderID]:[OrderID]],Orders[],MATCH(OrderLines[[#Headers],[OrderDateTime]],Orders[#Headers],0),FALSE))</f>
        <v>45889</v>
      </c>
      <c r="I187" t="str" cm="1">
        <f t="array" ref="I187">VLOOKUP(OrderLines[[#This Row],[OrderID]:[OrderID]],Orders[],MATCH(OrderLines[[#Headers],[Branch]],Orders[#Headers],0),FALSE)</f>
        <v>Plant 2 Canteen</v>
      </c>
      <c r="J187" cm="1">
        <f t="array" ref="J187">VLOOKUP(OrderLines[[#This Row],[OrderID]:[OrderID]],Orders[],MATCH(OrderLines[[#Headers],[DiscountPct]],Orders[#Headers],0),FALSE)</f>
        <v>0.06</v>
      </c>
      <c r="K187" t="str" cm="1">
        <f t="array" ref="K187">VLOOKUP(OrderLines[[#This Row],[OrderID]:[OrderID]],Orders[],MATCH(OrderLines[[#Headers],[PaymentType]],Orders[#Headers],0),FALSE)</f>
        <v>Cash</v>
      </c>
      <c r="L187" t="str" cm="1">
        <f t="array" ref="L187">VLOOKUP(OrderLines[[#This Row],[OrderID]:[OrderID]],Orders[],MATCH(OrderLines[[#Headers],[Shift]],Orders[#Headers],0),FALSE)</f>
        <v>Dinner</v>
      </c>
      <c r="M187" s="8">
        <f>(OrderLines[[#This Row],[Qty]]*OrderLines[[#This Row],[UnitPrice]])*(1-OrderLines[[#This Row],[DiscountPct]])</f>
        <v>53.448399999999999</v>
      </c>
      <c r="N187" t="str">
        <f>IF(AND(COUNTIFS(OrderLines[OrderID],OrderLines[[#This Row],[OrderID]],OrderLines[Category],"Hot Meal"),COUNTIFS(OrderLines[OrderID],OrderLines[[#This Row],[OrderID]],OrderLines[Category],"Beverage")),"Combo","Single")</f>
        <v>Combo</v>
      </c>
      <c r="O187" s="8" t="str" cm="1">
        <f t="array" ref="O187">IF(SUMPRODUCT(OrderLines[UnitPrice],OrderLines[Qty],OrderLines[DiscountPct],--(OrderLines[OrderID] = OrderLines[[#This Row],[OrderID]]))&gt;40,"High Discount","Ok")</f>
        <v>Ok</v>
      </c>
      <c r="P187">
        <f>OrderLines[[#This Row],[UnitCost]]*OrderLines[[#This Row],[Qty]]</f>
        <v>27.78</v>
      </c>
      <c r="Q187" s="8">
        <f>OrderLines[[#This Row],[LineNetAmount]]-OrderLines[[#This Row],[Food Cost]]</f>
        <v>25.668399999999998</v>
      </c>
    </row>
    <row r="188" spans="1:17" x14ac:dyDescent="0.3">
      <c r="A188" t="s">
        <v>112</v>
      </c>
      <c r="B188" t="s">
        <v>417</v>
      </c>
      <c r="C188">
        <v>2</v>
      </c>
      <c r="D188" cm="1">
        <f t="array" ref="D188">VLOOKUP(OrderLines[[#This Row],[SKU]:[SKU]],Menu[],MATCH(OrderLines[[#Headers],[UnitPrice]],Menu[#Headers],0),FALSE)</f>
        <v>146.4</v>
      </c>
      <c r="E188" cm="1">
        <f t="array" ref="E188">VLOOKUP(OrderLines[[#This Row],[SKU]:[SKU]],Menu[],MATCH(OrderLines[[#Headers],[UnitCost]],Menu[#Headers],0),FALSE)</f>
        <v>80.92</v>
      </c>
      <c r="F188" t="str" cm="1">
        <f t="array" ref="F188">VLOOKUP(OrderLines[[#This Row],[SKU]:[SKU]],Menu[],MATCH(OrderLines[[#Headers],[Category]],Menu[#Headers],0),FALSE)</f>
        <v>Hot Meal</v>
      </c>
      <c r="G188" t="str" cm="1">
        <f t="array" ref="G188">_xlfn.TEXTJOIN("+",TRUE,_xlfn._xlws.SORT(_xlfn.UNIQUE(_xlfn._xlws.FILTER(OrderLines[Category],OrderLines[OrderID]=OrderLines[[#This Row],[OrderID]]))))</f>
        <v>Beverage+Hot Meal+Snack</v>
      </c>
      <c r="H188" s="2" cm="1">
        <f t="array" ref="H188">INT(VLOOKUP(OrderLines[[#This Row],[OrderID]:[OrderID]],Orders[],MATCH(OrderLines[[#Headers],[OrderDateTime]],Orders[#Headers],0),FALSE))</f>
        <v>45889</v>
      </c>
      <c r="I188" t="str" cm="1">
        <f t="array" ref="I188">VLOOKUP(OrderLines[[#This Row],[OrderID]:[OrderID]],Orders[],MATCH(OrderLines[[#Headers],[Branch]],Orders[#Headers],0),FALSE)</f>
        <v>Plant 2 Canteen</v>
      </c>
      <c r="J188" cm="1">
        <f t="array" ref="J188">VLOOKUP(OrderLines[[#This Row],[OrderID]:[OrderID]],Orders[],MATCH(OrderLines[[#Headers],[DiscountPct]],Orders[#Headers],0),FALSE)</f>
        <v>0.06</v>
      </c>
      <c r="K188" t="str" cm="1">
        <f t="array" ref="K188">VLOOKUP(OrderLines[[#This Row],[OrderID]:[OrderID]],Orders[],MATCH(OrderLines[[#Headers],[PaymentType]],Orders[#Headers],0),FALSE)</f>
        <v>Cash</v>
      </c>
      <c r="L188" t="str" cm="1">
        <f t="array" ref="L188">VLOOKUP(OrderLines[[#This Row],[OrderID]:[OrderID]],Orders[],MATCH(OrderLines[[#Headers],[Shift]],Orders[#Headers],0),FALSE)</f>
        <v>Dinner</v>
      </c>
      <c r="M188" s="8">
        <f>(OrderLines[[#This Row],[Qty]]*OrderLines[[#This Row],[UnitPrice]])*(1-OrderLines[[#This Row],[DiscountPct]])</f>
        <v>275.23199999999997</v>
      </c>
      <c r="N188" t="str">
        <f>IF(AND(COUNTIFS(OrderLines[OrderID],OrderLines[[#This Row],[OrderID]],OrderLines[Category],"Hot Meal"),COUNTIFS(OrderLines[OrderID],OrderLines[[#This Row],[OrderID]],OrderLines[Category],"Beverage")),"Combo","Single")</f>
        <v>Combo</v>
      </c>
      <c r="O188" s="8" t="str" cm="1">
        <f t="array" ref="O188">IF(SUMPRODUCT(OrderLines[UnitPrice],OrderLines[Qty],OrderLines[DiscountPct],--(OrderLines[OrderID] = OrderLines[[#This Row],[OrderID]]))&gt;40,"High Discount","Ok")</f>
        <v>Ok</v>
      </c>
      <c r="P188">
        <f>OrderLines[[#This Row],[UnitCost]]*OrderLines[[#This Row],[Qty]]</f>
        <v>161.84</v>
      </c>
      <c r="Q188" s="8">
        <f>OrderLines[[#This Row],[LineNetAmount]]-OrderLines[[#This Row],[Food Cost]]</f>
        <v>113.39199999999997</v>
      </c>
    </row>
    <row r="189" spans="1:17" x14ac:dyDescent="0.3">
      <c r="A189" t="s">
        <v>112</v>
      </c>
      <c r="B189" t="s">
        <v>406</v>
      </c>
      <c r="C189">
        <v>2</v>
      </c>
      <c r="D189" cm="1">
        <f t="array" ref="D189">VLOOKUP(OrderLines[[#This Row],[SKU]:[SKU]],Menu[],MATCH(OrderLines[[#Headers],[UnitPrice]],Menu[#Headers],0),FALSE)</f>
        <v>38.06</v>
      </c>
      <c r="E189" cm="1">
        <f t="array" ref="E189">VLOOKUP(OrderLines[[#This Row],[SKU]:[SKU]],Menu[],MATCH(OrderLines[[#Headers],[UnitCost]],Menu[#Headers],0),FALSE)</f>
        <v>19.55</v>
      </c>
      <c r="F189" t="str" cm="1">
        <f t="array" ref="F189">VLOOKUP(OrderLines[[#This Row],[SKU]:[SKU]],Menu[],MATCH(OrderLines[[#Headers],[Category]],Menu[#Headers],0),FALSE)</f>
        <v>Snack</v>
      </c>
      <c r="G189" t="str" cm="1">
        <f t="array" ref="G189">_xlfn.TEXTJOIN("+",TRUE,_xlfn._xlws.SORT(_xlfn.UNIQUE(_xlfn._xlws.FILTER(OrderLines[Category],OrderLines[OrderID]=OrderLines[[#This Row],[OrderID]]))))</f>
        <v>Beverage+Hot Meal+Snack</v>
      </c>
      <c r="H189" s="2" cm="1">
        <f t="array" ref="H189">INT(VLOOKUP(OrderLines[[#This Row],[OrderID]:[OrderID]],Orders[],MATCH(OrderLines[[#Headers],[OrderDateTime]],Orders[#Headers],0),FALSE))</f>
        <v>45889</v>
      </c>
      <c r="I189" t="str" cm="1">
        <f t="array" ref="I189">VLOOKUP(OrderLines[[#This Row],[OrderID]:[OrderID]],Orders[],MATCH(OrderLines[[#Headers],[Branch]],Orders[#Headers],0),FALSE)</f>
        <v>Plant 2 Canteen</v>
      </c>
      <c r="J189" cm="1">
        <f t="array" ref="J189">VLOOKUP(OrderLines[[#This Row],[OrderID]:[OrderID]],Orders[],MATCH(OrderLines[[#Headers],[DiscountPct]],Orders[#Headers],0),FALSE)</f>
        <v>0.06</v>
      </c>
      <c r="K189" t="str" cm="1">
        <f t="array" ref="K189">VLOOKUP(OrderLines[[#This Row],[OrderID]:[OrderID]],Orders[],MATCH(OrderLines[[#Headers],[PaymentType]],Orders[#Headers],0),FALSE)</f>
        <v>Cash</v>
      </c>
      <c r="L189" t="str" cm="1">
        <f t="array" ref="L189">VLOOKUP(OrderLines[[#This Row],[OrderID]:[OrderID]],Orders[],MATCH(OrderLines[[#Headers],[Shift]],Orders[#Headers],0),FALSE)</f>
        <v>Dinner</v>
      </c>
      <c r="M189" s="8">
        <f>(OrderLines[[#This Row],[Qty]]*OrderLines[[#This Row],[UnitPrice]])*(1-OrderLines[[#This Row],[DiscountPct]])</f>
        <v>71.552800000000005</v>
      </c>
      <c r="N189" t="str">
        <f>IF(AND(COUNTIFS(OrderLines[OrderID],OrderLines[[#This Row],[OrderID]],OrderLines[Category],"Hot Meal"),COUNTIFS(OrderLines[OrderID],OrderLines[[#This Row],[OrderID]],OrderLines[Category],"Beverage")),"Combo","Single")</f>
        <v>Combo</v>
      </c>
      <c r="O189" s="8" t="str" cm="1">
        <f t="array" ref="O189">IF(SUMPRODUCT(OrderLines[UnitPrice],OrderLines[Qty],OrderLines[DiscountPct],--(OrderLines[OrderID] = OrderLines[[#This Row],[OrderID]]))&gt;40,"High Discount","Ok")</f>
        <v>Ok</v>
      </c>
      <c r="P189">
        <f>OrderLines[[#This Row],[UnitCost]]*OrderLines[[#This Row],[Qty]]</f>
        <v>39.1</v>
      </c>
      <c r="Q189" s="8">
        <f>OrderLines[[#This Row],[LineNetAmount]]-OrderLines[[#This Row],[Food Cost]]</f>
        <v>32.452800000000003</v>
      </c>
    </row>
    <row r="190" spans="1:17" x14ac:dyDescent="0.3">
      <c r="A190" t="s">
        <v>112</v>
      </c>
      <c r="B190" t="s">
        <v>418</v>
      </c>
      <c r="C190">
        <v>3</v>
      </c>
      <c r="D190" cm="1">
        <f t="array" ref="D190">VLOOKUP(OrderLines[[#This Row],[SKU]:[SKU]],Menu[],MATCH(OrderLines[[#Headers],[UnitPrice]],Menu[#Headers],0),FALSE)</f>
        <v>39.950000000000003</v>
      </c>
      <c r="E190" cm="1">
        <f t="array" ref="E190">VLOOKUP(OrderLines[[#This Row],[SKU]:[SKU]],Menu[],MATCH(OrderLines[[#Headers],[UnitCost]],Menu[#Headers],0),FALSE)</f>
        <v>15.51</v>
      </c>
      <c r="F190" t="str" cm="1">
        <f t="array" ref="F190">VLOOKUP(OrderLines[[#This Row],[SKU]:[SKU]],Menu[],MATCH(OrderLines[[#Headers],[Category]],Menu[#Headers],0),FALSE)</f>
        <v>Snack</v>
      </c>
      <c r="G190" t="str" cm="1">
        <f t="array" ref="G190">_xlfn.TEXTJOIN("+",TRUE,_xlfn._xlws.SORT(_xlfn.UNIQUE(_xlfn._xlws.FILTER(OrderLines[Category],OrderLines[OrderID]=OrderLines[[#This Row],[OrderID]]))))</f>
        <v>Beverage+Hot Meal+Snack</v>
      </c>
      <c r="H190" s="2" cm="1">
        <f t="array" ref="H190">INT(VLOOKUP(OrderLines[[#This Row],[OrderID]:[OrderID]],Orders[],MATCH(OrderLines[[#Headers],[OrderDateTime]],Orders[#Headers],0),FALSE))</f>
        <v>45889</v>
      </c>
      <c r="I190" t="str" cm="1">
        <f t="array" ref="I190">VLOOKUP(OrderLines[[#This Row],[OrderID]:[OrderID]],Orders[],MATCH(OrderLines[[#Headers],[Branch]],Orders[#Headers],0),FALSE)</f>
        <v>Plant 2 Canteen</v>
      </c>
      <c r="J190" cm="1">
        <f t="array" ref="J190">VLOOKUP(OrderLines[[#This Row],[OrderID]:[OrderID]],Orders[],MATCH(OrderLines[[#Headers],[DiscountPct]],Orders[#Headers],0),FALSE)</f>
        <v>0.06</v>
      </c>
      <c r="K190" t="str" cm="1">
        <f t="array" ref="K190">VLOOKUP(OrderLines[[#This Row],[OrderID]:[OrderID]],Orders[],MATCH(OrderLines[[#Headers],[PaymentType]],Orders[#Headers],0),FALSE)</f>
        <v>Cash</v>
      </c>
      <c r="L190" t="str" cm="1">
        <f t="array" ref="L190">VLOOKUP(OrderLines[[#This Row],[OrderID]:[OrderID]],Orders[],MATCH(OrderLines[[#Headers],[Shift]],Orders[#Headers],0),FALSE)</f>
        <v>Dinner</v>
      </c>
      <c r="M190" s="8">
        <f>(OrderLines[[#This Row],[Qty]]*OrderLines[[#This Row],[UnitPrice]])*(1-OrderLines[[#This Row],[DiscountPct]])</f>
        <v>112.65900000000001</v>
      </c>
      <c r="N190" t="str">
        <f>IF(AND(COUNTIFS(OrderLines[OrderID],OrderLines[[#This Row],[OrderID]],OrderLines[Category],"Hot Meal"),COUNTIFS(OrderLines[OrderID],OrderLines[[#This Row],[OrderID]],OrderLines[Category],"Beverage")),"Combo","Single")</f>
        <v>Combo</v>
      </c>
      <c r="O190" s="8" t="str" cm="1">
        <f t="array" ref="O190">IF(SUMPRODUCT(OrderLines[UnitPrice],OrderLines[Qty],OrderLines[DiscountPct],--(OrderLines[OrderID] = OrderLines[[#This Row],[OrderID]]))&gt;40,"High Discount","Ok")</f>
        <v>Ok</v>
      </c>
      <c r="P190">
        <f>OrderLines[[#This Row],[UnitCost]]*OrderLines[[#This Row],[Qty]]</f>
        <v>46.53</v>
      </c>
      <c r="Q190" s="8">
        <f>OrderLines[[#This Row],[LineNetAmount]]-OrderLines[[#This Row],[Food Cost]]</f>
        <v>66.129000000000005</v>
      </c>
    </row>
    <row r="191" spans="1:17" x14ac:dyDescent="0.3">
      <c r="A191" t="s">
        <v>113</v>
      </c>
      <c r="B191" t="s">
        <v>413</v>
      </c>
      <c r="C191">
        <v>1</v>
      </c>
      <c r="D191" cm="1">
        <f t="array" ref="D191">VLOOKUP(OrderLines[[#This Row],[SKU]:[SKU]],Menu[],MATCH(OrderLines[[#Headers],[UnitPrice]],Menu[#Headers],0),FALSE)</f>
        <v>54.2</v>
      </c>
      <c r="E191" cm="1">
        <f t="array" ref="E191">VLOOKUP(OrderLines[[#This Row],[SKU]:[SKU]],Menu[],MATCH(OrderLines[[#Headers],[UnitCost]],Menu[#Headers],0),FALSE)</f>
        <v>21.95</v>
      </c>
      <c r="F191" t="str" cm="1">
        <f t="array" ref="F191">VLOOKUP(OrderLines[[#This Row],[SKU]:[SKU]],Menu[],MATCH(OrderLines[[#Headers],[Category]],Menu[#Headers],0),FALSE)</f>
        <v>Dessert</v>
      </c>
      <c r="G191" t="str" cm="1">
        <f t="array" ref="G191">_xlfn.TEXTJOIN("+",TRUE,_xlfn._xlws.SORT(_xlfn.UNIQUE(_xlfn._xlws.FILTER(OrderLines[Category],OrderLines[OrderID]=OrderLines[[#This Row],[OrderID]]))))</f>
        <v>Dessert+Hot Meal+Snack</v>
      </c>
      <c r="H191" s="2" cm="1">
        <f t="array" ref="H191">INT(VLOOKUP(OrderLines[[#This Row],[OrderID]:[OrderID]],Orders[],MATCH(OrderLines[[#Headers],[OrderDateTime]],Orders[#Headers],0),FALSE))</f>
        <v>45881</v>
      </c>
      <c r="I191" t="str" cm="1">
        <f t="array" ref="I191">VLOOKUP(OrderLines[[#This Row],[OrderID]:[OrderID]],Orders[],MATCH(OrderLines[[#Headers],[Branch]],Orders[#Headers],0),FALSE)</f>
        <v>Plant 1 Canteen</v>
      </c>
      <c r="J191" cm="1">
        <f t="array" ref="J191">VLOOKUP(OrderLines[[#This Row],[OrderID]:[OrderID]],Orders[],MATCH(OrderLines[[#Headers],[DiscountPct]],Orders[#Headers],0),FALSE)</f>
        <v>0.01</v>
      </c>
      <c r="K191" t="str" cm="1">
        <f t="array" ref="K191">VLOOKUP(OrderLines[[#This Row],[OrderID]:[OrderID]],Orders[],MATCH(OrderLines[[#Headers],[PaymentType]],Orders[#Headers],0),FALSE)</f>
        <v>Card</v>
      </c>
      <c r="L191" t="str" cm="1">
        <f t="array" ref="L191">VLOOKUP(OrderLines[[#This Row],[OrderID]:[OrderID]],Orders[],MATCH(OrderLines[[#Headers],[Shift]],Orders[#Headers],0),FALSE)</f>
        <v>Dinner</v>
      </c>
      <c r="M191" s="8">
        <f>(OrderLines[[#This Row],[Qty]]*OrderLines[[#This Row],[UnitPrice]])*(1-OrderLines[[#This Row],[DiscountPct]])</f>
        <v>53.658000000000001</v>
      </c>
      <c r="N191" t="str">
        <f>IF(AND(COUNTIFS(OrderLines[OrderID],OrderLines[[#This Row],[OrderID]],OrderLines[Category],"Hot Meal"),COUNTIFS(OrderLines[OrderID],OrderLines[[#This Row],[OrderID]],OrderLines[Category],"Beverage")),"Combo","Single")</f>
        <v>Single</v>
      </c>
      <c r="O191" s="8" t="str" cm="1">
        <f t="array" ref="O191">IF(SUMPRODUCT(OrderLines[UnitPrice],OrderLines[Qty],OrderLines[DiscountPct],--(OrderLines[OrderID] = OrderLines[[#This Row],[OrderID]]))&gt;40,"High Discount","Ok")</f>
        <v>Ok</v>
      </c>
      <c r="P191">
        <f>OrderLines[[#This Row],[UnitCost]]*OrderLines[[#This Row],[Qty]]</f>
        <v>21.95</v>
      </c>
      <c r="Q191" s="8">
        <f>OrderLines[[#This Row],[LineNetAmount]]-OrderLines[[#This Row],[Food Cost]]</f>
        <v>31.708000000000002</v>
      </c>
    </row>
    <row r="192" spans="1:17" x14ac:dyDescent="0.3">
      <c r="A192" t="s">
        <v>113</v>
      </c>
      <c r="B192" t="s">
        <v>419</v>
      </c>
      <c r="C192">
        <v>1</v>
      </c>
      <c r="D192" cm="1">
        <f t="array" ref="D192">VLOOKUP(OrderLines[[#This Row],[SKU]:[SKU]],Menu[],MATCH(OrderLines[[#Headers],[UnitPrice]],Menu[#Headers],0),FALSE)</f>
        <v>50.19</v>
      </c>
      <c r="E192" cm="1">
        <f t="array" ref="E192">VLOOKUP(OrderLines[[#This Row],[SKU]:[SKU]],Menu[],MATCH(OrderLines[[#Headers],[UnitCost]],Menu[#Headers],0),FALSE)</f>
        <v>22.61</v>
      </c>
      <c r="F192" t="str" cm="1">
        <f t="array" ref="F192">VLOOKUP(OrderLines[[#This Row],[SKU]:[SKU]],Menu[],MATCH(OrderLines[[#Headers],[Category]],Menu[#Headers],0),FALSE)</f>
        <v>Snack</v>
      </c>
      <c r="G192" t="str" cm="1">
        <f t="array" ref="G192">_xlfn.TEXTJOIN("+",TRUE,_xlfn._xlws.SORT(_xlfn.UNIQUE(_xlfn._xlws.FILTER(OrderLines[Category],OrderLines[OrderID]=OrderLines[[#This Row],[OrderID]]))))</f>
        <v>Dessert+Hot Meal+Snack</v>
      </c>
      <c r="H192" s="2" cm="1">
        <f t="array" ref="H192">INT(VLOOKUP(OrderLines[[#This Row],[OrderID]:[OrderID]],Orders[],MATCH(OrderLines[[#Headers],[OrderDateTime]],Orders[#Headers],0),FALSE))</f>
        <v>45881</v>
      </c>
      <c r="I192" t="str" cm="1">
        <f t="array" ref="I192">VLOOKUP(OrderLines[[#This Row],[OrderID]:[OrderID]],Orders[],MATCH(OrderLines[[#Headers],[Branch]],Orders[#Headers],0),FALSE)</f>
        <v>Plant 1 Canteen</v>
      </c>
      <c r="J192" cm="1">
        <f t="array" ref="J192">VLOOKUP(OrderLines[[#This Row],[OrderID]:[OrderID]],Orders[],MATCH(OrderLines[[#Headers],[DiscountPct]],Orders[#Headers],0),FALSE)</f>
        <v>0.01</v>
      </c>
      <c r="K192" t="str" cm="1">
        <f t="array" ref="K192">VLOOKUP(OrderLines[[#This Row],[OrderID]:[OrderID]],Orders[],MATCH(OrderLines[[#Headers],[PaymentType]],Orders[#Headers],0),FALSE)</f>
        <v>Card</v>
      </c>
      <c r="L192" t="str" cm="1">
        <f t="array" ref="L192">VLOOKUP(OrderLines[[#This Row],[OrderID]:[OrderID]],Orders[],MATCH(OrderLines[[#Headers],[Shift]],Orders[#Headers],0),FALSE)</f>
        <v>Dinner</v>
      </c>
      <c r="M192" s="8">
        <f>(OrderLines[[#This Row],[Qty]]*OrderLines[[#This Row],[UnitPrice]])*(1-OrderLines[[#This Row],[DiscountPct]])</f>
        <v>49.688099999999999</v>
      </c>
      <c r="N192" t="str">
        <f>IF(AND(COUNTIFS(OrderLines[OrderID],OrderLines[[#This Row],[OrderID]],OrderLines[Category],"Hot Meal"),COUNTIFS(OrderLines[OrderID],OrderLines[[#This Row],[OrderID]],OrderLines[Category],"Beverage")),"Combo","Single")</f>
        <v>Single</v>
      </c>
      <c r="O192" s="8" t="str" cm="1">
        <f t="array" ref="O192">IF(SUMPRODUCT(OrderLines[UnitPrice],OrderLines[Qty],OrderLines[DiscountPct],--(OrderLines[OrderID] = OrderLines[[#This Row],[OrderID]]))&gt;40,"High Discount","Ok")</f>
        <v>Ok</v>
      </c>
      <c r="P192">
        <f>OrderLines[[#This Row],[UnitCost]]*OrderLines[[#This Row],[Qty]]</f>
        <v>22.61</v>
      </c>
      <c r="Q192" s="8">
        <f>OrderLines[[#This Row],[LineNetAmount]]-OrderLines[[#This Row],[Food Cost]]</f>
        <v>27.078099999999999</v>
      </c>
    </row>
    <row r="193" spans="1:17" x14ac:dyDescent="0.3">
      <c r="A193" t="s">
        <v>113</v>
      </c>
      <c r="B193" t="s">
        <v>417</v>
      </c>
      <c r="C193">
        <v>2</v>
      </c>
      <c r="D193" cm="1">
        <f t="array" ref="D193">VLOOKUP(OrderLines[[#This Row],[SKU]:[SKU]],Menu[],MATCH(OrderLines[[#Headers],[UnitPrice]],Menu[#Headers],0),FALSE)</f>
        <v>146.4</v>
      </c>
      <c r="E193" cm="1">
        <f t="array" ref="E193">VLOOKUP(OrderLines[[#This Row],[SKU]:[SKU]],Menu[],MATCH(OrderLines[[#Headers],[UnitCost]],Menu[#Headers],0),FALSE)</f>
        <v>80.92</v>
      </c>
      <c r="F193" t="str" cm="1">
        <f t="array" ref="F193">VLOOKUP(OrderLines[[#This Row],[SKU]:[SKU]],Menu[],MATCH(OrderLines[[#Headers],[Category]],Menu[#Headers],0),FALSE)</f>
        <v>Hot Meal</v>
      </c>
      <c r="G193" t="str" cm="1">
        <f t="array" ref="G193">_xlfn.TEXTJOIN("+",TRUE,_xlfn._xlws.SORT(_xlfn.UNIQUE(_xlfn._xlws.FILTER(OrderLines[Category],OrderLines[OrderID]=OrderLines[[#This Row],[OrderID]]))))</f>
        <v>Dessert+Hot Meal+Snack</v>
      </c>
      <c r="H193" s="2" cm="1">
        <f t="array" ref="H193">INT(VLOOKUP(OrderLines[[#This Row],[OrderID]:[OrderID]],Orders[],MATCH(OrderLines[[#Headers],[OrderDateTime]],Orders[#Headers],0),FALSE))</f>
        <v>45881</v>
      </c>
      <c r="I193" t="str" cm="1">
        <f t="array" ref="I193">VLOOKUP(OrderLines[[#This Row],[OrderID]:[OrderID]],Orders[],MATCH(OrderLines[[#Headers],[Branch]],Orders[#Headers],0),FALSE)</f>
        <v>Plant 1 Canteen</v>
      </c>
      <c r="J193" cm="1">
        <f t="array" ref="J193">VLOOKUP(OrderLines[[#This Row],[OrderID]:[OrderID]],Orders[],MATCH(OrderLines[[#Headers],[DiscountPct]],Orders[#Headers],0),FALSE)</f>
        <v>0.01</v>
      </c>
      <c r="K193" t="str" cm="1">
        <f t="array" ref="K193">VLOOKUP(OrderLines[[#This Row],[OrderID]:[OrderID]],Orders[],MATCH(OrderLines[[#Headers],[PaymentType]],Orders[#Headers],0),FALSE)</f>
        <v>Card</v>
      </c>
      <c r="L193" t="str" cm="1">
        <f t="array" ref="L193">VLOOKUP(OrderLines[[#This Row],[OrderID]:[OrderID]],Orders[],MATCH(OrderLines[[#Headers],[Shift]],Orders[#Headers],0),FALSE)</f>
        <v>Dinner</v>
      </c>
      <c r="M193" s="8">
        <f>(OrderLines[[#This Row],[Qty]]*OrderLines[[#This Row],[UnitPrice]])*(1-OrderLines[[#This Row],[DiscountPct]])</f>
        <v>289.87200000000001</v>
      </c>
      <c r="N193" t="str">
        <f>IF(AND(COUNTIFS(OrderLines[OrderID],OrderLines[[#This Row],[OrderID]],OrderLines[Category],"Hot Meal"),COUNTIFS(OrderLines[OrderID],OrderLines[[#This Row],[OrderID]],OrderLines[Category],"Beverage")),"Combo","Single")</f>
        <v>Single</v>
      </c>
      <c r="O193" s="8" t="str" cm="1">
        <f t="array" ref="O193">IF(SUMPRODUCT(OrderLines[UnitPrice],OrderLines[Qty],OrderLines[DiscountPct],--(OrderLines[OrderID] = OrderLines[[#This Row],[OrderID]]))&gt;40,"High Discount","Ok")</f>
        <v>Ok</v>
      </c>
      <c r="P193">
        <f>OrderLines[[#This Row],[UnitCost]]*OrderLines[[#This Row],[Qty]]</f>
        <v>161.84</v>
      </c>
      <c r="Q193" s="8">
        <f>OrderLines[[#This Row],[LineNetAmount]]-OrderLines[[#This Row],[Food Cost]]</f>
        <v>128.03200000000001</v>
      </c>
    </row>
    <row r="194" spans="1:17" x14ac:dyDescent="0.3">
      <c r="A194" t="s">
        <v>114</v>
      </c>
      <c r="B194" t="s">
        <v>404</v>
      </c>
      <c r="C194">
        <v>1</v>
      </c>
      <c r="D194" cm="1">
        <f t="array" ref="D194">VLOOKUP(OrderLines[[#This Row],[SKU]:[SKU]],Menu[],MATCH(OrderLines[[#Headers],[UnitPrice]],Menu[#Headers],0),FALSE)</f>
        <v>32.979999999999997</v>
      </c>
      <c r="E194" cm="1">
        <f t="array" ref="E194">VLOOKUP(OrderLines[[#This Row],[SKU]:[SKU]],Menu[],MATCH(OrderLines[[#Headers],[UnitCost]],Menu[#Headers],0),FALSE)</f>
        <v>11.84</v>
      </c>
      <c r="F194" t="str" cm="1">
        <f t="array" ref="F194">VLOOKUP(OrderLines[[#This Row],[SKU]:[SKU]],Menu[],MATCH(OrderLines[[#Headers],[Category]],Menu[#Headers],0),FALSE)</f>
        <v>Beverage</v>
      </c>
      <c r="G194" t="str" cm="1">
        <f t="array" ref="G194">_xlfn.TEXTJOIN("+",TRUE,_xlfn._xlws.SORT(_xlfn.UNIQUE(_xlfn._xlws.FILTER(OrderLines[Category],OrderLines[OrderID]=OrderLines[[#This Row],[OrderID]]))))</f>
        <v>Beverage+Snack</v>
      </c>
      <c r="H194" s="2" cm="1">
        <f t="array" ref="H194">INT(VLOOKUP(OrderLines[[#This Row],[OrderID]:[OrderID]],Orders[],MATCH(OrderLines[[#Headers],[OrderDateTime]],Orders[#Headers],0),FALSE))</f>
        <v>45865</v>
      </c>
      <c r="I194" t="str" cm="1">
        <f t="array" ref="I194">VLOOKUP(OrderLines[[#This Row],[OrderID]:[OrderID]],Orders[],MATCH(OrderLines[[#Headers],[Branch]],Orders[#Headers],0),FALSE)</f>
        <v>Plant 2 Canteen</v>
      </c>
      <c r="J194" cm="1">
        <f t="array" ref="J194">VLOOKUP(OrderLines[[#This Row],[OrderID]:[OrderID]],Orders[],MATCH(OrderLines[[#Headers],[DiscountPct]],Orders[#Headers],0),FALSE)</f>
        <v>0.11</v>
      </c>
      <c r="K194" t="str" cm="1">
        <f t="array" ref="K194">VLOOKUP(OrderLines[[#This Row],[OrderID]:[OrderID]],Orders[],MATCH(OrderLines[[#Headers],[PaymentType]],Orders[#Headers],0),FALSE)</f>
        <v>UPI</v>
      </c>
      <c r="L194" t="str" cm="1">
        <f t="array" ref="L194">VLOOKUP(OrderLines[[#This Row],[OrderID]:[OrderID]],Orders[],MATCH(OrderLines[[#Headers],[Shift]],Orders[#Headers],0),FALSE)</f>
        <v>Lunch</v>
      </c>
      <c r="M194" s="8">
        <f>(OrderLines[[#This Row],[Qty]]*OrderLines[[#This Row],[UnitPrice]])*(1-OrderLines[[#This Row],[DiscountPct]])</f>
        <v>29.352199999999996</v>
      </c>
      <c r="N194" t="str">
        <f>IF(AND(COUNTIFS(OrderLines[OrderID],OrderLines[[#This Row],[OrderID]],OrderLines[Category],"Hot Meal"),COUNTIFS(OrderLines[OrderID],OrderLines[[#This Row],[OrderID]],OrderLines[Category],"Beverage")),"Combo","Single")</f>
        <v>Single</v>
      </c>
      <c r="O194" s="8" t="str" cm="1">
        <f t="array" ref="O194">IF(SUMPRODUCT(OrderLines[UnitPrice],OrderLines[Qty],OrderLines[DiscountPct],--(OrderLines[OrderID] = OrderLines[[#This Row],[OrderID]]))&gt;40,"High Discount","Ok")</f>
        <v>Ok</v>
      </c>
      <c r="P194">
        <f>OrderLines[[#This Row],[UnitCost]]*OrderLines[[#This Row],[Qty]]</f>
        <v>11.84</v>
      </c>
      <c r="Q194" s="8">
        <f>OrderLines[[#This Row],[LineNetAmount]]-OrderLines[[#This Row],[Food Cost]]</f>
        <v>17.512199999999996</v>
      </c>
    </row>
    <row r="195" spans="1:17" x14ac:dyDescent="0.3">
      <c r="A195" t="s">
        <v>114</v>
      </c>
      <c r="B195" t="s">
        <v>408</v>
      </c>
      <c r="C195">
        <v>1</v>
      </c>
      <c r="D195" cm="1">
        <f t="array" ref="D195">VLOOKUP(OrderLines[[#This Row],[SKU]:[SKU]],Menu[],MATCH(OrderLines[[#Headers],[UnitPrice]],Menu[#Headers],0),FALSE)</f>
        <v>70.540000000000006</v>
      </c>
      <c r="E195" cm="1">
        <f t="array" ref="E195">VLOOKUP(OrderLines[[#This Row],[SKU]:[SKU]],Menu[],MATCH(OrderLines[[#Headers],[UnitCost]],Menu[#Headers],0),FALSE)</f>
        <v>35.81</v>
      </c>
      <c r="F195" t="str" cm="1">
        <f t="array" ref="F195">VLOOKUP(OrderLines[[#This Row],[SKU]:[SKU]],Menu[],MATCH(OrderLines[[#Headers],[Category]],Menu[#Headers],0),FALSE)</f>
        <v>Snack</v>
      </c>
      <c r="G195" t="str" cm="1">
        <f t="array" ref="G195">_xlfn.TEXTJOIN("+",TRUE,_xlfn._xlws.SORT(_xlfn.UNIQUE(_xlfn._xlws.FILTER(OrderLines[Category],OrderLines[OrderID]=OrderLines[[#This Row],[OrderID]]))))</f>
        <v>Beverage+Snack</v>
      </c>
      <c r="H195" s="2" cm="1">
        <f t="array" ref="H195">INT(VLOOKUP(OrderLines[[#This Row],[OrderID]:[OrderID]],Orders[],MATCH(OrderLines[[#Headers],[OrderDateTime]],Orders[#Headers],0),FALSE))</f>
        <v>45865</v>
      </c>
      <c r="I195" t="str" cm="1">
        <f t="array" ref="I195">VLOOKUP(OrderLines[[#This Row],[OrderID]:[OrderID]],Orders[],MATCH(OrderLines[[#Headers],[Branch]],Orders[#Headers],0),FALSE)</f>
        <v>Plant 2 Canteen</v>
      </c>
      <c r="J195" cm="1">
        <f t="array" ref="J195">VLOOKUP(OrderLines[[#This Row],[OrderID]:[OrderID]],Orders[],MATCH(OrderLines[[#Headers],[DiscountPct]],Orders[#Headers],0),FALSE)</f>
        <v>0.11</v>
      </c>
      <c r="K195" t="str" cm="1">
        <f t="array" ref="K195">VLOOKUP(OrderLines[[#This Row],[OrderID]:[OrderID]],Orders[],MATCH(OrderLines[[#Headers],[PaymentType]],Orders[#Headers],0),FALSE)</f>
        <v>UPI</v>
      </c>
      <c r="L195" t="str" cm="1">
        <f t="array" ref="L195">VLOOKUP(OrderLines[[#This Row],[OrderID]:[OrderID]],Orders[],MATCH(OrderLines[[#Headers],[Shift]],Orders[#Headers],0),FALSE)</f>
        <v>Lunch</v>
      </c>
      <c r="M195" s="8">
        <f>(OrderLines[[#This Row],[Qty]]*OrderLines[[#This Row],[UnitPrice]])*(1-OrderLines[[#This Row],[DiscountPct]])</f>
        <v>62.780600000000007</v>
      </c>
      <c r="N195" t="str">
        <f>IF(AND(COUNTIFS(OrderLines[OrderID],OrderLines[[#This Row],[OrderID]],OrderLines[Category],"Hot Meal"),COUNTIFS(OrderLines[OrderID],OrderLines[[#This Row],[OrderID]],OrderLines[Category],"Beverage")),"Combo","Single")</f>
        <v>Single</v>
      </c>
      <c r="O195" s="8" t="str" cm="1">
        <f t="array" ref="O195">IF(SUMPRODUCT(OrderLines[UnitPrice],OrderLines[Qty],OrderLines[DiscountPct],--(OrderLines[OrderID] = OrderLines[[#This Row],[OrderID]]))&gt;40,"High Discount","Ok")</f>
        <v>Ok</v>
      </c>
      <c r="P195">
        <f>OrderLines[[#This Row],[UnitCost]]*OrderLines[[#This Row],[Qty]]</f>
        <v>35.81</v>
      </c>
      <c r="Q195" s="8">
        <f>OrderLines[[#This Row],[LineNetAmount]]-OrderLines[[#This Row],[Food Cost]]</f>
        <v>26.970600000000005</v>
      </c>
    </row>
    <row r="196" spans="1:17" x14ac:dyDescent="0.3">
      <c r="A196" t="s">
        <v>115</v>
      </c>
      <c r="B196" t="s">
        <v>419</v>
      </c>
      <c r="C196">
        <v>1</v>
      </c>
      <c r="D196" cm="1">
        <f t="array" ref="D196">VLOOKUP(OrderLines[[#This Row],[SKU]:[SKU]],Menu[],MATCH(OrderLines[[#Headers],[UnitPrice]],Menu[#Headers],0),FALSE)</f>
        <v>50.19</v>
      </c>
      <c r="E196" cm="1">
        <f t="array" ref="E196">VLOOKUP(OrderLines[[#This Row],[SKU]:[SKU]],Menu[],MATCH(OrderLines[[#Headers],[UnitCost]],Menu[#Headers],0),FALSE)</f>
        <v>22.61</v>
      </c>
      <c r="F196" t="str" cm="1">
        <f t="array" ref="F196">VLOOKUP(OrderLines[[#This Row],[SKU]:[SKU]],Menu[],MATCH(OrderLines[[#Headers],[Category]],Menu[#Headers],0),FALSE)</f>
        <v>Snack</v>
      </c>
      <c r="G196" t="str" cm="1">
        <f t="array" ref="G196">_xlfn.TEXTJOIN("+",TRUE,_xlfn._xlws.SORT(_xlfn.UNIQUE(_xlfn._xlws.FILTER(OrderLines[Category],OrderLines[OrderID]=OrderLines[[#This Row],[OrderID]]))))</f>
        <v>Beverage+Snack</v>
      </c>
      <c r="H196" s="2" cm="1">
        <f t="array" ref="H196">INT(VLOOKUP(OrderLines[[#This Row],[OrderID]:[OrderID]],Orders[],MATCH(OrderLines[[#Headers],[OrderDateTime]],Orders[#Headers],0),FALSE))</f>
        <v>45852</v>
      </c>
      <c r="I196" t="str" cm="1">
        <f t="array" ref="I196">VLOOKUP(OrderLines[[#This Row],[OrderID]:[OrderID]],Orders[],MATCH(OrderLines[[#Headers],[Branch]],Orders[#Headers],0),FALSE)</f>
        <v>Plant 1 Canteen</v>
      </c>
      <c r="J196" cm="1">
        <f t="array" ref="J196">VLOOKUP(OrderLines[[#This Row],[OrderID]:[OrderID]],Orders[],MATCH(OrderLines[[#Headers],[DiscountPct]],Orders[#Headers],0),FALSE)</f>
        <v>0.09</v>
      </c>
      <c r="K196" t="str" cm="1">
        <f t="array" ref="K196">VLOOKUP(OrderLines[[#This Row],[OrderID]:[OrderID]],Orders[],MATCH(OrderLines[[#Headers],[PaymentType]],Orders[#Headers],0),FALSE)</f>
        <v>Card</v>
      </c>
      <c r="L196" t="str" cm="1">
        <f t="array" ref="L196">VLOOKUP(OrderLines[[#This Row],[OrderID]:[OrderID]],Orders[],MATCH(OrderLines[[#Headers],[Shift]],Orders[#Headers],0),FALSE)</f>
        <v>Dinner</v>
      </c>
      <c r="M196" s="8">
        <f>(OrderLines[[#This Row],[Qty]]*OrderLines[[#This Row],[UnitPrice]])*(1-OrderLines[[#This Row],[DiscountPct]])</f>
        <v>45.672899999999998</v>
      </c>
      <c r="N196" t="str">
        <f>IF(AND(COUNTIFS(OrderLines[OrderID],OrderLines[[#This Row],[OrderID]],OrderLines[Category],"Hot Meal"),COUNTIFS(OrderLines[OrderID],OrderLines[[#This Row],[OrderID]],OrderLines[Category],"Beverage")),"Combo","Single")</f>
        <v>Single</v>
      </c>
      <c r="O196" s="8" t="str" cm="1">
        <f t="array" ref="O196">IF(SUMPRODUCT(OrderLines[UnitPrice],OrderLines[Qty],OrderLines[DiscountPct],--(OrderLines[OrderID] = OrderLines[[#This Row],[OrderID]]))&gt;40,"High Discount","Ok")</f>
        <v>Ok</v>
      </c>
      <c r="P196">
        <f>OrderLines[[#This Row],[UnitCost]]*OrderLines[[#This Row],[Qty]]</f>
        <v>22.61</v>
      </c>
      <c r="Q196" s="8">
        <f>OrderLines[[#This Row],[LineNetAmount]]-OrderLines[[#This Row],[Food Cost]]</f>
        <v>23.062899999999999</v>
      </c>
    </row>
    <row r="197" spans="1:17" x14ac:dyDescent="0.3">
      <c r="A197" t="s">
        <v>115</v>
      </c>
      <c r="B197" t="s">
        <v>404</v>
      </c>
      <c r="C197">
        <v>3</v>
      </c>
      <c r="D197" cm="1">
        <f t="array" ref="D197">VLOOKUP(OrderLines[[#This Row],[SKU]:[SKU]],Menu[],MATCH(OrderLines[[#Headers],[UnitPrice]],Menu[#Headers],0),FALSE)</f>
        <v>32.979999999999997</v>
      </c>
      <c r="E197" cm="1">
        <f t="array" ref="E197">VLOOKUP(OrderLines[[#This Row],[SKU]:[SKU]],Menu[],MATCH(OrderLines[[#Headers],[UnitCost]],Menu[#Headers],0),FALSE)</f>
        <v>11.84</v>
      </c>
      <c r="F197" t="str" cm="1">
        <f t="array" ref="F197">VLOOKUP(OrderLines[[#This Row],[SKU]:[SKU]],Menu[],MATCH(OrderLines[[#Headers],[Category]],Menu[#Headers],0),FALSE)</f>
        <v>Beverage</v>
      </c>
      <c r="G197" t="str" cm="1">
        <f t="array" ref="G197">_xlfn.TEXTJOIN("+",TRUE,_xlfn._xlws.SORT(_xlfn.UNIQUE(_xlfn._xlws.FILTER(OrderLines[Category],OrderLines[OrderID]=OrderLines[[#This Row],[OrderID]]))))</f>
        <v>Beverage+Snack</v>
      </c>
      <c r="H197" s="2" cm="1">
        <f t="array" ref="H197">INT(VLOOKUP(OrderLines[[#This Row],[OrderID]:[OrderID]],Orders[],MATCH(OrderLines[[#Headers],[OrderDateTime]],Orders[#Headers],0),FALSE))</f>
        <v>45852</v>
      </c>
      <c r="I197" t="str" cm="1">
        <f t="array" ref="I197">VLOOKUP(OrderLines[[#This Row],[OrderID]:[OrderID]],Orders[],MATCH(OrderLines[[#Headers],[Branch]],Orders[#Headers],0),FALSE)</f>
        <v>Plant 1 Canteen</v>
      </c>
      <c r="J197" cm="1">
        <f t="array" ref="J197">VLOOKUP(OrderLines[[#This Row],[OrderID]:[OrderID]],Orders[],MATCH(OrderLines[[#Headers],[DiscountPct]],Orders[#Headers],0),FALSE)</f>
        <v>0.09</v>
      </c>
      <c r="K197" t="str" cm="1">
        <f t="array" ref="K197">VLOOKUP(OrderLines[[#This Row],[OrderID]:[OrderID]],Orders[],MATCH(OrderLines[[#Headers],[PaymentType]],Orders[#Headers],0),FALSE)</f>
        <v>Card</v>
      </c>
      <c r="L197" t="str" cm="1">
        <f t="array" ref="L197">VLOOKUP(OrderLines[[#This Row],[OrderID]:[OrderID]],Orders[],MATCH(OrderLines[[#Headers],[Shift]],Orders[#Headers],0),FALSE)</f>
        <v>Dinner</v>
      </c>
      <c r="M197" s="8">
        <f>(OrderLines[[#This Row],[Qty]]*OrderLines[[#This Row],[UnitPrice]])*(1-OrderLines[[#This Row],[DiscountPct]])</f>
        <v>90.035399999999996</v>
      </c>
      <c r="N197" t="str">
        <f>IF(AND(COUNTIFS(OrderLines[OrderID],OrderLines[[#This Row],[OrderID]],OrderLines[Category],"Hot Meal"),COUNTIFS(OrderLines[OrderID],OrderLines[[#This Row],[OrderID]],OrderLines[Category],"Beverage")),"Combo","Single")</f>
        <v>Single</v>
      </c>
      <c r="O197" s="8" t="str" cm="1">
        <f t="array" ref="O197">IF(SUMPRODUCT(OrderLines[UnitPrice],OrderLines[Qty],OrderLines[DiscountPct],--(OrderLines[OrderID] = OrderLines[[#This Row],[OrderID]]))&gt;40,"High Discount","Ok")</f>
        <v>Ok</v>
      </c>
      <c r="P197">
        <f>OrderLines[[#This Row],[UnitCost]]*OrderLines[[#This Row],[Qty]]</f>
        <v>35.519999999999996</v>
      </c>
      <c r="Q197" s="8">
        <f>OrderLines[[#This Row],[LineNetAmount]]-OrderLines[[#This Row],[Food Cost]]</f>
        <v>54.5154</v>
      </c>
    </row>
    <row r="198" spans="1:17" x14ac:dyDescent="0.3">
      <c r="A198" t="s">
        <v>116</v>
      </c>
      <c r="B198" t="s">
        <v>406</v>
      </c>
      <c r="C198">
        <v>1</v>
      </c>
      <c r="D198" cm="1">
        <f t="array" ref="D198">VLOOKUP(OrderLines[[#This Row],[SKU]:[SKU]],Menu[],MATCH(OrderLines[[#Headers],[UnitPrice]],Menu[#Headers],0),FALSE)</f>
        <v>38.06</v>
      </c>
      <c r="E198" cm="1">
        <f t="array" ref="E198">VLOOKUP(OrderLines[[#This Row],[SKU]:[SKU]],Menu[],MATCH(OrderLines[[#Headers],[UnitCost]],Menu[#Headers],0),FALSE)</f>
        <v>19.55</v>
      </c>
      <c r="F198" t="str" cm="1">
        <f t="array" ref="F198">VLOOKUP(OrderLines[[#This Row],[SKU]:[SKU]],Menu[],MATCH(OrderLines[[#Headers],[Category]],Menu[#Headers],0),FALSE)</f>
        <v>Snack</v>
      </c>
      <c r="G198" t="str" cm="1">
        <f t="array" ref="G198">_xlfn.TEXTJOIN("+",TRUE,_xlfn._xlws.SORT(_xlfn.UNIQUE(_xlfn._xlws.FILTER(OrderLines[Category],OrderLines[OrderID]=OrderLines[[#This Row],[OrderID]]))))</f>
        <v>Beverage+Snack</v>
      </c>
      <c r="H198" s="2" cm="1">
        <f t="array" ref="H198">INT(VLOOKUP(OrderLines[[#This Row],[OrderID]:[OrderID]],Orders[],MATCH(OrderLines[[#Headers],[OrderDateTime]],Orders[#Headers],0),FALSE))</f>
        <v>45860</v>
      </c>
      <c r="I198" t="str" cm="1">
        <f t="array" ref="I198">VLOOKUP(OrderLines[[#This Row],[OrderID]:[OrderID]],Orders[],MATCH(OrderLines[[#Headers],[Branch]],Orders[#Headers],0),FALSE)</f>
        <v>Plant 1 Canteen</v>
      </c>
      <c r="J198" cm="1">
        <f t="array" ref="J198">VLOOKUP(OrderLines[[#This Row],[OrderID]:[OrderID]],Orders[],MATCH(OrderLines[[#Headers],[DiscountPct]],Orders[#Headers],0),FALSE)</f>
        <v>0.09</v>
      </c>
      <c r="K198" t="str" cm="1">
        <f t="array" ref="K198">VLOOKUP(OrderLines[[#This Row],[OrderID]:[OrderID]],Orders[],MATCH(OrderLines[[#Headers],[PaymentType]],Orders[#Headers],0),FALSE)</f>
        <v>Card</v>
      </c>
      <c r="L198" t="str" cm="1">
        <f t="array" ref="L198">VLOOKUP(OrderLines[[#This Row],[OrderID]:[OrderID]],Orders[],MATCH(OrderLines[[#Headers],[Shift]],Orders[#Headers],0),FALSE)</f>
        <v>Breakfast</v>
      </c>
      <c r="M198" s="8">
        <f>(OrderLines[[#This Row],[Qty]]*OrderLines[[#This Row],[UnitPrice]])*(1-OrderLines[[#This Row],[DiscountPct]])</f>
        <v>34.634600000000006</v>
      </c>
      <c r="N198" t="str">
        <f>IF(AND(COUNTIFS(OrderLines[OrderID],OrderLines[[#This Row],[OrderID]],OrderLines[Category],"Hot Meal"),COUNTIFS(OrderLines[OrderID],OrderLines[[#This Row],[OrderID]],OrderLines[Category],"Beverage")),"Combo","Single")</f>
        <v>Single</v>
      </c>
      <c r="O198" s="8" t="str" cm="1">
        <f t="array" ref="O198">IF(SUMPRODUCT(OrderLines[UnitPrice],OrderLines[Qty],OrderLines[DiscountPct],--(OrderLines[OrderID] = OrderLines[[#This Row],[OrderID]]))&gt;40,"High Discount","Ok")</f>
        <v>Ok</v>
      </c>
      <c r="P198">
        <f>OrderLines[[#This Row],[UnitCost]]*OrderLines[[#This Row],[Qty]]</f>
        <v>19.55</v>
      </c>
      <c r="Q198" s="8">
        <f>OrderLines[[#This Row],[LineNetAmount]]-OrderLines[[#This Row],[Food Cost]]</f>
        <v>15.084600000000005</v>
      </c>
    </row>
    <row r="199" spans="1:17" x14ac:dyDescent="0.3">
      <c r="A199" t="s">
        <v>116</v>
      </c>
      <c r="B199" t="s">
        <v>409</v>
      </c>
      <c r="C199">
        <v>2</v>
      </c>
      <c r="D199" cm="1">
        <f t="array" ref="D199">VLOOKUP(OrderLines[[#This Row],[SKU]:[SKU]],Menu[],MATCH(OrderLines[[#Headers],[UnitPrice]],Menu[#Headers],0),FALSE)</f>
        <v>28.43</v>
      </c>
      <c r="E199" cm="1">
        <f t="array" ref="E199">VLOOKUP(OrderLines[[#This Row],[SKU]:[SKU]],Menu[],MATCH(OrderLines[[#Headers],[UnitCost]],Menu[#Headers],0),FALSE)</f>
        <v>13.89</v>
      </c>
      <c r="F199" t="str" cm="1">
        <f t="array" ref="F199">VLOOKUP(OrderLines[[#This Row],[SKU]:[SKU]],Menu[],MATCH(OrderLines[[#Headers],[Category]],Menu[#Headers],0),FALSE)</f>
        <v>Beverage</v>
      </c>
      <c r="G199" t="str" cm="1">
        <f t="array" ref="G199">_xlfn.TEXTJOIN("+",TRUE,_xlfn._xlws.SORT(_xlfn.UNIQUE(_xlfn._xlws.FILTER(OrderLines[Category],OrderLines[OrderID]=OrderLines[[#This Row],[OrderID]]))))</f>
        <v>Beverage+Snack</v>
      </c>
      <c r="H199" s="2" cm="1">
        <f t="array" ref="H199">INT(VLOOKUP(OrderLines[[#This Row],[OrderID]:[OrderID]],Orders[],MATCH(OrderLines[[#Headers],[OrderDateTime]],Orders[#Headers],0),FALSE))</f>
        <v>45860</v>
      </c>
      <c r="I199" t="str" cm="1">
        <f t="array" ref="I199">VLOOKUP(OrderLines[[#This Row],[OrderID]:[OrderID]],Orders[],MATCH(OrderLines[[#Headers],[Branch]],Orders[#Headers],0),FALSE)</f>
        <v>Plant 1 Canteen</v>
      </c>
      <c r="J199" cm="1">
        <f t="array" ref="J199">VLOOKUP(OrderLines[[#This Row],[OrderID]:[OrderID]],Orders[],MATCH(OrderLines[[#Headers],[DiscountPct]],Orders[#Headers],0),FALSE)</f>
        <v>0.09</v>
      </c>
      <c r="K199" t="str" cm="1">
        <f t="array" ref="K199">VLOOKUP(OrderLines[[#This Row],[OrderID]:[OrderID]],Orders[],MATCH(OrderLines[[#Headers],[PaymentType]],Orders[#Headers],0),FALSE)</f>
        <v>Card</v>
      </c>
      <c r="L199" t="str" cm="1">
        <f t="array" ref="L199">VLOOKUP(OrderLines[[#This Row],[OrderID]:[OrderID]],Orders[],MATCH(OrderLines[[#Headers],[Shift]],Orders[#Headers],0),FALSE)</f>
        <v>Breakfast</v>
      </c>
      <c r="M199" s="8">
        <f>(OrderLines[[#This Row],[Qty]]*OrderLines[[#This Row],[UnitPrice]])*(1-OrderLines[[#This Row],[DiscountPct]])</f>
        <v>51.742600000000003</v>
      </c>
      <c r="N199" t="str">
        <f>IF(AND(COUNTIFS(OrderLines[OrderID],OrderLines[[#This Row],[OrderID]],OrderLines[Category],"Hot Meal"),COUNTIFS(OrderLines[OrderID],OrderLines[[#This Row],[OrderID]],OrderLines[Category],"Beverage")),"Combo","Single")</f>
        <v>Single</v>
      </c>
      <c r="O199" s="8" t="str" cm="1">
        <f t="array" ref="O199">IF(SUMPRODUCT(OrderLines[UnitPrice],OrderLines[Qty],OrderLines[DiscountPct],--(OrderLines[OrderID] = OrderLines[[#This Row],[OrderID]]))&gt;40,"High Discount","Ok")</f>
        <v>Ok</v>
      </c>
      <c r="P199">
        <f>OrderLines[[#This Row],[UnitCost]]*OrderLines[[#This Row],[Qty]]</f>
        <v>27.78</v>
      </c>
      <c r="Q199" s="8">
        <f>OrderLines[[#This Row],[LineNetAmount]]-OrderLines[[#This Row],[Food Cost]]</f>
        <v>23.962600000000002</v>
      </c>
    </row>
    <row r="200" spans="1:17" x14ac:dyDescent="0.3">
      <c r="A200" t="s">
        <v>117</v>
      </c>
      <c r="B200" t="s">
        <v>411</v>
      </c>
      <c r="C200">
        <v>2</v>
      </c>
      <c r="D200" cm="1">
        <f t="array" ref="D200">VLOOKUP(OrderLines[[#This Row],[SKU]:[SKU]],Menu[],MATCH(OrderLines[[#Headers],[UnitPrice]],Menu[#Headers],0),FALSE)</f>
        <v>22.2</v>
      </c>
      <c r="E200" cm="1">
        <f t="array" ref="E200">VLOOKUP(OrderLines[[#This Row],[SKU]:[SKU]],Menu[],MATCH(OrderLines[[#Headers],[UnitCost]],Menu[#Headers],0),FALSE)</f>
        <v>9.3800000000000008</v>
      </c>
      <c r="F200" t="str" cm="1">
        <f t="array" ref="F200">VLOOKUP(OrderLines[[#This Row],[SKU]:[SKU]],Menu[],MATCH(OrderLines[[#Headers],[Category]],Menu[#Headers],0),FALSE)</f>
        <v>Beverage</v>
      </c>
      <c r="G200" t="str" cm="1">
        <f t="array" ref="G200">_xlfn.TEXTJOIN("+",TRUE,_xlfn._xlws.SORT(_xlfn.UNIQUE(_xlfn._xlws.FILTER(OrderLines[Category],OrderLines[OrderID]=OrderLines[[#This Row],[OrderID]]))))</f>
        <v>Beverage+Hot Meal</v>
      </c>
      <c r="H200" s="2" cm="1">
        <f t="array" ref="H200">INT(VLOOKUP(OrderLines[[#This Row],[OrderID]:[OrderID]],Orders[],MATCH(OrderLines[[#Headers],[OrderDateTime]],Orders[#Headers],0),FALSE))</f>
        <v>45891</v>
      </c>
      <c r="I200" t="str" cm="1">
        <f t="array" ref="I200">VLOOKUP(OrderLines[[#This Row],[OrderID]:[OrderID]],Orders[],MATCH(OrderLines[[#Headers],[Branch]],Orders[#Headers],0),FALSE)</f>
        <v>Plant 2 Canteen</v>
      </c>
      <c r="J200" cm="1">
        <f t="array" ref="J200">VLOOKUP(OrderLines[[#This Row],[OrderID]:[OrderID]],Orders[],MATCH(OrderLines[[#Headers],[DiscountPct]],Orders[#Headers],0),FALSE)</f>
        <v>0.02</v>
      </c>
      <c r="K200" t="str" cm="1">
        <f t="array" ref="K200">VLOOKUP(OrderLines[[#This Row],[OrderID]:[OrderID]],Orders[],MATCH(OrderLines[[#Headers],[PaymentType]],Orders[#Headers],0),FALSE)</f>
        <v>Cash</v>
      </c>
      <c r="L200" t="str" cm="1">
        <f t="array" ref="L200">VLOOKUP(OrderLines[[#This Row],[OrderID]:[OrderID]],Orders[],MATCH(OrderLines[[#Headers],[Shift]],Orders[#Headers],0),FALSE)</f>
        <v>Dinner</v>
      </c>
      <c r="M200" s="8">
        <f>(OrderLines[[#This Row],[Qty]]*OrderLines[[#This Row],[UnitPrice]])*(1-OrderLines[[#This Row],[DiscountPct]])</f>
        <v>43.512</v>
      </c>
      <c r="N200" t="str">
        <f>IF(AND(COUNTIFS(OrderLines[OrderID],OrderLines[[#This Row],[OrderID]],OrderLines[Category],"Hot Meal"),COUNTIFS(OrderLines[OrderID],OrderLines[[#This Row],[OrderID]],OrderLines[Category],"Beverage")),"Combo","Single")</f>
        <v>Combo</v>
      </c>
      <c r="O200" s="8" t="str" cm="1">
        <f t="array" ref="O200">IF(SUMPRODUCT(OrderLines[UnitPrice],OrderLines[Qty],OrderLines[DiscountPct],--(OrderLines[OrderID] = OrderLines[[#This Row],[OrderID]]))&gt;40,"High Discount","Ok")</f>
        <v>Ok</v>
      </c>
      <c r="P200">
        <f>OrderLines[[#This Row],[UnitCost]]*OrderLines[[#This Row],[Qty]]</f>
        <v>18.760000000000002</v>
      </c>
      <c r="Q200" s="8">
        <f>OrderLines[[#This Row],[LineNetAmount]]-OrderLines[[#This Row],[Food Cost]]</f>
        <v>24.751999999999999</v>
      </c>
    </row>
    <row r="201" spans="1:17" x14ac:dyDescent="0.3">
      <c r="A201" t="s">
        <v>117</v>
      </c>
      <c r="B201" t="s">
        <v>404</v>
      </c>
      <c r="C201">
        <v>2</v>
      </c>
      <c r="D201" cm="1">
        <f t="array" ref="D201">VLOOKUP(OrderLines[[#This Row],[SKU]:[SKU]],Menu[],MATCH(OrderLines[[#Headers],[UnitPrice]],Menu[#Headers],0),FALSE)</f>
        <v>32.979999999999997</v>
      </c>
      <c r="E201" cm="1">
        <f t="array" ref="E201">VLOOKUP(OrderLines[[#This Row],[SKU]:[SKU]],Menu[],MATCH(OrderLines[[#Headers],[UnitCost]],Menu[#Headers],0),FALSE)</f>
        <v>11.84</v>
      </c>
      <c r="F201" t="str" cm="1">
        <f t="array" ref="F201">VLOOKUP(OrderLines[[#This Row],[SKU]:[SKU]],Menu[],MATCH(OrderLines[[#Headers],[Category]],Menu[#Headers],0),FALSE)</f>
        <v>Beverage</v>
      </c>
      <c r="G201" t="str" cm="1">
        <f t="array" ref="G201">_xlfn.TEXTJOIN("+",TRUE,_xlfn._xlws.SORT(_xlfn.UNIQUE(_xlfn._xlws.FILTER(OrderLines[Category],OrderLines[OrderID]=OrderLines[[#This Row],[OrderID]]))))</f>
        <v>Beverage+Hot Meal</v>
      </c>
      <c r="H201" s="2" cm="1">
        <f t="array" ref="H201">INT(VLOOKUP(OrderLines[[#This Row],[OrderID]:[OrderID]],Orders[],MATCH(OrderLines[[#Headers],[OrderDateTime]],Orders[#Headers],0),FALSE))</f>
        <v>45891</v>
      </c>
      <c r="I201" t="str" cm="1">
        <f t="array" ref="I201">VLOOKUP(OrderLines[[#This Row],[OrderID]:[OrderID]],Orders[],MATCH(OrderLines[[#Headers],[Branch]],Orders[#Headers],0),FALSE)</f>
        <v>Plant 2 Canteen</v>
      </c>
      <c r="J201" cm="1">
        <f t="array" ref="J201">VLOOKUP(OrderLines[[#This Row],[OrderID]:[OrderID]],Orders[],MATCH(OrderLines[[#Headers],[DiscountPct]],Orders[#Headers],0),FALSE)</f>
        <v>0.02</v>
      </c>
      <c r="K201" t="str" cm="1">
        <f t="array" ref="K201">VLOOKUP(OrderLines[[#This Row],[OrderID]:[OrderID]],Orders[],MATCH(OrderLines[[#Headers],[PaymentType]],Orders[#Headers],0),FALSE)</f>
        <v>Cash</v>
      </c>
      <c r="L201" t="str" cm="1">
        <f t="array" ref="L201">VLOOKUP(OrderLines[[#This Row],[OrderID]:[OrderID]],Orders[],MATCH(OrderLines[[#Headers],[Shift]],Orders[#Headers],0),FALSE)</f>
        <v>Dinner</v>
      </c>
      <c r="M201" s="8">
        <f>(OrderLines[[#This Row],[Qty]]*OrderLines[[#This Row],[UnitPrice]])*(1-OrderLines[[#This Row],[DiscountPct]])</f>
        <v>64.640799999999999</v>
      </c>
      <c r="N201" t="str">
        <f>IF(AND(COUNTIFS(OrderLines[OrderID],OrderLines[[#This Row],[OrderID]],OrderLines[Category],"Hot Meal"),COUNTIFS(OrderLines[OrderID],OrderLines[[#This Row],[OrderID]],OrderLines[Category],"Beverage")),"Combo","Single")</f>
        <v>Combo</v>
      </c>
      <c r="O201" s="8" t="str" cm="1">
        <f t="array" ref="O201">IF(SUMPRODUCT(OrderLines[UnitPrice],OrderLines[Qty],OrderLines[DiscountPct],--(OrderLines[OrderID] = OrderLines[[#This Row],[OrderID]]))&gt;40,"High Discount","Ok")</f>
        <v>Ok</v>
      </c>
      <c r="P201">
        <f>OrderLines[[#This Row],[UnitCost]]*OrderLines[[#This Row],[Qty]]</f>
        <v>23.68</v>
      </c>
      <c r="Q201" s="8">
        <f>OrderLines[[#This Row],[LineNetAmount]]-OrderLines[[#This Row],[Food Cost]]</f>
        <v>40.960799999999999</v>
      </c>
    </row>
    <row r="202" spans="1:17" x14ac:dyDescent="0.3">
      <c r="A202" t="s">
        <v>117</v>
      </c>
      <c r="B202" t="s">
        <v>415</v>
      </c>
      <c r="C202">
        <v>1</v>
      </c>
      <c r="D202" cm="1">
        <f t="array" ref="D202">VLOOKUP(OrderLines[[#This Row],[SKU]:[SKU]],Menu[],MATCH(OrderLines[[#Headers],[UnitPrice]],Menu[#Headers],0),FALSE)</f>
        <v>256.91000000000003</v>
      </c>
      <c r="E202" cm="1">
        <f t="array" ref="E202">VLOOKUP(OrderLines[[#This Row],[SKU]:[SKU]],Menu[],MATCH(OrderLines[[#Headers],[UnitCost]],Menu[#Headers],0),FALSE)</f>
        <v>121.24</v>
      </c>
      <c r="F202" t="str" cm="1">
        <f t="array" ref="F202">VLOOKUP(OrderLines[[#This Row],[SKU]:[SKU]],Menu[],MATCH(OrderLines[[#Headers],[Category]],Menu[#Headers],0),FALSE)</f>
        <v>Hot Meal</v>
      </c>
      <c r="G202" t="str" cm="1">
        <f t="array" ref="G202">_xlfn.TEXTJOIN("+",TRUE,_xlfn._xlws.SORT(_xlfn.UNIQUE(_xlfn._xlws.FILTER(OrderLines[Category],OrderLines[OrderID]=OrderLines[[#This Row],[OrderID]]))))</f>
        <v>Beverage+Hot Meal</v>
      </c>
      <c r="H202" s="2" cm="1">
        <f t="array" ref="H202">INT(VLOOKUP(OrderLines[[#This Row],[OrderID]:[OrderID]],Orders[],MATCH(OrderLines[[#Headers],[OrderDateTime]],Orders[#Headers],0),FALSE))</f>
        <v>45891</v>
      </c>
      <c r="I202" t="str" cm="1">
        <f t="array" ref="I202">VLOOKUP(OrderLines[[#This Row],[OrderID]:[OrderID]],Orders[],MATCH(OrderLines[[#Headers],[Branch]],Orders[#Headers],0),FALSE)</f>
        <v>Plant 2 Canteen</v>
      </c>
      <c r="J202" cm="1">
        <f t="array" ref="J202">VLOOKUP(OrderLines[[#This Row],[OrderID]:[OrderID]],Orders[],MATCH(OrderLines[[#Headers],[DiscountPct]],Orders[#Headers],0),FALSE)</f>
        <v>0.02</v>
      </c>
      <c r="K202" t="str" cm="1">
        <f t="array" ref="K202">VLOOKUP(OrderLines[[#This Row],[OrderID]:[OrderID]],Orders[],MATCH(OrderLines[[#Headers],[PaymentType]],Orders[#Headers],0),FALSE)</f>
        <v>Cash</v>
      </c>
      <c r="L202" t="str" cm="1">
        <f t="array" ref="L202">VLOOKUP(OrderLines[[#This Row],[OrderID]:[OrderID]],Orders[],MATCH(OrderLines[[#Headers],[Shift]],Orders[#Headers],0),FALSE)</f>
        <v>Dinner</v>
      </c>
      <c r="M202" s="8">
        <f>(OrderLines[[#This Row],[Qty]]*OrderLines[[#This Row],[UnitPrice]])*(1-OrderLines[[#This Row],[DiscountPct]])</f>
        <v>251.77180000000001</v>
      </c>
      <c r="N202" t="str">
        <f>IF(AND(COUNTIFS(OrderLines[OrderID],OrderLines[[#This Row],[OrderID]],OrderLines[Category],"Hot Meal"),COUNTIFS(OrderLines[OrderID],OrderLines[[#This Row],[OrderID]],OrderLines[Category],"Beverage")),"Combo","Single")</f>
        <v>Combo</v>
      </c>
      <c r="O202" s="8" t="str" cm="1">
        <f t="array" ref="O202">IF(SUMPRODUCT(OrderLines[UnitPrice],OrderLines[Qty],OrderLines[DiscountPct],--(OrderLines[OrderID] = OrderLines[[#This Row],[OrderID]]))&gt;40,"High Discount","Ok")</f>
        <v>Ok</v>
      </c>
      <c r="P202">
        <f>OrderLines[[#This Row],[UnitCost]]*OrderLines[[#This Row],[Qty]]</f>
        <v>121.24</v>
      </c>
      <c r="Q202" s="8">
        <f>OrderLines[[#This Row],[LineNetAmount]]-OrderLines[[#This Row],[Food Cost]]</f>
        <v>130.53180000000003</v>
      </c>
    </row>
    <row r="203" spans="1:17" x14ac:dyDescent="0.3">
      <c r="A203" t="s">
        <v>117</v>
      </c>
      <c r="B203" t="s">
        <v>402</v>
      </c>
      <c r="C203">
        <v>2</v>
      </c>
      <c r="D203" cm="1">
        <f t="array" ref="D203">VLOOKUP(OrderLines[[#This Row],[SKU]:[SKU]],Menu[],MATCH(OrderLines[[#Headers],[UnitPrice]],Menu[#Headers],0),FALSE)</f>
        <v>30.34</v>
      </c>
      <c r="E203" cm="1">
        <f t="array" ref="E203">VLOOKUP(OrderLines[[#This Row],[SKU]:[SKU]],Menu[],MATCH(OrderLines[[#Headers],[UnitCost]],Menu[#Headers],0),FALSE)</f>
        <v>14.18</v>
      </c>
      <c r="F203" t="str" cm="1">
        <f t="array" ref="F203">VLOOKUP(OrderLines[[#This Row],[SKU]:[SKU]],Menu[],MATCH(OrderLines[[#Headers],[Category]],Menu[#Headers],0),FALSE)</f>
        <v>Beverage</v>
      </c>
      <c r="G203" t="str" cm="1">
        <f t="array" ref="G203">_xlfn.TEXTJOIN("+",TRUE,_xlfn._xlws.SORT(_xlfn.UNIQUE(_xlfn._xlws.FILTER(OrderLines[Category],OrderLines[OrderID]=OrderLines[[#This Row],[OrderID]]))))</f>
        <v>Beverage+Hot Meal</v>
      </c>
      <c r="H203" s="2" cm="1">
        <f t="array" ref="H203">INT(VLOOKUP(OrderLines[[#This Row],[OrderID]:[OrderID]],Orders[],MATCH(OrderLines[[#Headers],[OrderDateTime]],Orders[#Headers],0),FALSE))</f>
        <v>45891</v>
      </c>
      <c r="I203" t="str" cm="1">
        <f t="array" ref="I203">VLOOKUP(OrderLines[[#This Row],[OrderID]:[OrderID]],Orders[],MATCH(OrderLines[[#Headers],[Branch]],Orders[#Headers],0),FALSE)</f>
        <v>Plant 2 Canteen</v>
      </c>
      <c r="J203" cm="1">
        <f t="array" ref="J203">VLOOKUP(OrderLines[[#This Row],[OrderID]:[OrderID]],Orders[],MATCH(OrderLines[[#Headers],[DiscountPct]],Orders[#Headers],0),FALSE)</f>
        <v>0.02</v>
      </c>
      <c r="K203" t="str" cm="1">
        <f t="array" ref="K203">VLOOKUP(OrderLines[[#This Row],[OrderID]:[OrderID]],Orders[],MATCH(OrderLines[[#Headers],[PaymentType]],Orders[#Headers],0),FALSE)</f>
        <v>Cash</v>
      </c>
      <c r="L203" t="str" cm="1">
        <f t="array" ref="L203">VLOOKUP(OrderLines[[#This Row],[OrderID]:[OrderID]],Orders[],MATCH(OrderLines[[#Headers],[Shift]],Orders[#Headers],0),FALSE)</f>
        <v>Dinner</v>
      </c>
      <c r="M203" s="8">
        <f>(OrderLines[[#This Row],[Qty]]*OrderLines[[#This Row],[UnitPrice]])*(1-OrderLines[[#This Row],[DiscountPct]])</f>
        <v>59.4664</v>
      </c>
      <c r="N203" t="str">
        <f>IF(AND(COUNTIFS(OrderLines[OrderID],OrderLines[[#This Row],[OrderID]],OrderLines[Category],"Hot Meal"),COUNTIFS(OrderLines[OrderID],OrderLines[[#This Row],[OrderID]],OrderLines[Category],"Beverage")),"Combo","Single")</f>
        <v>Combo</v>
      </c>
      <c r="O203" s="8" t="str" cm="1">
        <f t="array" ref="O203">IF(SUMPRODUCT(OrderLines[UnitPrice],OrderLines[Qty],OrderLines[DiscountPct],--(OrderLines[OrderID] = OrderLines[[#This Row],[OrderID]]))&gt;40,"High Discount","Ok")</f>
        <v>Ok</v>
      </c>
      <c r="P203">
        <f>OrderLines[[#This Row],[UnitCost]]*OrderLines[[#This Row],[Qty]]</f>
        <v>28.36</v>
      </c>
      <c r="Q203" s="8">
        <f>OrderLines[[#This Row],[LineNetAmount]]-OrderLines[[#This Row],[Food Cost]]</f>
        <v>31.106400000000001</v>
      </c>
    </row>
    <row r="204" spans="1:17" x14ac:dyDescent="0.3">
      <c r="A204" t="s">
        <v>118</v>
      </c>
      <c r="B204" t="s">
        <v>419</v>
      </c>
      <c r="C204">
        <v>1</v>
      </c>
      <c r="D204" cm="1">
        <f t="array" ref="D204">VLOOKUP(OrderLines[[#This Row],[SKU]:[SKU]],Menu[],MATCH(OrderLines[[#Headers],[UnitPrice]],Menu[#Headers],0),FALSE)</f>
        <v>50.19</v>
      </c>
      <c r="E204" cm="1">
        <f t="array" ref="E204">VLOOKUP(OrderLines[[#This Row],[SKU]:[SKU]],Menu[],MATCH(OrderLines[[#Headers],[UnitCost]],Menu[#Headers],0),FALSE)</f>
        <v>22.61</v>
      </c>
      <c r="F204" t="str" cm="1">
        <f t="array" ref="F204">VLOOKUP(OrderLines[[#This Row],[SKU]:[SKU]],Menu[],MATCH(OrderLines[[#Headers],[Category]],Menu[#Headers],0),FALSE)</f>
        <v>Snack</v>
      </c>
      <c r="G204" t="str" cm="1">
        <f t="array" ref="G204">_xlfn.TEXTJOIN("+",TRUE,_xlfn._xlws.SORT(_xlfn.UNIQUE(_xlfn._xlws.FILTER(OrderLines[Category],OrderLines[OrderID]=OrderLines[[#This Row],[OrderID]]))))</f>
        <v>Snack</v>
      </c>
      <c r="H204" s="2" cm="1">
        <f t="array" ref="H204">INT(VLOOKUP(OrderLines[[#This Row],[OrderID]:[OrderID]],Orders[],MATCH(OrderLines[[#Headers],[OrderDateTime]],Orders[#Headers],0),FALSE))</f>
        <v>45880</v>
      </c>
      <c r="I204" t="str" cm="1">
        <f t="array" ref="I204">VLOOKUP(OrderLines[[#This Row],[OrderID]:[OrderID]],Orders[],MATCH(OrderLines[[#Headers],[Branch]],Orders[#Headers],0),FALSE)</f>
        <v>Plant 2 Canteen</v>
      </c>
      <c r="J204" cm="1">
        <f t="array" ref="J204">VLOOKUP(OrderLines[[#This Row],[OrderID]:[OrderID]],Orders[],MATCH(OrderLines[[#Headers],[DiscountPct]],Orders[#Headers],0),FALSE)</f>
        <v>0.12</v>
      </c>
      <c r="K204" t="str" cm="1">
        <f t="array" ref="K204">VLOOKUP(OrderLines[[#This Row],[OrderID]:[OrderID]],Orders[],MATCH(OrderLines[[#Headers],[PaymentType]],Orders[#Headers],0),FALSE)</f>
        <v>UPI</v>
      </c>
      <c r="L204" t="str" cm="1">
        <f t="array" ref="L204">VLOOKUP(OrderLines[[#This Row],[OrderID]:[OrderID]],Orders[],MATCH(OrderLines[[#Headers],[Shift]],Orders[#Headers],0),FALSE)</f>
        <v>Breakfast</v>
      </c>
      <c r="M204" s="8">
        <f>(OrderLines[[#This Row],[Qty]]*OrderLines[[#This Row],[UnitPrice]])*(1-OrderLines[[#This Row],[DiscountPct]])</f>
        <v>44.167200000000001</v>
      </c>
      <c r="N204" t="str">
        <f>IF(AND(COUNTIFS(OrderLines[OrderID],OrderLines[[#This Row],[OrderID]],OrderLines[Category],"Hot Meal"),COUNTIFS(OrderLines[OrderID],OrderLines[[#This Row],[OrderID]],OrderLines[Category],"Beverage")),"Combo","Single")</f>
        <v>Single</v>
      </c>
      <c r="O204" s="8" t="str" cm="1">
        <f t="array" ref="O204">IF(SUMPRODUCT(OrderLines[UnitPrice],OrderLines[Qty],OrderLines[DiscountPct],--(OrderLines[OrderID] = OrderLines[[#This Row],[OrderID]]))&gt;40,"High Discount","Ok")</f>
        <v>Ok</v>
      </c>
      <c r="P204">
        <f>OrderLines[[#This Row],[UnitCost]]*OrderLines[[#This Row],[Qty]]</f>
        <v>22.61</v>
      </c>
      <c r="Q204" s="8">
        <f>OrderLines[[#This Row],[LineNetAmount]]-OrderLines[[#This Row],[Food Cost]]</f>
        <v>21.557200000000002</v>
      </c>
    </row>
    <row r="205" spans="1:17" x14ac:dyDescent="0.3">
      <c r="A205" t="s">
        <v>119</v>
      </c>
      <c r="B205" t="s">
        <v>418</v>
      </c>
      <c r="C205">
        <v>3</v>
      </c>
      <c r="D205" cm="1">
        <f t="array" ref="D205">VLOOKUP(OrderLines[[#This Row],[SKU]:[SKU]],Menu[],MATCH(OrderLines[[#Headers],[UnitPrice]],Menu[#Headers],0),FALSE)</f>
        <v>39.950000000000003</v>
      </c>
      <c r="E205" cm="1">
        <f t="array" ref="E205">VLOOKUP(OrderLines[[#This Row],[SKU]:[SKU]],Menu[],MATCH(OrderLines[[#Headers],[UnitCost]],Menu[#Headers],0),FALSE)</f>
        <v>15.51</v>
      </c>
      <c r="F205" t="str" cm="1">
        <f t="array" ref="F205">VLOOKUP(OrderLines[[#This Row],[SKU]:[SKU]],Menu[],MATCH(OrderLines[[#Headers],[Category]],Menu[#Headers],0),FALSE)</f>
        <v>Snack</v>
      </c>
      <c r="G205" t="str" cm="1">
        <f t="array" ref="G205">_xlfn.TEXTJOIN("+",TRUE,_xlfn._xlws.SORT(_xlfn.UNIQUE(_xlfn._xlws.FILTER(OrderLines[Category],OrderLines[OrderID]=OrderLines[[#This Row],[OrderID]]))))</f>
        <v>Snack</v>
      </c>
      <c r="H205" s="2" cm="1">
        <f t="array" ref="H205">INT(VLOOKUP(OrderLines[[#This Row],[OrderID]:[OrderID]],Orders[],MATCH(OrderLines[[#Headers],[OrderDateTime]],Orders[#Headers],0),FALSE))</f>
        <v>45895</v>
      </c>
      <c r="I205" t="str" cm="1">
        <f t="array" ref="I205">VLOOKUP(OrderLines[[#This Row],[OrderID]:[OrderID]],Orders[],MATCH(OrderLines[[#Headers],[Branch]],Orders[#Headers],0),FALSE)</f>
        <v>Plant 2 Canteen</v>
      </c>
      <c r="J205" cm="1">
        <f t="array" ref="J205">VLOOKUP(OrderLines[[#This Row],[OrderID]:[OrderID]],Orders[],MATCH(OrderLines[[#Headers],[DiscountPct]],Orders[#Headers],0),FALSE)</f>
        <v>0</v>
      </c>
      <c r="K205" t="str" cm="1">
        <f t="array" ref="K205">VLOOKUP(OrderLines[[#This Row],[OrderID]:[OrderID]],Orders[],MATCH(OrderLines[[#Headers],[PaymentType]],Orders[#Headers],0),FALSE)</f>
        <v>Cash</v>
      </c>
      <c r="L205" t="str" cm="1">
        <f t="array" ref="L205">VLOOKUP(OrderLines[[#This Row],[OrderID]:[OrderID]],Orders[],MATCH(OrderLines[[#Headers],[Shift]],Orders[#Headers],0),FALSE)</f>
        <v>Breakfast</v>
      </c>
      <c r="M205" s="8">
        <f>(OrderLines[[#This Row],[Qty]]*OrderLines[[#This Row],[UnitPrice]])*(1-OrderLines[[#This Row],[DiscountPct]])</f>
        <v>119.85000000000001</v>
      </c>
      <c r="N205" t="str">
        <f>IF(AND(COUNTIFS(OrderLines[OrderID],OrderLines[[#This Row],[OrderID]],OrderLines[Category],"Hot Meal"),COUNTIFS(OrderLines[OrderID],OrderLines[[#This Row],[OrderID]],OrderLines[Category],"Beverage")),"Combo","Single")</f>
        <v>Single</v>
      </c>
      <c r="O205" s="8" t="str" cm="1">
        <f t="array" ref="O205">IF(SUMPRODUCT(OrderLines[UnitPrice],OrderLines[Qty],OrderLines[DiscountPct],--(OrderLines[OrderID] = OrderLines[[#This Row],[OrderID]]))&gt;40,"High Discount","Ok")</f>
        <v>Ok</v>
      </c>
      <c r="P205">
        <f>OrderLines[[#This Row],[UnitCost]]*OrderLines[[#This Row],[Qty]]</f>
        <v>46.53</v>
      </c>
      <c r="Q205" s="8">
        <f>OrderLines[[#This Row],[LineNetAmount]]-OrderLines[[#This Row],[Food Cost]]</f>
        <v>73.320000000000007</v>
      </c>
    </row>
    <row r="206" spans="1:17" x14ac:dyDescent="0.3">
      <c r="A206" t="s">
        <v>120</v>
      </c>
      <c r="B206" t="s">
        <v>402</v>
      </c>
      <c r="C206">
        <v>1</v>
      </c>
      <c r="D206" cm="1">
        <f t="array" ref="D206">VLOOKUP(OrderLines[[#This Row],[SKU]:[SKU]],Menu[],MATCH(OrderLines[[#Headers],[UnitPrice]],Menu[#Headers],0),FALSE)</f>
        <v>30.34</v>
      </c>
      <c r="E206" cm="1">
        <f t="array" ref="E206">VLOOKUP(OrderLines[[#This Row],[SKU]:[SKU]],Menu[],MATCH(OrderLines[[#Headers],[UnitCost]],Menu[#Headers],0),FALSE)</f>
        <v>14.18</v>
      </c>
      <c r="F206" t="str" cm="1">
        <f t="array" ref="F206">VLOOKUP(OrderLines[[#This Row],[SKU]:[SKU]],Menu[],MATCH(OrderLines[[#Headers],[Category]],Menu[#Headers],0),FALSE)</f>
        <v>Beverage</v>
      </c>
      <c r="G206" t="str" cm="1">
        <f t="array" ref="G206">_xlfn.TEXTJOIN("+",TRUE,_xlfn._xlws.SORT(_xlfn.UNIQUE(_xlfn._xlws.FILTER(OrderLines[Category],OrderLines[OrderID]=OrderLines[[#This Row],[OrderID]]))))</f>
        <v>Beverage+Hot Meal</v>
      </c>
      <c r="H206" s="2" cm="1">
        <f t="array" ref="H206">INT(VLOOKUP(OrderLines[[#This Row],[OrderID]:[OrderID]],Orders[],MATCH(OrderLines[[#Headers],[OrderDateTime]],Orders[#Headers],0),FALSE))</f>
        <v>45868</v>
      </c>
      <c r="I206" t="str" cm="1">
        <f t="array" ref="I206">VLOOKUP(OrderLines[[#This Row],[OrderID]:[OrderID]],Orders[],MATCH(OrderLines[[#Headers],[Branch]],Orders[#Headers],0),FALSE)</f>
        <v>Plant 2 Canteen</v>
      </c>
      <c r="J206" cm="1">
        <f t="array" ref="J206">VLOOKUP(OrderLines[[#This Row],[OrderID]:[OrderID]],Orders[],MATCH(OrderLines[[#Headers],[DiscountPct]],Orders[#Headers],0),FALSE)</f>
        <v>0.08</v>
      </c>
      <c r="K206" t="str" cm="1">
        <f t="array" ref="K206">VLOOKUP(OrderLines[[#This Row],[OrderID]:[OrderID]],Orders[],MATCH(OrderLines[[#Headers],[PaymentType]],Orders[#Headers],0),FALSE)</f>
        <v>UPI</v>
      </c>
      <c r="L206" t="str" cm="1">
        <f t="array" ref="L206">VLOOKUP(OrderLines[[#This Row],[OrderID]:[OrderID]],Orders[],MATCH(OrderLines[[#Headers],[Shift]],Orders[#Headers],0),FALSE)</f>
        <v>Breakfast</v>
      </c>
      <c r="M206" s="8">
        <f>(OrderLines[[#This Row],[Qty]]*OrderLines[[#This Row],[UnitPrice]])*(1-OrderLines[[#This Row],[DiscountPct]])</f>
        <v>27.912800000000001</v>
      </c>
      <c r="N206" t="str">
        <f>IF(AND(COUNTIFS(OrderLines[OrderID],OrderLines[[#This Row],[OrderID]],OrderLines[Category],"Hot Meal"),COUNTIFS(OrderLines[OrderID],OrderLines[[#This Row],[OrderID]],OrderLines[Category],"Beverage")),"Combo","Single")</f>
        <v>Combo</v>
      </c>
      <c r="O206" s="8" t="str" cm="1">
        <f t="array" ref="O206">IF(SUMPRODUCT(OrderLines[UnitPrice],OrderLines[Qty],OrderLines[DiscountPct],--(OrderLines[OrderID] = OrderLines[[#This Row],[OrderID]]))&gt;40,"High Discount","Ok")</f>
        <v>Ok</v>
      </c>
      <c r="P206">
        <f>OrderLines[[#This Row],[UnitCost]]*OrderLines[[#This Row],[Qty]]</f>
        <v>14.18</v>
      </c>
      <c r="Q206" s="8">
        <f>OrderLines[[#This Row],[LineNetAmount]]-OrderLines[[#This Row],[Food Cost]]</f>
        <v>13.732800000000001</v>
      </c>
    </row>
    <row r="207" spans="1:17" x14ac:dyDescent="0.3">
      <c r="A207" t="s">
        <v>120</v>
      </c>
      <c r="B207" t="s">
        <v>417</v>
      </c>
      <c r="C207">
        <v>2</v>
      </c>
      <c r="D207" cm="1">
        <f t="array" ref="D207">VLOOKUP(OrderLines[[#This Row],[SKU]:[SKU]],Menu[],MATCH(OrderLines[[#Headers],[UnitPrice]],Menu[#Headers],0),FALSE)</f>
        <v>146.4</v>
      </c>
      <c r="E207" cm="1">
        <f t="array" ref="E207">VLOOKUP(OrderLines[[#This Row],[SKU]:[SKU]],Menu[],MATCH(OrderLines[[#Headers],[UnitCost]],Menu[#Headers],0),FALSE)</f>
        <v>80.92</v>
      </c>
      <c r="F207" t="str" cm="1">
        <f t="array" ref="F207">VLOOKUP(OrderLines[[#This Row],[SKU]:[SKU]],Menu[],MATCH(OrderLines[[#Headers],[Category]],Menu[#Headers],0),FALSE)</f>
        <v>Hot Meal</v>
      </c>
      <c r="G207" t="str" cm="1">
        <f t="array" ref="G207">_xlfn.TEXTJOIN("+",TRUE,_xlfn._xlws.SORT(_xlfn.UNIQUE(_xlfn._xlws.FILTER(OrderLines[Category],OrderLines[OrderID]=OrderLines[[#This Row],[OrderID]]))))</f>
        <v>Beverage+Hot Meal</v>
      </c>
      <c r="H207" s="2" cm="1">
        <f t="array" ref="H207">INT(VLOOKUP(OrderLines[[#This Row],[OrderID]:[OrderID]],Orders[],MATCH(OrderLines[[#Headers],[OrderDateTime]],Orders[#Headers],0),FALSE))</f>
        <v>45868</v>
      </c>
      <c r="I207" t="str" cm="1">
        <f t="array" ref="I207">VLOOKUP(OrderLines[[#This Row],[OrderID]:[OrderID]],Orders[],MATCH(OrderLines[[#Headers],[Branch]],Orders[#Headers],0),FALSE)</f>
        <v>Plant 2 Canteen</v>
      </c>
      <c r="J207" cm="1">
        <f t="array" ref="J207">VLOOKUP(OrderLines[[#This Row],[OrderID]:[OrderID]],Orders[],MATCH(OrderLines[[#Headers],[DiscountPct]],Orders[#Headers],0),FALSE)</f>
        <v>0.08</v>
      </c>
      <c r="K207" t="str" cm="1">
        <f t="array" ref="K207">VLOOKUP(OrderLines[[#This Row],[OrderID]:[OrderID]],Orders[],MATCH(OrderLines[[#Headers],[PaymentType]],Orders[#Headers],0),FALSE)</f>
        <v>UPI</v>
      </c>
      <c r="L207" t="str" cm="1">
        <f t="array" ref="L207">VLOOKUP(OrderLines[[#This Row],[OrderID]:[OrderID]],Orders[],MATCH(OrderLines[[#Headers],[Shift]],Orders[#Headers],0),FALSE)</f>
        <v>Breakfast</v>
      </c>
      <c r="M207" s="8">
        <f>(OrderLines[[#This Row],[Qty]]*OrderLines[[#This Row],[UnitPrice]])*(1-OrderLines[[#This Row],[DiscountPct]])</f>
        <v>269.37600000000003</v>
      </c>
      <c r="N207" t="str">
        <f>IF(AND(COUNTIFS(OrderLines[OrderID],OrderLines[[#This Row],[OrderID]],OrderLines[Category],"Hot Meal"),COUNTIFS(OrderLines[OrderID],OrderLines[[#This Row],[OrderID]],OrderLines[Category],"Beverage")),"Combo","Single")</f>
        <v>Combo</v>
      </c>
      <c r="O207" s="8" t="str" cm="1">
        <f t="array" ref="O207">IF(SUMPRODUCT(OrderLines[UnitPrice],OrderLines[Qty],OrderLines[DiscountPct],--(OrderLines[OrderID] = OrderLines[[#This Row],[OrderID]]))&gt;40,"High Discount","Ok")</f>
        <v>Ok</v>
      </c>
      <c r="P207">
        <f>OrderLines[[#This Row],[UnitCost]]*OrderLines[[#This Row],[Qty]]</f>
        <v>161.84</v>
      </c>
      <c r="Q207" s="8">
        <f>OrderLines[[#This Row],[LineNetAmount]]-OrderLines[[#This Row],[Food Cost]]</f>
        <v>107.53600000000003</v>
      </c>
    </row>
    <row r="208" spans="1:17" x14ac:dyDescent="0.3">
      <c r="A208" t="s">
        <v>121</v>
      </c>
      <c r="B208" t="s">
        <v>402</v>
      </c>
      <c r="C208">
        <v>1</v>
      </c>
      <c r="D208" cm="1">
        <f t="array" ref="D208">VLOOKUP(OrderLines[[#This Row],[SKU]:[SKU]],Menu[],MATCH(OrderLines[[#Headers],[UnitPrice]],Menu[#Headers],0),FALSE)</f>
        <v>30.34</v>
      </c>
      <c r="E208" cm="1">
        <f t="array" ref="E208">VLOOKUP(OrderLines[[#This Row],[SKU]:[SKU]],Menu[],MATCH(OrderLines[[#Headers],[UnitCost]],Menu[#Headers],0),FALSE)</f>
        <v>14.18</v>
      </c>
      <c r="F208" t="str" cm="1">
        <f t="array" ref="F208">VLOOKUP(OrderLines[[#This Row],[SKU]:[SKU]],Menu[],MATCH(OrderLines[[#Headers],[Category]],Menu[#Headers],0),FALSE)</f>
        <v>Beverage</v>
      </c>
      <c r="G208" t="str" cm="1">
        <f t="array" ref="G208">_xlfn.TEXTJOIN("+",TRUE,_xlfn._xlws.SORT(_xlfn.UNIQUE(_xlfn._xlws.FILTER(OrderLines[Category],OrderLines[OrderID]=OrderLines[[#This Row],[OrderID]]))))</f>
        <v>Beverage+Dessert+Snack</v>
      </c>
      <c r="H208" s="2" cm="1">
        <f t="array" ref="H208">INT(VLOOKUP(OrderLines[[#This Row],[OrderID]:[OrderID]],Orders[],MATCH(OrderLines[[#Headers],[OrderDateTime]],Orders[#Headers],0),FALSE))</f>
        <v>45897</v>
      </c>
      <c r="I208" t="str" cm="1">
        <f t="array" ref="I208">VLOOKUP(OrderLines[[#This Row],[OrderID]:[OrderID]],Orders[],MATCH(OrderLines[[#Headers],[Branch]],Orders[#Headers],0),FALSE)</f>
        <v>Plant 1 Canteen</v>
      </c>
      <c r="J208" cm="1">
        <f t="array" ref="J208">VLOOKUP(OrderLines[[#This Row],[OrderID]:[OrderID]],Orders[],MATCH(OrderLines[[#Headers],[DiscountPct]],Orders[#Headers],0),FALSE)</f>
        <v>0.15</v>
      </c>
      <c r="K208" t="str" cm="1">
        <f t="array" ref="K208">VLOOKUP(OrderLines[[#This Row],[OrderID]:[OrderID]],Orders[],MATCH(OrderLines[[#Headers],[PaymentType]],Orders[#Headers],0),FALSE)</f>
        <v>Cash</v>
      </c>
      <c r="L208" t="str" cm="1">
        <f t="array" ref="L208">VLOOKUP(OrderLines[[#This Row],[OrderID]:[OrderID]],Orders[],MATCH(OrderLines[[#Headers],[Shift]],Orders[#Headers],0),FALSE)</f>
        <v>Dinner</v>
      </c>
      <c r="M208" s="8">
        <f>(OrderLines[[#This Row],[Qty]]*OrderLines[[#This Row],[UnitPrice]])*(1-OrderLines[[#This Row],[DiscountPct]])</f>
        <v>25.788999999999998</v>
      </c>
      <c r="N208" t="str">
        <f>IF(AND(COUNTIFS(OrderLines[OrderID],OrderLines[[#This Row],[OrderID]],OrderLines[Category],"Hot Meal"),COUNTIFS(OrderLines[OrderID],OrderLines[[#This Row],[OrderID]],OrderLines[Category],"Beverage")),"Combo","Single")</f>
        <v>Single</v>
      </c>
      <c r="O208" s="8" t="str" cm="1">
        <f t="array" ref="O208">IF(SUMPRODUCT(OrderLines[UnitPrice],OrderLines[Qty],OrderLines[DiscountPct],--(OrderLines[OrderID] = OrderLines[[#This Row],[OrderID]]))&gt;40,"High Discount","Ok")</f>
        <v>Ok</v>
      </c>
      <c r="P208">
        <f>OrderLines[[#This Row],[UnitCost]]*OrderLines[[#This Row],[Qty]]</f>
        <v>14.18</v>
      </c>
      <c r="Q208" s="8">
        <f>OrderLines[[#This Row],[LineNetAmount]]-OrderLines[[#This Row],[Food Cost]]</f>
        <v>11.608999999999998</v>
      </c>
    </row>
    <row r="209" spans="1:17" x14ac:dyDescent="0.3">
      <c r="A209" t="s">
        <v>121</v>
      </c>
      <c r="B209" t="s">
        <v>403</v>
      </c>
      <c r="C209">
        <v>2</v>
      </c>
      <c r="D209" cm="1">
        <f t="array" ref="D209">VLOOKUP(OrderLines[[#This Row],[SKU]:[SKU]],Menu[],MATCH(OrderLines[[#Headers],[UnitPrice]],Menu[#Headers],0),FALSE)</f>
        <v>76.55</v>
      </c>
      <c r="E209" cm="1">
        <f t="array" ref="E209">VLOOKUP(OrderLines[[#This Row],[SKU]:[SKU]],Menu[],MATCH(OrderLines[[#Headers],[UnitCost]],Menu[#Headers],0),FALSE)</f>
        <v>38.229999999999997</v>
      </c>
      <c r="F209" t="str" cm="1">
        <f t="array" ref="F209">VLOOKUP(OrderLines[[#This Row],[SKU]:[SKU]],Menu[],MATCH(OrderLines[[#Headers],[Category]],Menu[#Headers],0),FALSE)</f>
        <v>Dessert</v>
      </c>
      <c r="G209" t="str" cm="1">
        <f t="array" ref="G209">_xlfn.TEXTJOIN("+",TRUE,_xlfn._xlws.SORT(_xlfn.UNIQUE(_xlfn._xlws.FILTER(OrderLines[Category],OrderLines[OrderID]=OrderLines[[#This Row],[OrderID]]))))</f>
        <v>Beverage+Dessert+Snack</v>
      </c>
      <c r="H209" s="2" cm="1">
        <f t="array" ref="H209">INT(VLOOKUP(OrderLines[[#This Row],[OrderID]:[OrderID]],Orders[],MATCH(OrderLines[[#Headers],[OrderDateTime]],Orders[#Headers],0),FALSE))</f>
        <v>45897</v>
      </c>
      <c r="I209" t="str" cm="1">
        <f t="array" ref="I209">VLOOKUP(OrderLines[[#This Row],[OrderID]:[OrderID]],Orders[],MATCH(OrderLines[[#Headers],[Branch]],Orders[#Headers],0),FALSE)</f>
        <v>Plant 1 Canteen</v>
      </c>
      <c r="J209" cm="1">
        <f t="array" ref="J209">VLOOKUP(OrderLines[[#This Row],[OrderID]:[OrderID]],Orders[],MATCH(OrderLines[[#Headers],[DiscountPct]],Orders[#Headers],0),FALSE)</f>
        <v>0.15</v>
      </c>
      <c r="K209" t="str" cm="1">
        <f t="array" ref="K209">VLOOKUP(OrderLines[[#This Row],[OrderID]:[OrderID]],Orders[],MATCH(OrderLines[[#Headers],[PaymentType]],Orders[#Headers],0),FALSE)</f>
        <v>Cash</v>
      </c>
      <c r="L209" t="str" cm="1">
        <f t="array" ref="L209">VLOOKUP(OrderLines[[#This Row],[OrderID]:[OrderID]],Orders[],MATCH(OrderLines[[#Headers],[Shift]],Orders[#Headers],0),FALSE)</f>
        <v>Dinner</v>
      </c>
      <c r="M209" s="8">
        <f>(OrderLines[[#This Row],[Qty]]*OrderLines[[#This Row],[UnitPrice]])*(1-OrderLines[[#This Row],[DiscountPct]])</f>
        <v>130.13499999999999</v>
      </c>
      <c r="N209" t="str">
        <f>IF(AND(COUNTIFS(OrderLines[OrderID],OrderLines[[#This Row],[OrderID]],OrderLines[Category],"Hot Meal"),COUNTIFS(OrderLines[OrderID],OrderLines[[#This Row],[OrderID]],OrderLines[Category],"Beverage")),"Combo","Single")</f>
        <v>Single</v>
      </c>
      <c r="O209" s="8" t="str" cm="1">
        <f t="array" ref="O209">IF(SUMPRODUCT(OrderLines[UnitPrice],OrderLines[Qty],OrderLines[DiscountPct],--(OrderLines[OrderID] = OrderLines[[#This Row],[OrderID]]))&gt;40,"High Discount","Ok")</f>
        <v>Ok</v>
      </c>
      <c r="P209">
        <f>OrderLines[[#This Row],[UnitCost]]*OrderLines[[#This Row],[Qty]]</f>
        <v>76.459999999999994</v>
      </c>
      <c r="Q209" s="8">
        <f>OrderLines[[#This Row],[LineNetAmount]]-OrderLines[[#This Row],[Food Cost]]</f>
        <v>53.674999999999997</v>
      </c>
    </row>
    <row r="210" spans="1:17" x14ac:dyDescent="0.3">
      <c r="A210" t="s">
        <v>121</v>
      </c>
      <c r="B210" t="s">
        <v>401</v>
      </c>
      <c r="C210">
        <v>1</v>
      </c>
      <c r="D210" cm="1">
        <f t="array" ref="D210">VLOOKUP(OrderLines[[#This Row],[SKU]:[SKU]],Menu[],MATCH(OrderLines[[#Headers],[UnitPrice]],Menu[#Headers],0),FALSE)</f>
        <v>52.45</v>
      </c>
      <c r="E210" cm="1">
        <f t="array" ref="E210">VLOOKUP(OrderLines[[#This Row],[SKU]:[SKU]],Menu[],MATCH(OrderLines[[#Headers],[UnitCost]],Menu[#Headers],0),FALSE)</f>
        <v>25.8</v>
      </c>
      <c r="F210" t="str" cm="1">
        <f t="array" ref="F210">VLOOKUP(OrderLines[[#This Row],[SKU]:[SKU]],Menu[],MATCH(OrderLines[[#Headers],[Category]],Menu[#Headers],0),FALSE)</f>
        <v>Snack</v>
      </c>
      <c r="G210" t="str" cm="1">
        <f t="array" ref="G210">_xlfn.TEXTJOIN("+",TRUE,_xlfn._xlws.SORT(_xlfn.UNIQUE(_xlfn._xlws.FILTER(OrderLines[Category],OrderLines[OrderID]=OrderLines[[#This Row],[OrderID]]))))</f>
        <v>Beverage+Dessert+Snack</v>
      </c>
      <c r="H210" s="2" cm="1">
        <f t="array" ref="H210">INT(VLOOKUP(OrderLines[[#This Row],[OrderID]:[OrderID]],Orders[],MATCH(OrderLines[[#Headers],[OrderDateTime]],Orders[#Headers],0),FALSE))</f>
        <v>45897</v>
      </c>
      <c r="I210" t="str" cm="1">
        <f t="array" ref="I210">VLOOKUP(OrderLines[[#This Row],[OrderID]:[OrderID]],Orders[],MATCH(OrderLines[[#Headers],[Branch]],Orders[#Headers],0),FALSE)</f>
        <v>Plant 1 Canteen</v>
      </c>
      <c r="J210" cm="1">
        <f t="array" ref="J210">VLOOKUP(OrderLines[[#This Row],[OrderID]:[OrderID]],Orders[],MATCH(OrderLines[[#Headers],[DiscountPct]],Orders[#Headers],0),FALSE)</f>
        <v>0.15</v>
      </c>
      <c r="K210" t="str" cm="1">
        <f t="array" ref="K210">VLOOKUP(OrderLines[[#This Row],[OrderID]:[OrderID]],Orders[],MATCH(OrderLines[[#Headers],[PaymentType]],Orders[#Headers],0),FALSE)</f>
        <v>Cash</v>
      </c>
      <c r="L210" t="str" cm="1">
        <f t="array" ref="L210">VLOOKUP(OrderLines[[#This Row],[OrderID]:[OrderID]],Orders[],MATCH(OrderLines[[#Headers],[Shift]],Orders[#Headers],0),FALSE)</f>
        <v>Dinner</v>
      </c>
      <c r="M210" s="8">
        <f>(OrderLines[[#This Row],[Qty]]*OrderLines[[#This Row],[UnitPrice]])*(1-OrderLines[[#This Row],[DiscountPct]])</f>
        <v>44.582500000000003</v>
      </c>
      <c r="N210" t="str">
        <f>IF(AND(COUNTIFS(OrderLines[OrderID],OrderLines[[#This Row],[OrderID]],OrderLines[Category],"Hot Meal"),COUNTIFS(OrderLines[OrderID],OrderLines[[#This Row],[OrderID]],OrderLines[Category],"Beverage")),"Combo","Single")</f>
        <v>Single</v>
      </c>
      <c r="O210" s="8" t="str" cm="1">
        <f t="array" ref="O210">IF(SUMPRODUCT(OrderLines[UnitPrice],OrderLines[Qty],OrderLines[DiscountPct],--(OrderLines[OrderID] = OrderLines[[#This Row],[OrderID]]))&gt;40,"High Discount","Ok")</f>
        <v>Ok</v>
      </c>
      <c r="P210">
        <f>OrderLines[[#This Row],[UnitCost]]*OrderLines[[#This Row],[Qty]]</f>
        <v>25.8</v>
      </c>
      <c r="Q210" s="8">
        <f>OrderLines[[#This Row],[LineNetAmount]]-OrderLines[[#This Row],[Food Cost]]</f>
        <v>18.782500000000002</v>
      </c>
    </row>
    <row r="211" spans="1:17" x14ac:dyDescent="0.3">
      <c r="A211" t="s">
        <v>122</v>
      </c>
      <c r="B211" t="s">
        <v>413</v>
      </c>
      <c r="C211">
        <v>1</v>
      </c>
      <c r="D211" cm="1">
        <f t="array" ref="D211">VLOOKUP(OrderLines[[#This Row],[SKU]:[SKU]],Menu[],MATCH(OrderLines[[#Headers],[UnitPrice]],Menu[#Headers],0),FALSE)</f>
        <v>54.2</v>
      </c>
      <c r="E211" cm="1">
        <f t="array" ref="E211">VLOOKUP(OrderLines[[#This Row],[SKU]:[SKU]],Menu[],MATCH(OrderLines[[#Headers],[UnitCost]],Menu[#Headers],0),FALSE)</f>
        <v>21.95</v>
      </c>
      <c r="F211" t="str" cm="1">
        <f t="array" ref="F211">VLOOKUP(OrderLines[[#This Row],[SKU]:[SKU]],Menu[],MATCH(OrderLines[[#Headers],[Category]],Menu[#Headers],0),FALSE)</f>
        <v>Dessert</v>
      </c>
      <c r="G211" t="str" cm="1">
        <f t="array" ref="G211">_xlfn.TEXTJOIN("+",TRUE,_xlfn._xlws.SORT(_xlfn.UNIQUE(_xlfn._xlws.FILTER(OrderLines[Category],OrderLines[OrderID]=OrderLines[[#This Row],[OrderID]]))))</f>
        <v>Dessert+Snack</v>
      </c>
      <c r="H211" s="2" cm="1">
        <f t="array" ref="H211">INT(VLOOKUP(OrderLines[[#This Row],[OrderID]:[OrderID]],Orders[],MATCH(OrderLines[[#Headers],[OrderDateTime]],Orders[#Headers],0),FALSE))</f>
        <v>45881</v>
      </c>
      <c r="I211" t="str" cm="1">
        <f t="array" ref="I211">VLOOKUP(OrderLines[[#This Row],[OrderID]:[OrderID]],Orders[],MATCH(OrderLines[[#Headers],[Branch]],Orders[#Headers],0),FALSE)</f>
        <v>Plant 2 Canteen</v>
      </c>
      <c r="J211" cm="1">
        <f t="array" ref="J211">VLOOKUP(OrderLines[[#This Row],[OrderID]:[OrderID]],Orders[],MATCH(OrderLines[[#Headers],[DiscountPct]],Orders[#Headers],0),FALSE)</f>
        <v>0.02</v>
      </c>
      <c r="K211" t="str" cm="1">
        <f t="array" ref="K211">VLOOKUP(OrderLines[[#This Row],[OrderID]:[OrderID]],Orders[],MATCH(OrderLines[[#Headers],[PaymentType]],Orders[#Headers],0),FALSE)</f>
        <v>Card</v>
      </c>
      <c r="L211" t="str" cm="1">
        <f t="array" ref="L211">VLOOKUP(OrderLines[[#This Row],[OrderID]:[OrderID]],Orders[],MATCH(OrderLines[[#Headers],[Shift]],Orders[#Headers],0),FALSE)</f>
        <v>Lunch</v>
      </c>
      <c r="M211" s="8">
        <f>(OrderLines[[#This Row],[Qty]]*OrderLines[[#This Row],[UnitPrice]])*(1-OrderLines[[#This Row],[DiscountPct]])</f>
        <v>53.116</v>
      </c>
      <c r="N211" t="str">
        <f>IF(AND(COUNTIFS(OrderLines[OrderID],OrderLines[[#This Row],[OrderID]],OrderLines[Category],"Hot Meal"),COUNTIFS(OrderLines[OrderID],OrderLines[[#This Row],[OrderID]],OrderLines[Category],"Beverage")),"Combo","Single")</f>
        <v>Single</v>
      </c>
      <c r="O211" s="8" t="str" cm="1">
        <f t="array" ref="O211">IF(SUMPRODUCT(OrderLines[UnitPrice],OrderLines[Qty],OrderLines[DiscountPct],--(OrderLines[OrderID] = OrderLines[[#This Row],[OrderID]]))&gt;40,"High Discount","Ok")</f>
        <v>Ok</v>
      </c>
      <c r="P211">
        <f>OrderLines[[#This Row],[UnitCost]]*OrderLines[[#This Row],[Qty]]</f>
        <v>21.95</v>
      </c>
      <c r="Q211" s="8">
        <f>OrderLines[[#This Row],[LineNetAmount]]-OrderLines[[#This Row],[Food Cost]]</f>
        <v>31.166</v>
      </c>
    </row>
    <row r="212" spans="1:17" x14ac:dyDescent="0.3">
      <c r="A212" t="s">
        <v>122</v>
      </c>
      <c r="B212" t="s">
        <v>419</v>
      </c>
      <c r="C212">
        <v>2</v>
      </c>
      <c r="D212" cm="1">
        <f t="array" ref="D212">VLOOKUP(OrderLines[[#This Row],[SKU]:[SKU]],Menu[],MATCH(OrderLines[[#Headers],[UnitPrice]],Menu[#Headers],0),FALSE)</f>
        <v>50.19</v>
      </c>
      <c r="E212" cm="1">
        <f t="array" ref="E212">VLOOKUP(OrderLines[[#This Row],[SKU]:[SKU]],Menu[],MATCH(OrderLines[[#Headers],[UnitCost]],Menu[#Headers],0),FALSE)</f>
        <v>22.61</v>
      </c>
      <c r="F212" t="str" cm="1">
        <f t="array" ref="F212">VLOOKUP(OrderLines[[#This Row],[SKU]:[SKU]],Menu[],MATCH(OrderLines[[#Headers],[Category]],Menu[#Headers],0),FALSE)</f>
        <v>Snack</v>
      </c>
      <c r="G212" t="str" cm="1">
        <f t="array" ref="G212">_xlfn.TEXTJOIN("+",TRUE,_xlfn._xlws.SORT(_xlfn.UNIQUE(_xlfn._xlws.FILTER(OrderLines[Category],OrderLines[OrderID]=OrderLines[[#This Row],[OrderID]]))))</f>
        <v>Dessert+Snack</v>
      </c>
      <c r="H212" s="2" cm="1">
        <f t="array" ref="H212">INT(VLOOKUP(OrderLines[[#This Row],[OrderID]:[OrderID]],Orders[],MATCH(OrderLines[[#Headers],[OrderDateTime]],Orders[#Headers],0),FALSE))</f>
        <v>45881</v>
      </c>
      <c r="I212" t="str" cm="1">
        <f t="array" ref="I212">VLOOKUP(OrderLines[[#This Row],[OrderID]:[OrderID]],Orders[],MATCH(OrderLines[[#Headers],[Branch]],Orders[#Headers],0),FALSE)</f>
        <v>Plant 2 Canteen</v>
      </c>
      <c r="J212" cm="1">
        <f t="array" ref="J212">VLOOKUP(OrderLines[[#This Row],[OrderID]:[OrderID]],Orders[],MATCH(OrderLines[[#Headers],[DiscountPct]],Orders[#Headers],0),FALSE)</f>
        <v>0.02</v>
      </c>
      <c r="K212" t="str" cm="1">
        <f t="array" ref="K212">VLOOKUP(OrderLines[[#This Row],[OrderID]:[OrderID]],Orders[],MATCH(OrderLines[[#Headers],[PaymentType]],Orders[#Headers],0),FALSE)</f>
        <v>Card</v>
      </c>
      <c r="L212" t="str" cm="1">
        <f t="array" ref="L212">VLOOKUP(OrderLines[[#This Row],[OrderID]:[OrderID]],Orders[],MATCH(OrderLines[[#Headers],[Shift]],Orders[#Headers],0),FALSE)</f>
        <v>Lunch</v>
      </c>
      <c r="M212" s="8">
        <f>(OrderLines[[#This Row],[Qty]]*OrderLines[[#This Row],[UnitPrice]])*(1-OrderLines[[#This Row],[DiscountPct]])</f>
        <v>98.372399999999999</v>
      </c>
      <c r="N212" t="str">
        <f>IF(AND(COUNTIFS(OrderLines[OrderID],OrderLines[[#This Row],[OrderID]],OrderLines[Category],"Hot Meal"),COUNTIFS(OrderLines[OrderID],OrderLines[[#This Row],[OrderID]],OrderLines[Category],"Beverage")),"Combo","Single")</f>
        <v>Single</v>
      </c>
      <c r="O212" s="8" t="str" cm="1">
        <f t="array" ref="O212">IF(SUMPRODUCT(OrderLines[UnitPrice],OrderLines[Qty],OrderLines[DiscountPct],--(OrderLines[OrderID] = OrderLines[[#This Row],[OrderID]]))&gt;40,"High Discount","Ok")</f>
        <v>Ok</v>
      </c>
      <c r="P212">
        <f>OrderLines[[#This Row],[UnitCost]]*OrderLines[[#This Row],[Qty]]</f>
        <v>45.22</v>
      </c>
      <c r="Q212" s="8">
        <f>OrderLines[[#This Row],[LineNetAmount]]-OrderLines[[#This Row],[Food Cost]]</f>
        <v>53.1524</v>
      </c>
    </row>
    <row r="213" spans="1:17" x14ac:dyDescent="0.3">
      <c r="A213" t="s">
        <v>123</v>
      </c>
      <c r="B213" t="s">
        <v>404</v>
      </c>
      <c r="C213">
        <v>1</v>
      </c>
      <c r="D213" cm="1">
        <f t="array" ref="D213">VLOOKUP(OrderLines[[#This Row],[SKU]:[SKU]],Menu[],MATCH(OrderLines[[#Headers],[UnitPrice]],Menu[#Headers],0),FALSE)</f>
        <v>32.979999999999997</v>
      </c>
      <c r="E213" cm="1">
        <f t="array" ref="E213">VLOOKUP(OrderLines[[#This Row],[SKU]:[SKU]],Menu[],MATCH(OrderLines[[#Headers],[UnitCost]],Menu[#Headers],0),FALSE)</f>
        <v>11.84</v>
      </c>
      <c r="F213" t="str" cm="1">
        <f t="array" ref="F213">VLOOKUP(OrderLines[[#This Row],[SKU]:[SKU]],Menu[],MATCH(OrderLines[[#Headers],[Category]],Menu[#Headers],0),FALSE)</f>
        <v>Beverage</v>
      </c>
      <c r="G213" t="str" cm="1">
        <f t="array" ref="G213">_xlfn.TEXTJOIN("+",TRUE,_xlfn._xlws.SORT(_xlfn.UNIQUE(_xlfn._xlws.FILTER(OrderLines[Category],OrderLines[OrderID]=OrderLines[[#This Row],[OrderID]]))))</f>
        <v>Beverage+Dessert</v>
      </c>
      <c r="H213" s="2" cm="1">
        <f t="array" ref="H213">INT(VLOOKUP(OrderLines[[#This Row],[OrderID]:[OrderID]],Orders[],MATCH(OrderLines[[#Headers],[OrderDateTime]],Orders[#Headers],0),FALSE))</f>
        <v>45878</v>
      </c>
      <c r="I213" t="str" cm="1">
        <f t="array" ref="I213">VLOOKUP(OrderLines[[#This Row],[OrderID]:[OrderID]],Orders[],MATCH(OrderLines[[#Headers],[Branch]],Orders[#Headers],0),FALSE)</f>
        <v>Head Office Café</v>
      </c>
      <c r="J213" cm="1">
        <f t="array" ref="J213">VLOOKUP(OrderLines[[#This Row],[OrderID]:[OrderID]],Orders[],MATCH(OrderLines[[#Headers],[DiscountPct]],Orders[#Headers],0),FALSE)</f>
        <v>0.04</v>
      </c>
      <c r="K213" t="str" cm="1">
        <f t="array" ref="K213">VLOOKUP(OrderLines[[#This Row],[OrderID]:[OrderID]],Orders[],MATCH(OrderLines[[#Headers],[PaymentType]],Orders[#Headers],0),FALSE)</f>
        <v>Card</v>
      </c>
      <c r="L213" t="str" cm="1">
        <f t="array" ref="L213">VLOOKUP(OrderLines[[#This Row],[OrderID]:[OrderID]],Orders[],MATCH(OrderLines[[#Headers],[Shift]],Orders[#Headers],0),FALSE)</f>
        <v>Lunch</v>
      </c>
      <c r="M213" s="8">
        <f>(OrderLines[[#This Row],[Qty]]*OrderLines[[#This Row],[UnitPrice]])*(1-OrderLines[[#This Row],[DiscountPct]])</f>
        <v>31.660799999999995</v>
      </c>
      <c r="N213" t="str">
        <f>IF(AND(COUNTIFS(OrderLines[OrderID],OrderLines[[#This Row],[OrderID]],OrderLines[Category],"Hot Meal"),COUNTIFS(OrderLines[OrderID],OrderLines[[#This Row],[OrderID]],OrderLines[Category],"Beverage")),"Combo","Single")</f>
        <v>Single</v>
      </c>
      <c r="O213" s="8" t="str" cm="1">
        <f t="array" ref="O213">IF(SUMPRODUCT(OrderLines[UnitPrice],OrderLines[Qty],OrderLines[DiscountPct],--(OrderLines[OrderID] = OrderLines[[#This Row],[OrderID]]))&gt;40,"High Discount","Ok")</f>
        <v>Ok</v>
      </c>
      <c r="P213">
        <f>OrderLines[[#This Row],[UnitCost]]*OrderLines[[#This Row],[Qty]]</f>
        <v>11.84</v>
      </c>
      <c r="Q213" s="8">
        <f>OrderLines[[#This Row],[LineNetAmount]]-OrderLines[[#This Row],[Food Cost]]</f>
        <v>19.820799999999995</v>
      </c>
    </row>
    <row r="214" spans="1:17" x14ac:dyDescent="0.3">
      <c r="A214" t="s">
        <v>123</v>
      </c>
      <c r="B214" t="s">
        <v>403</v>
      </c>
      <c r="C214">
        <v>2</v>
      </c>
      <c r="D214" cm="1">
        <f t="array" ref="D214">VLOOKUP(OrderLines[[#This Row],[SKU]:[SKU]],Menu[],MATCH(OrderLines[[#Headers],[UnitPrice]],Menu[#Headers],0),FALSE)</f>
        <v>76.55</v>
      </c>
      <c r="E214" cm="1">
        <f t="array" ref="E214">VLOOKUP(OrderLines[[#This Row],[SKU]:[SKU]],Menu[],MATCH(OrderLines[[#Headers],[UnitCost]],Menu[#Headers],0),FALSE)</f>
        <v>38.229999999999997</v>
      </c>
      <c r="F214" t="str" cm="1">
        <f t="array" ref="F214">VLOOKUP(OrderLines[[#This Row],[SKU]:[SKU]],Menu[],MATCH(OrderLines[[#Headers],[Category]],Menu[#Headers],0),FALSE)</f>
        <v>Dessert</v>
      </c>
      <c r="G214" t="str" cm="1">
        <f t="array" ref="G214">_xlfn.TEXTJOIN("+",TRUE,_xlfn._xlws.SORT(_xlfn.UNIQUE(_xlfn._xlws.FILTER(OrderLines[Category],OrderLines[OrderID]=OrderLines[[#This Row],[OrderID]]))))</f>
        <v>Beverage+Dessert</v>
      </c>
      <c r="H214" s="2" cm="1">
        <f t="array" ref="H214">INT(VLOOKUP(OrderLines[[#This Row],[OrderID]:[OrderID]],Orders[],MATCH(OrderLines[[#Headers],[OrderDateTime]],Orders[#Headers],0),FALSE))</f>
        <v>45878</v>
      </c>
      <c r="I214" t="str" cm="1">
        <f t="array" ref="I214">VLOOKUP(OrderLines[[#This Row],[OrderID]:[OrderID]],Orders[],MATCH(OrderLines[[#Headers],[Branch]],Orders[#Headers],0),FALSE)</f>
        <v>Head Office Café</v>
      </c>
      <c r="J214" cm="1">
        <f t="array" ref="J214">VLOOKUP(OrderLines[[#This Row],[OrderID]:[OrderID]],Orders[],MATCH(OrderLines[[#Headers],[DiscountPct]],Orders[#Headers],0),FALSE)</f>
        <v>0.04</v>
      </c>
      <c r="K214" t="str" cm="1">
        <f t="array" ref="K214">VLOOKUP(OrderLines[[#This Row],[OrderID]:[OrderID]],Orders[],MATCH(OrderLines[[#Headers],[PaymentType]],Orders[#Headers],0),FALSE)</f>
        <v>Card</v>
      </c>
      <c r="L214" t="str" cm="1">
        <f t="array" ref="L214">VLOOKUP(OrderLines[[#This Row],[OrderID]:[OrderID]],Orders[],MATCH(OrderLines[[#Headers],[Shift]],Orders[#Headers],0),FALSE)</f>
        <v>Lunch</v>
      </c>
      <c r="M214" s="8">
        <f>(OrderLines[[#This Row],[Qty]]*OrderLines[[#This Row],[UnitPrice]])*(1-OrderLines[[#This Row],[DiscountPct]])</f>
        <v>146.976</v>
      </c>
      <c r="N214" t="str">
        <f>IF(AND(COUNTIFS(OrderLines[OrderID],OrderLines[[#This Row],[OrderID]],OrderLines[Category],"Hot Meal"),COUNTIFS(OrderLines[OrderID],OrderLines[[#This Row],[OrderID]],OrderLines[Category],"Beverage")),"Combo","Single")</f>
        <v>Single</v>
      </c>
      <c r="O214" s="8" t="str" cm="1">
        <f t="array" ref="O214">IF(SUMPRODUCT(OrderLines[UnitPrice],OrderLines[Qty],OrderLines[DiscountPct],--(OrderLines[OrderID] = OrderLines[[#This Row],[OrderID]]))&gt;40,"High Discount","Ok")</f>
        <v>Ok</v>
      </c>
      <c r="P214">
        <f>OrderLines[[#This Row],[UnitCost]]*OrderLines[[#This Row],[Qty]]</f>
        <v>76.459999999999994</v>
      </c>
      <c r="Q214" s="8">
        <f>OrderLines[[#This Row],[LineNetAmount]]-OrderLines[[#This Row],[Food Cost]]</f>
        <v>70.516000000000005</v>
      </c>
    </row>
    <row r="215" spans="1:17" x14ac:dyDescent="0.3">
      <c r="A215" t="s">
        <v>124</v>
      </c>
      <c r="B215" t="s">
        <v>401</v>
      </c>
      <c r="C215">
        <v>2</v>
      </c>
      <c r="D215" cm="1">
        <f t="array" ref="D215">VLOOKUP(OrderLines[[#This Row],[SKU]:[SKU]],Menu[],MATCH(OrderLines[[#Headers],[UnitPrice]],Menu[#Headers],0),FALSE)</f>
        <v>52.45</v>
      </c>
      <c r="E215" cm="1">
        <f t="array" ref="E215">VLOOKUP(OrderLines[[#This Row],[SKU]:[SKU]],Menu[],MATCH(OrderLines[[#Headers],[UnitCost]],Menu[#Headers],0),FALSE)</f>
        <v>25.8</v>
      </c>
      <c r="F215" t="str" cm="1">
        <f t="array" ref="F215">VLOOKUP(OrderLines[[#This Row],[SKU]:[SKU]],Menu[],MATCH(OrderLines[[#Headers],[Category]],Menu[#Headers],0),FALSE)</f>
        <v>Snack</v>
      </c>
      <c r="G215" t="str" cm="1">
        <f t="array" ref="G215">_xlfn.TEXTJOIN("+",TRUE,_xlfn._xlws.SORT(_xlfn.UNIQUE(_xlfn._xlws.FILTER(OrderLines[Category],OrderLines[OrderID]=OrderLines[[#This Row],[OrderID]]))))</f>
        <v>Beverage+Snack</v>
      </c>
      <c r="H215" s="2" cm="1">
        <f t="array" ref="H215">INT(VLOOKUP(OrderLines[[#This Row],[OrderID]:[OrderID]],Orders[],MATCH(OrderLines[[#Headers],[OrderDateTime]],Orders[#Headers],0),FALSE))</f>
        <v>45891</v>
      </c>
      <c r="I215" t="str" cm="1">
        <f t="array" ref="I215">VLOOKUP(OrderLines[[#This Row],[OrderID]:[OrderID]],Orders[],MATCH(OrderLines[[#Headers],[Branch]],Orders[#Headers],0),FALSE)</f>
        <v>Plant 1 Canteen</v>
      </c>
      <c r="J215" cm="1">
        <f t="array" ref="J215">VLOOKUP(OrderLines[[#This Row],[OrderID]:[OrderID]],Orders[],MATCH(OrderLines[[#Headers],[DiscountPct]],Orders[#Headers],0),FALSE)</f>
        <v>0.06</v>
      </c>
      <c r="K215" t="str" cm="1">
        <f t="array" ref="K215">VLOOKUP(OrderLines[[#This Row],[OrderID]:[OrderID]],Orders[],MATCH(OrderLines[[#Headers],[PaymentType]],Orders[#Headers],0),FALSE)</f>
        <v>UPI</v>
      </c>
      <c r="L215" t="str" cm="1">
        <f t="array" ref="L215">VLOOKUP(OrderLines[[#This Row],[OrderID]:[OrderID]],Orders[],MATCH(OrderLines[[#Headers],[Shift]],Orders[#Headers],0),FALSE)</f>
        <v>Breakfast</v>
      </c>
      <c r="M215" s="8">
        <f>(OrderLines[[#This Row],[Qty]]*OrderLines[[#This Row],[UnitPrice]])*(1-OrderLines[[#This Row],[DiscountPct]])</f>
        <v>98.605999999999995</v>
      </c>
      <c r="N215" t="str">
        <f>IF(AND(COUNTIFS(OrderLines[OrderID],OrderLines[[#This Row],[OrderID]],OrderLines[Category],"Hot Meal"),COUNTIFS(OrderLines[OrderID],OrderLines[[#This Row],[OrderID]],OrderLines[Category],"Beverage")),"Combo","Single")</f>
        <v>Single</v>
      </c>
      <c r="O215" s="8" t="str" cm="1">
        <f t="array" ref="O215">IF(SUMPRODUCT(OrderLines[UnitPrice],OrderLines[Qty],OrderLines[DiscountPct],--(OrderLines[OrderID] = OrderLines[[#This Row],[OrderID]]))&gt;40,"High Discount","Ok")</f>
        <v>Ok</v>
      </c>
      <c r="P215">
        <f>OrderLines[[#This Row],[UnitCost]]*OrderLines[[#This Row],[Qty]]</f>
        <v>51.6</v>
      </c>
      <c r="Q215" s="8">
        <f>OrderLines[[#This Row],[LineNetAmount]]-OrderLines[[#This Row],[Food Cost]]</f>
        <v>47.005999999999993</v>
      </c>
    </row>
    <row r="216" spans="1:17" x14ac:dyDescent="0.3">
      <c r="A216" t="s">
        <v>124</v>
      </c>
      <c r="B216" t="s">
        <v>411</v>
      </c>
      <c r="C216">
        <v>1</v>
      </c>
      <c r="D216" cm="1">
        <f t="array" ref="D216">VLOOKUP(OrderLines[[#This Row],[SKU]:[SKU]],Menu[],MATCH(OrderLines[[#Headers],[UnitPrice]],Menu[#Headers],0),FALSE)</f>
        <v>22.2</v>
      </c>
      <c r="E216" cm="1">
        <f t="array" ref="E216">VLOOKUP(OrderLines[[#This Row],[SKU]:[SKU]],Menu[],MATCH(OrderLines[[#Headers],[UnitCost]],Menu[#Headers],0),FALSE)</f>
        <v>9.3800000000000008</v>
      </c>
      <c r="F216" t="str" cm="1">
        <f t="array" ref="F216">VLOOKUP(OrderLines[[#This Row],[SKU]:[SKU]],Menu[],MATCH(OrderLines[[#Headers],[Category]],Menu[#Headers],0),FALSE)</f>
        <v>Beverage</v>
      </c>
      <c r="G216" t="str" cm="1">
        <f t="array" ref="G216">_xlfn.TEXTJOIN("+",TRUE,_xlfn._xlws.SORT(_xlfn.UNIQUE(_xlfn._xlws.FILTER(OrderLines[Category],OrderLines[OrderID]=OrderLines[[#This Row],[OrderID]]))))</f>
        <v>Beverage+Snack</v>
      </c>
      <c r="H216" s="2" cm="1">
        <f t="array" ref="H216">INT(VLOOKUP(OrderLines[[#This Row],[OrderID]:[OrderID]],Orders[],MATCH(OrderLines[[#Headers],[OrderDateTime]],Orders[#Headers],0),FALSE))</f>
        <v>45891</v>
      </c>
      <c r="I216" t="str" cm="1">
        <f t="array" ref="I216">VLOOKUP(OrderLines[[#This Row],[OrderID]:[OrderID]],Orders[],MATCH(OrderLines[[#Headers],[Branch]],Orders[#Headers],0),FALSE)</f>
        <v>Plant 1 Canteen</v>
      </c>
      <c r="J216" cm="1">
        <f t="array" ref="J216">VLOOKUP(OrderLines[[#This Row],[OrderID]:[OrderID]],Orders[],MATCH(OrderLines[[#Headers],[DiscountPct]],Orders[#Headers],0),FALSE)</f>
        <v>0.06</v>
      </c>
      <c r="K216" t="str" cm="1">
        <f t="array" ref="K216">VLOOKUP(OrderLines[[#This Row],[OrderID]:[OrderID]],Orders[],MATCH(OrderLines[[#Headers],[PaymentType]],Orders[#Headers],0),FALSE)</f>
        <v>UPI</v>
      </c>
      <c r="L216" t="str" cm="1">
        <f t="array" ref="L216">VLOOKUP(OrderLines[[#This Row],[OrderID]:[OrderID]],Orders[],MATCH(OrderLines[[#Headers],[Shift]],Orders[#Headers],0),FALSE)</f>
        <v>Breakfast</v>
      </c>
      <c r="M216" s="8">
        <f>(OrderLines[[#This Row],[Qty]]*OrderLines[[#This Row],[UnitPrice]])*(1-OrderLines[[#This Row],[DiscountPct]])</f>
        <v>20.867999999999999</v>
      </c>
      <c r="N216" t="str">
        <f>IF(AND(COUNTIFS(OrderLines[OrderID],OrderLines[[#This Row],[OrderID]],OrderLines[Category],"Hot Meal"),COUNTIFS(OrderLines[OrderID],OrderLines[[#This Row],[OrderID]],OrderLines[Category],"Beverage")),"Combo","Single")</f>
        <v>Single</v>
      </c>
      <c r="O216" s="8" t="str" cm="1">
        <f t="array" ref="O216">IF(SUMPRODUCT(OrderLines[UnitPrice],OrderLines[Qty],OrderLines[DiscountPct],--(OrderLines[OrderID] = OrderLines[[#This Row],[OrderID]]))&gt;40,"High Discount","Ok")</f>
        <v>Ok</v>
      </c>
      <c r="P216">
        <f>OrderLines[[#This Row],[UnitCost]]*OrderLines[[#This Row],[Qty]]</f>
        <v>9.3800000000000008</v>
      </c>
      <c r="Q216" s="8">
        <f>OrderLines[[#This Row],[LineNetAmount]]-OrderLines[[#This Row],[Food Cost]]</f>
        <v>11.487999999999998</v>
      </c>
    </row>
    <row r="217" spans="1:17" x14ac:dyDescent="0.3">
      <c r="A217" t="s">
        <v>124</v>
      </c>
      <c r="B217" t="s">
        <v>408</v>
      </c>
      <c r="C217">
        <v>2</v>
      </c>
      <c r="D217" cm="1">
        <f t="array" ref="D217">VLOOKUP(OrderLines[[#This Row],[SKU]:[SKU]],Menu[],MATCH(OrderLines[[#Headers],[UnitPrice]],Menu[#Headers],0),FALSE)</f>
        <v>70.540000000000006</v>
      </c>
      <c r="E217" cm="1">
        <f t="array" ref="E217">VLOOKUP(OrderLines[[#This Row],[SKU]:[SKU]],Menu[],MATCH(OrderLines[[#Headers],[UnitCost]],Menu[#Headers],0),FALSE)</f>
        <v>35.81</v>
      </c>
      <c r="F217" t="str" cm="1">
        <f t="array" ref="F217">VLOOKUP(OrderLines[[#This Row],[SKU]:[SKU]],Menu[],MATCH(OrderLines[[#Headers],[Category]],Menu[#Headers],0),FALSE)</f>
        <v>Snack</v>
      </c>
      <c r="G217" t="str" cm="1">
        <f t="array" ref="G217">_xlfn.TEXTJOIN("+",TRUE,_xlfn._xlws.SORT(_xlfn.UNIQUE(_xlfn._xlws.FILTER(OrderLines[Category],OrderLines[OrderID]=OrderLines[[#This Row],[OrderID]]))))</f>
        <v>Beverage+Snack</v>
      </c>
      <c r="H217" s="2" cm="1">
        <f t="array" ref="H217">INT(VLOOKUP(OrderLines[[#This Row],[OrderID]:[OrderID]],Orders[],MATCH(OrderLines[[#Headers],[OrderDateTime]],Orders[#Headers],0),FALSE))</f>
        <v>45891</v>
      </c>
      <c r="I217" t="str" cm="1">
        <f t="array" ref="I217">VLOOKUP(OrderLines[[#This Row],[OrderID]:[OrderID]],Orders[],MATCH(OrderLines[[#Headers],[Branch]],Orders[#Headers],0),FALSE)</f>
        <v>Plant 1 Canteen</v>
      </c>
      <c r="J217" cm="1">
        <f t="array" ref="J217">VLOOKUP(OrderLines[[#This Row],[OrderID]:[OrderID]],Orders[],MATCH(OrderLines[[#Headers],[DiscountPct]],Orders[#Headers],0),FALSE)</f>
        <v>0.06</v>
      </c>
      <c r="K217" t="str" cm="1">
        <f t="array" ref="K217">VLOOKUP(OrderLines[[#This Row],[OrderID]:[OrderID]],Orders[],MATCH(OrderLines[[#Headers],[PaymentType]],Orders[#Headers],0),FALSE)</f>
        <v>UPI</v>
      </c>
      <c r="L217" t="str" cm="1">
        <f t="array" ref="L217">VLOOKUP(OrderLines[[#This Row],[OrderID]:[OrderID]],Orders[],MATCH(OrderLines[[#Headers],[Shift]],Orders[#Headers],0),FALSE)</f>
        <v>Breakfast</v>
      </c>
      <c r="M217" s="8">
        <f>(OrderLines[[#This Row],[Qty]]*OrderLines[[#This Row],[UnitPrice]])*(1-OrderLines[[#This Row],[DiscountPct]])</f>
        <v>132.61520000000002</v>
      </c>
      <c r="N217" t="str">
        <f>IF(AND(COUNTIFS(OrderLines[OrderID],OrderLines[[#This Row],[OrderID]],OrderLines[Category],"Hot Meal"),COUNTIFS(OrderLines[OrderID],OrderLines[[#This Row],[OrderID]],OrderLines[Category],"Beverage")),"Combo","Single")</f>
        <v>Single</v>
      </c>
      <c r="O217" s="8" t="str" cm="1">
        <f t="array" ref="O217">IF(SUMPRODUCT(OrderLines[UnitPrice],OrderLines[Qty],OrderLines[DiscountPct],--(OrderLines[OrderID] = OrderLines[[#This Row],[OrderID]]))&gt;40,"High Discount","Ok")</f>
        <v>Ok</v>
      </c>
      <c r="P217">
        <f>OrderLines[[#This Row],[UnitCost]]*OrderLines[[#This Row],[Qty]]</f>
        <v>71.62</v>
      </c>
      <c r="Q217" s="8">
        <f>OrderLines[[#This Row],[LineNetAmount]]-OrderLines[[#This Row],[Food Cost]]</f>
        <v>60.995200000000011</v>
      </c>
    </row>
    <row r="218" spans="1:17" x14ac:dyDescent="0.3">
      <c r="A218" t="s">
        <v>125</v>
      </c>
      <c r="B218" t="s">
        <v>416</v>
      </c>
      <c r="C218">
        <v>1</v>
      </c>
      <c r="D218" cm="1">
        <f t="array" ref="D218">VLOOKUP(OrderLines[[#This Row],[SKU]:[SKU]],Menu[],MATCH(OrderLines[[#Headers],[UnitPrice]],Menu[#Headers],0),FALSE)</f>
        <v>227.61</v>
      </c>
      <c r="E218" cm="1">
        <f t="array" ref="E218">VLOOKUP(OrderLines[[#This Row],[SKU]:[SKU]],Menu[],MATCH(OrderLines[[#Headers],[UnitCost]],Menu[#Headers],0),FALSE)</f>
        <v>96.22</v>
      </c>
      <c r="F218" t="str" cm="1">
        <f t="array" ref="F218">VLOOKUP(OrderLines[[#This Row],[SKU]:[SKU]],Menu[],MATCH(OrderLines[[#Headers],[Category]],Menu[#Headers],0),FALSE)</f>
        <v>Hot Meal</v>
      </c>
      <c r="G218" t="str" cm="1">
        <f t="array" ref="G218">_xlfn.TEXTJOIN("+",TRUE,_xlfn._xlws.SORT(_xlfn.UNIQUE(_xlfn._xlws.FILTER(OrderLines[Category],OrderLines[OrderID]=OrderLines[[#This Row],[OrderID]]))))</f>
        <v>Dessert+Hot Meal</v>
      </c>
      <c r="H218" s="2" cm="1">
        <f t="array" ref="H218">INT(VLOOKUP(OrderLines[[#This Row],[OrderID]:[OrderID]],Orders[],MATCH(OrderLines[[#Headers],[OrderDateTime]],Orders[#Headers],0),FALSE))</f>
        <v>45847</v>
      </c>
      <c r="I218" t="str" cm="1">
        <f t="array" ref="I218">VLOOKUP(OrderLines[[#This Row],[OrderID]:[OrderID]],Orders[],MATCH(OrderLines[[#Headers],[Branch]],Orders[#Headers],0),FALSE)</f>
        <v>Head Office Café</v>
      </c>
      <c r="J218" cm="1">
        <f t="array" ref="J218">VLOOKUP(OrderLines[[#This Row],[OrderID]:[OrderID]],Orders[],MATCH(OrderLines[[#Headers],[DiscountPct]],Orders[#Headers],0),FALSE)</f>
        <v>0.04</v>
      </c>
      <c r="K218" t="str" cm="1">
        <f t="array" ref="K218">VLOOKUP(OrderLines[[#This Row],[OrderID]:[OrderID]],Orders[],MATCH(OrderLines[[#Headers],[PaymentType]],Orders[#Headers],0),FALSE)</f>
        <v>Cash</v>
      </c>
      <c r="L218" t="str" cm="1">
        <f t="array" ref="L218">VLOOKUP(OrderLines[[#This Row],[OrderID]:[OrderID]],Orders[],MATCH(OrderLines[[#Headers],[Shift]],Orders[#Headers],0),FALSE)</f>
        <v>Breakfast</v>
      </c>
      <c r="M218" s="8">
        <f>(OrderLines[[#This Row],[Qty]]*OrderLines[[#This Row],[UnitPrice]])*(1-OrderLines[[#This Row],[DiscountPct]])</f>
        <v>218.50560000000002</v>
      </c>
      <c r="N218" t="str">
        <f>IF(AND(COUNTIFS(OrderLines[OrderID],OrderLines[[#This Row],[OrderID]],OrderLines[Category],"Hot Meal"),COUNTIFS(OrderLines[OrderID],OrderLines[[#This Row],[OrderID]],OrderLines[Category],"Beverage")),"Combo","Single")</f>
        <v>Single</v>
      </c>
      <c r="O218" s="8" t="str" cm="1">
        <f t="array" ref="O218">IF(SUMPRODUCT(OrderLines[UnitPrice],OrderLines[Qty],OrderLines[DiscountPct],--(OrderLines[OrderID] = OrderLines[[#This Row],[OrderID]]))&gt;40,"High Discount","Ok")</f>
        <v>Ok</v>
      </c>
      <c r="P218">
        <f>OrderLines[[#This Row],[UnitCost]]*OrderLines[[#This Row],[Qty]]</f>
        <v>96.22</v>
      </c>
      <c r="Q218" s="8">
        <f>OrderLines[[#This Row],[LineNetAmount]]-OrderLines[[#This Row],[Food Cost]]</f>
        <v>122.28560000000002</v>
      </c>
    </row>
    <row r="219" spans="1:17" x14ac:dyDescent="0.3">
      <c r="A219" t="s">
        <v>125</v>
      </c>
      <c r="B219" t="s">
        <v>403</v>
      </c>
      <c r="C219">
        <v>1</v>
      </c>
      <c r="D219" cm="1">
        <f t="array" ref="D219">VLOOKUP(OrderLines[[#This Row],[SKU]:[SKU]],Menu[],MATCH(OrderLines[[#Headers],[UnitPrice]],Menu[#Headers],0),FALSE)</f>
        <v>76.55</v>
      </c>
      <c r="E219" cm="1">
        <f t="array" ref="E219">VLOOKUP(OrderLines[[#This Row],[SKU]:[SKU]],Menu[],MATCH(OrderLines[[#Headers],[UnitCost]],Menu[#Headers],0),FALSE)</f>
        <v>38.229999999999997</v>
      </c>
      <c r="F219" t="str" cm="1">
        <f t="array" ref="F219">VLOOKUP(OrderLines[[#This Row],[SKU]:[SKU]],Menu[],MATCH(OrderLines[[#Headers],[Category]],Menu[#Headers],0),FALSE)</f>
        <v>Dessert</v>
      </c>
      <c r="G219" t="str" cm="1">
        <f t="array" ref="G219">_xlfn.TEXTJOIN("+",TRUE,_xlfn._xlws.SORT(_xlfn.UNIQUE(_xlfn._xlws.FILTER(OrderLines[Category],OrderLines[OrderID]=OrderLines[[#This Row],[OrderID]]))))</f>
        <v>Dessert+Hot Meal</v>
      </c>
      <c r="H219" s="2" cm="1">
        <f t="array" ref="H219">INT(VLOOKUP(OrderLines[[#This Row],[OrderID]:[OrderID]],Orders[],MATCH(OrderLines[[#Headers],[OrderDateTime]],Orders[#Headers],0),FALSE))</f>
        <v>45847</v>
      </c>
      <c r="I219" t="str" cm="1">
        <f t="array" ref="I219">VLOOKUP(OrderLines[[#This Row],[OrderID]:[OrderID]],Orders[],MATCH(OrderLines[[#Headers],[Branch]],Orders[#Headers],0),FALSE)</f>
        <v>Head Office Café</v>
      </c>
      <c r="J219" cm="1">
        <f t="array" ref="J219">VLOOKUP(OrderLines[[#This Row],[OrderID]:[OrderID]],Orders[],MATCH(OrderLines[[#Headers],[DiscountPct]],Orders[#Headers],0),FALSE)</f>
        <v>0.04</v>
      </c>
      <c r="K219" t="str" cm="1">
        <f t="array" ref="K219">VLOOKUP(OrderLines[[#This Row],[OrderID]:[OrderID]],Orders[],MATCH(OrderLines[[#Headers],[PaymentType]],Orders[#Headers],0),FALSE)</f>
        <v>Cash</v>
      </c>
      <c r="L219" t="str" cm="1">
        <f t="array" ref="L219">VLOOKUP(OrderLines[[#This Row],[OrderID]:[OrderID]],Orders[],MATCH(OrderLines[[#Headers],[Shift]],Orders[#Headers],0),FALSE)</f>
        <v>Breakfast</v>
      </c>
      <c r="M219" s="8">
        <f>(OrderLines[[#This Row],[Qty]]*OrderLines[[#This Row],[UnitPrice]])*(1-OrderLines[[#This Row],[DiscountPct]])</f>
        <v>73.488</v>
      </c>
      <c r="N219" t="str">
        <f>IF(AND(COUNTIFS(OrderLines[OrderID],OrderLines[[#This Row],[OrderID]],OrderLines[Category],"Hot Meal"),COUNTIFS(OrderLines[OrderID],OrderLines[[#This Row],[OrderID]],OrderLines[Category],"Beverage")),"Combo","Single")</f>
        <v>Single</v>
      </c>
      <c r="O219" s="8" t="str" cm="1">
        <f t="array" ref="O219">IF(SUMPRODUCT(OrderLines[UnitPrice],OrderLines[Qty],OrderLines[DiscountPct],--(OrderLines[OrderID] = OrderLines[[#This Row],[OrderID]]))&gt;40,"High Discount","Ok")</f>
        <v>Ok</v>
      </c>
      <c r="P219">
        <f>OrderLines[[#This Row],[UnitCost]]*OrderLines[[#This Row],[Qty]]</f>
        <v>38.229999999999997</v>
      </c>
      <c r="Q219" s="8">
        <f>OrderLines[[#This Row],[LineNetAmount]]-OrderLines[[#This Row],[Food Cost]]</f>
        <v>35.258000000000003</v>
      </c>
    </row>
    <row r="220" spans="1:17" x14ac:dyDescent="0.3">
      <c r="A220" t="s">
        <v>126</v>
      </c>
      <c r="B220" t="s">
        <v>418</v>
      </c>
      <c r="C220">
        <v>1</v>
      </c>
      <c r="D220" cm="1">
        <f t="array" ref="D220">VLOOKUP(OrderLines[[#This Row],[SKU]:[SKU]],Menu[],MATCH(OrderLines[[#Headers],[UnitPrice]],Menu[#Headers],0),FALSE)</f>
        <v>39.950000000000003</v>
      </c>
      <c r="E220" cm="1">
        <f t="array" ref="E220">VLOOKUP(OrderLines[[#This Row],[SKU]:[SKU]],Menu[],MATCH(OrderLines[[#Headers],[UnitCost]],Menu[#Headers],0),FALSE)</f>
        <v>15.51</v>
      </c>
      <c r="F220" t="str" cm="1">
        <f t="array" ref="F220">VLOOKUP(OrderLines[[#This Row],[SKU]:[SKU]],Menu[],MATCH(OrderLines[[#Headers],[Category]],Menu[#Headers],0),FALSE)</f>
        <v>Snack</v>
      </c>
      <c r="G220" t="str" cm="1">
        <f t="array" ref="G220">_xlfn.TEXTJOIN("+",TRUE,_xlfn._xlws.SORT(_xlfn.UNIQUE(_xlfn._xlws.FILTER(OrderLines[Category],OrderLines[OrderID]=OrderLines[[#This Row],[OrderID]]))))</f>
        <v>Hot Meal+Snack</v>
      </c>
      <c r="H220" s="2" cm="1">
        <f t="array" ref="H220">INT(VLOOKUP(OrderLines[[#This Row],[OrderID]:[OrderID]],Orders[],MATCH(OrderLines[[#Headers],[OrderDateTime]],Orders[#Headers],0),FALSE))</f>
        <v>45856</v>
      </c>
      <c r="I220" t="str" cm="1">
        <f t="array" ref="I220">VLOOKUP(OrderLines[[#This Row],[OrderID]:[OrderID]],Orders[],MATCH(OrderLines[[#Headers],[Branch]],Orders[#Headers],0),FALSE)</f>
        <v>Plant 1 Canteen</v>
      </c>
      <c r="J220" cm="1">
        <f t="array" ref="J220">VLOOKUP(OrderLines[[#This Row],[OrderID]:[OrderID]],Orders[],MATCH(OrderLines[[#Headers],[DiscountPct]],Orders[#Headers],0),FALSE)</f>
        <v>0</v>
      </c>
      <c r="K220" t="str" cm="1">
        <f t="array" ref="K220">VLOOKUP(OrderLines[[#This Row],[OrderID]:[OrderID]],Orders[],MATCH(OrderLines[[#Headers],[PaymentType]],Orders[#Headers],0),FALSE)</f>
        <v>Card</v>
      </c>
      <c r="L220" t="str" cm="1">
        <f t="array" ref="L220">VLOOKUP(OrderLines[[#This Row],[OrderID]:[OrderID]],Orders[],MATCH(OrderLines[[#Headers],[Shift]],Orders[#Headers],0),FALSE)</f>
        <v>Dinner</v>
      </c>
      <c r="M220" s="8">
        <f>(OrderLines[[#This Row],[Qty]]*OrderLines[[#This Row],[UnitPrice]])*(1-OrderLines[[#This Row],[DiscountPct]])</f>
        <v>39.950000000000003</v>
      </c>
      <c r="N220" t="str">
        <f>IF(AND(COUNTIFS(OrderLines[OrderID],OrderLines[[#This Row],[OrderID]],OrderLines[Category],"Hot Meal"),COUNTIFS(OrderLines[OrderID],OrderLines[[#This Row],[OrderID]],OrderLines[Category],"Beverage")),"Combo","Single")</f>
        <v>Single</v>
      </c>
      <c r="O220" s="8" t="str" cm="1">
        <f t="array" ref="O220">IF(SUMPRODUCT(OrderLines[UnitPrice],OrderLines[Qty],OrderLines[DiscountPct],--(OrderLines[OrderID] = OrderLines[[#This Row],[OrderID]]))&gt;40,"High Discount","Ok")</f>
        <v>Ok</v>
      </c>
      <c r="P220">
        <f>OrderLines[[#This Row],[UnitCost]]*OrderLines[[#This Row],[Qty]]</f>
        <v>15.51</v>
      </c>
      <c r="Q220" s="8">
        <f>OrderLines[[#This Row],[LineNetAmount]]-OrderLines[[#This Row],[Food Cost]]</f>
        <v>24.440000000000005</v>
      </c>
    </row>
    <row r="221" spans="1:17" x14ac:dyDescent="0.3">
      <c r="A221" t="s">
        <v>126</v>
      </c>
      <c r="B221" t="s">
        <v>415</v>
      </c>
      <c r="C221">
        <v>2</v>
      </c>
      <c r="D221" cm="1">
        <f t="array" ref="D221">VLOOKUP(OrderLines[[#This Row],[SKU]:[SKU]],Menu[],MATCH(OrderLines[[#Headers],[UnitPrice]],Menu[#Headers],0),FALSE)</f>
        <v>256.91000000000003</v>
      </c>
      <c r="E221" cm="1">
        <f t="array" ref="E221">VLOOKUP(OrderLines[[#This Row],[SKU]:[SKU]],Menu[],MATCH(OrderLines[[#Headers],[UnitCost]],Menu[#Headers],0),FALSE)</f>
        <v>121.24</v>
      </c>
      <c r="F221" t="str" cm="1">
        <f t="array" ref="F221">VLOOKUP(OrderLines[[#This Row],[SKU]:[SKU]],Menu[],MATCH(OrderLines[[#Headers],[Category]],Menu[#Headers],0),FALSE)</f>
        <v>Hot Meal</v>
      </c>
      <c r="G221" t="str" cm="1">
        <f t="array" ref="G221">_xlfn.TEXTJOIN("+",TRUE,_xlfn._xlws.SORT(_xlfn.UNIQUE(_xlfn._xlws.FILTER(OrderLines[Category],OrderLines[OrderID]=OrderLines[[#This Row],[OrderID]]))))</f>
        <v>Hot Meal+Snack</v>
      </c>
      <c r="H221" s="2" cm="1">
        <f t="array" ref="H221">INT(VLOOKUP(OrderLines[[#This Row],[OrderID]:[OrderID]],Orders[],MATCH(OrderLines[[#Headers],[OrderDateTime]],Orders[#Headers],0),FALSE))</f>
        <v>45856</v>
      </c>
      <c r="I221" t="str" cm="1">
        <f t="array" ref="I221">VLOOKUP(OrderLines[[#This Row],[OrderID]:[OrderID]],Orders[],MATCH(OrderLines[[#Headers],[Branch]],Orders[#Headers],0),FALSE)</f>
        <v>Plant 1 Canteen</v>
      </c>
      <c r="J221" cm="1">
        <f t="array" ref="J221">VLOOKUP(OrderLines[[#This Row],[OrderID]:[OrderID]],Orders[],MATCH(OrderLines[[#Headers],[DiscountPct]],Orders[#Headers],0),FALSE)</f>
        <v>0</v>
      </c>
      <c r="K221" t="str" cm="1">
        <f t="array" ref="K221">VLOOKUP(OrderLines[[#This Row],[OrderID]:[OrderID]],Orders[],MATCH(OrderLines[[#Headers],[PaymentType]],Orders[#Headers],0),FALSE)</f>
        <v>Card</v>
      </c>
      <c r="L221" t="str" cm="1">
        <f t="array" ref="L221">VLOOKUP(OrderLines[[#This Row],[OrderID]:[OrderID]],Orders[],MATCH(OrderLines[[#Headers],[Shift]],Orders[#Headers],0),FALSE)</f>
        <v>Dinner</v>
      </c>
      <c r="M221" s="8">
        <f>(OrderLines[[#This Row],[Qty]]*OrderLines[[#This Row],[UnitPrice]])*(1-OrderLines[[#This Row],[DiscountPct]])</f>
        <v>513.82000000000005</v>
      </c>
      <c r="N221" t="str">
        <f>IF(AND(COUNTIFS(OrderLines[OrderID],OrderLines[[#This Row],[OrderID]],OrderLines[Category],"Hot Meal"),COUNTIFS(OrderLines[OrderID],OrderLines[[#This Row],[OrderID]],OrderLines[Category],"Beverage")),"Combo","Single")</f>
        <v>Single</v>
      </c>
      <c r="O221" s="8" t="str" cm="1">
        <f t="array" ref="O221">IF(SUMPRODUCT(OrderLines[UnitPrice],OrderLines[Qty],OrderLines[DiscountPct],--(OrderLines[OrderID] = OrderLines[[#This Row],[OrderID]]))&gt;40,"High Discount","Ok")</f>
        <v>Ok</v>
      </c>
      <c r="P221">
        <f>OrderLines[[#This Row],[UnitCost]]*OrderLines[[#This Row],[Qty]]</f>
        <v>242.48</v>
      </c>
      <c r="Q221" s="8">
        <f>OrderLines[[#This Row],[LineNetAmount]]-OrderLines[[#This Row],[Food Cost]]</f>
        <v>271.34000000000003</v>
      </c>
    </row>
    <row r="222" spans="1:17" x14ac:dyDescent="0.3">
      <c r="A222" t="s">
        <v>126</v>
      </c>
      <c r="B222" t="s">
        <v>401</v>
      </c>
      <c r="C222">
        <v>2</v>
      </c>
      <c r="D222" cm="1">
        <f t="array" ref="D222">VLOOKUP(OrderLines[[#This Row],[SKU]:[SKU]],Menu[],MATCH(OrderLines[[#Headers],[UnitPrice]],Menu[#Headers],0),FALSE)</f>
        <v>52.45</v>
      </c>
      <c r="E222" cm="1">
        <f t="array" ref="E222">VLOOKUP(OrderLines[[#This Row],[SKU]:[SKU]],Menu[],MATCH(OrderLines[[#Headers],[UnitCost]],Menu[#Headers],0),FALSE)</f>
        <v>25.8</v>
      </c>
      <c r="F222" t="str" cm="1">
        <f t="array" ref="F222">VLOOKUP(OrderLines[[#This Row],[SKU]:[SKU]],Menu[],MATCH(OrderLines[[#Headers],[Category]],Menu[#Headers],0),FALSE)</f>
        <v>Snack</v>
      </c>
      <c r="G222" t="str" cm="1">
        <f t="array" ref="G222">_xlfn.TEXTJOIN("+",TRUE,_xlfn._xlws.SORT(_xlfn.UNIQUE(_xlfn._xlws.FILTER(OrderLines[Category],OrderLines[OrderID]=OrderLines[[#This Row],[OrderID]]))))</f>
        <v>Hot Meal+Snack</v>
      </c>
      <c r="H222" s="2" cm="1">
        <f t="array" ref="H222">INT(VLOOKUP(OrderLines[[#This Row],[OrderID]:[OrderID]],Orders[],MATCH(OrderLines[[#Headers],[OrderDateTime]],Orders[#Headers],0),FALSE))</f>
        <v>45856</v>
      </c>
      <c r="I222" t="str" cm="1">
        <f t="array" ref="I222">VLOOKUP(OrderLines[[#This Row],[OrderID]:[OrderID]],Orders[],MATCH(OrderLines[[#Headers],[Branch]],Orders[#Headers],0),FALSE)</f>
        <v>Plant 1 Canteen</v>
      </c>
      <c r="J222" cm="1">
        <f t="array" ref="J222">VLOOKUP(OrderLines[[#This Row],[OrderID]:[OrderID]],Orders[],MATCH(OrderLines[[#Headers],[DiscountPct]],Orders[#Headers],0),FALSE)</f>
        <v>0</v>
      </c>
      <c r="K222" t="str" cm="1">
        <f t="array" ref="K222">VLOOKUP(OrderLines[[#This Row],[OrderID]:[OrderID]],Orders[],MATCH(OrderLines[[#Headers],[PaymentType]],Orders[#Headers],0),FALSE)</f>
        <v>Card</v>
      </c>
      <c r="L222" t="str" cm="1">
        <f t="array" ref="L222">VLOOKUP(OrderLines[[#This Row],[OrderID]:[OrderID]],Orders[],MATCH(OrderLines[[#Headers],[Shift]],Orders[#Headers],0),FALSE)</f>
        <v>Dinner</v>
      </c>
      <c r="M222" s="8">
        <f>(OrderLines[[#This Row],[Qty]]*OrderLines[[#This Row],[UnitPrice]])*(1-OrderLines[[#This Row],[DiscountPct]])</f>
        <v>104.9</v>
      </c>
      <c r="N222" t="str">
        <f>IF(AND(COUNTIFS(OrderLines[OrderID],OrderLines[[#This Row],[OrderID]],OrderLines[Category],"Hot Meal"),COUNTIFS(OrderLines[OrderID],OrderLines[[#This Row],[OrderID]],OrderLines[Category],"Beverage")),"Combo","Single")</f>
        <v>Single</v>
      </c>
      <c r="O222" s="8" t="str" cm="1">
        <f t="array" ref="O222">IF(SUMPRODUCT(OrderLines[UnitPrice],OrderLines[Qty],OrderLines[DiscountPct],--(OrderLines[OrderID] = OrderLines[[#This Row],[OrderID]]))&gt;40,"High Discount","Ok")</f>
        <v>Ok</v>
      </c>
      <c r="P222">
        <f>OrderLines[[#This Row],[UnitCost]]*OrderLines[[#This Row],[Qty]]</f>
        <v>51.6</v>
      </c>
      <c r="Q222" s="8">
        <f>OrderLines[[#This Row],[LineNetAmount]]-OrderLines[[#This Row],[Food Cost]]</f>
        <v>53.300000000000004</v>
      </c>
    </row>
    <row r="223" spans="1:17" x14ac:dyDescent="0.3">
      <c r="A223" t="s">
        <v>127</v>
      </c>
      <c r="B223" t="s">
        <v>416</v>
      </c>
      <c r="C223">
        <v>3</v>
      </c>
      <c r="D223" cm="1">
        <f t="array" ref="D223">VLOOKUP(OrderLines[[#This Row],[SKU]:[SKU]],Menu[],MATCH(OrderLines[[#Headers],[UnitPrice]],Menu[#Headers],0),FALSE)</f>
        <v>227.61</v>
      </c>
      <c r="E223" cm="1">
        <f t="array" ref="E223">VLOOKUP(OrderLines[[#This Row],[SKU]:[SKU]],Menu[],MATCH(OrderLines[[#Headers],[UnitCost]],Menu[#Headers],0),FALSE)</f>
        <v>96.22</v>
      </c>
      <c r="F223" t="str" cm="1">
        <f t="array" ref="F223">VLOOKUP(OrderLines[[#This Row],[SKU]:[SKU]],Menu[],MATCH(OrderLines[[#Headers],[Category]],Menu[#Headers],0),FALSE)</f>
        <v>Hot Meal</v>
      </c>
      <c r="G223" t="str" cm="1">
        <f t="array" ref="G223">_xlfn.TEXTJOIN("+",TRUE,_xlfn._xlws.SORT(_xlfn.UNIQUE(_xlfn._xlws.FILTER(OrderLines[Category],OrderLines[OrderID]=OrderLines[[#This Row],[OrderID]]))))</f>
        <v>Beverage+Hot Meal</v>
      </c>
      <c r="H223" s="2" cm="1">
        <f t="array" ref="H223">INT(VLOOKUP(OrderLines[[#This Row],[OrderID]:[OrderID]],Orders[],MATCH(OrderLines[[#Headers],[OrderDateTime]],Orders[#Headers],0),FALSE))</f>
        <v>45859</v>
      </c>
      <c r="I223" t="str" cm="1">
        <f t="array" ref="I223">VLOOKUP(OrderLines[[#This Row],[OrderID]:[OrderID]],Orders[],MATCH(OrderLines[[#Headers],[Branch]],Orders[#Headers],0),FALSE)</f>
        <v>Plant 2 Canteen</v>
      </c>
      <c r="J223" cm="1">
        <f t="array" ref="J223">VLOOKUP(OrderLines[[#This Row],[OrderID]:[OrderID]],Orders[],MATCH(OrderLines[[#Headers],[DiscountPct]],Orders[#Headers],0),FALSE)</f>
        <v>0.06</v>
      </c>
      <c r="K223" t="str" cm="1">
        <f t="array" ref="K223">VLOOKUP(OrderLines[[#This Row],[OrderID]:[OrderID]],Orders[],MATCH(OrderLines[[#Headers],[PaymentType]],Orders[#Headers],0),FALSE)</f>
        <v>Card</v>
      </c>
      <c r="L223" t="str" cm="1">
        <f t="array" ref="L223">VLOOKUP(OrderLines[[#This Row],[OrderID]:[OrderID]],Orders[],MATCH(OrderLines[[#Headers],[Shift]],Orders[#Headers],0),FALSE)</f>
        <v>Dinner</v>
      </c>
      <c r="M223" s="8">
        <f>(OrderLines[[#This Row],[Qty]]*OrderLines[[#This Row],[UnitPrice]])*(1-OrderLines[[#This Row],[DiscountPct]])</f>
        <v>641.86019999999996</v>
      </c>
      <c r="N223" t="str">
        <f>IF(AND(COUNTIFS(OrderLines[OrderID],OrderLines[[#This Row],[OrderID]],OrderLines[Category],"Hot Meal"),COUNTIFS(OrderLines[OrderID],OrderLines[[#This Row],[OrderID]],OrderLines[Category],"Beverage")),"Combo","Single")</f>
        <v>Combo</v>
      </c>
      <c r="O223" s="8" t="str" cm="1">
        <f t="array" ref="O223">IF(SUMPRODUCT(OrderLines[UnitPrice],OrderLines[Qty],OrderLines[DiscountPct],--(OrderLines[OrderID] = OrderLines[[#This Row],[OrderID]]))&gt;40,"High Discount","Ok")</f>
        <v>High Discount</v>
      </c>
      <c r="P223">
        <f>OrderLines[[#This Row],[UnitCost]]*OrderLines[[#This Row],[Qty]]</f>
        <v>288.65999999999997</v>
      </c>
      <c r="Q223" s="8">
        <f>OrderLines[[#This Row],[LineNetAmount]]-OrderLines[[#This Row],[Food Cost]]</f>
        <v>353.2002</v>
      </c>
    </row>
    <row r="224" spans="1:17" x14ac:dyDescent="0.3">
      <c r="A224" t="s">
        <v>127</v>
      </c>
      <c r="B224" t="s">
        <v>404</v>
      </c>
      <c r="C224">
        <v>1</v>
      </c>
      <c r="D224" cm="1">
        <f t="array" ref="D224">VLOOKUP(OrderLines[[#This Row],[SKU]:[SKU]],Menu[],MATCH(OrderLines[[#Headers],[UnitPrice]],Menu[#Headers],0),FALSE)</f>
        <v>32.979999999999997</v>
      </c>
      <c r="E224" cm="1">
        <f t="array" ref="E224">VLOOKUP(OrderLines[[#This Row],[SKU]:[SKU]],Menu[],MATCH(OrderLines[[#Headers],[UnitCost]],Menu[#Headers],0),FALSE)</f>
        <v>11.84</v>
      </c>
      <c r="F224" t="str" cm="1">
        <f t="array" ref="F224">VLOOKUP(OrderLines[[#This Row],[SKU]:[SKU]],Menu[],MATCH(OrderLines[[#Headers],[Category]],Menu[#Headers],0),FALSE)</f>
        <v>Beverage</v>
      </c>
      <c r="G224" t="str" cm="1">
        <f t="array" ref="G224">_xlfn.TEXTJOIN("+",TRUE,_xlfn._xlws.SORT(_xlfn.UNIQUE(_xlfn._xlws.FILTER(OrderLines[Category],OrderLines[OrderID]=OrderLines[[#This Row],[OrderID]]))))</f>
        <v>Beverage+Hot Meal</v>
      </c>
      <c r="H224" s="2" cm="1">
        <f t="array" ref="H224">INT(VLOOKUP(OrderLines[[#This Row],[OrderID]:[OrderID]],Orders[],MATCH(OrderLines[[#Headers],[OrderDateTime]],Orders[#Headers],0),FALSE))</f>
        <v>45859</v>
      </c>
      <c r="I224" t="str" cm="1">
        <f t="array" ref="I224">VLOOKUP(OrderLines[[#This Row],[OrderID]:[OrderID]],Orders[],MATCH(OrderLines[[#Headers],[Branch]],Orders[#Headers],0),FALSE)</f>
        <v>Plant 2 Canteen</v>
      </c>
      <c r="J224" cm="1">
        <f t="array" ref="J224">VLOOKUP(OrderLines[[#This Row],[OrderID]:[OrderID]],Orders[],MATCH(OrderLines[[#Headers],[DiscountPct]],Orders[#Headers],0),FALSE)</f>
        <v>0.06</v>
      </c>
      <c r="K224" t="str" cm="1">
        <f t="array" ref="K224">VLOOKUP(OrderLines[[#This Row],[OrderID]:[OrderID]],Orders[],MATCH(OrderLines[[#Headers],[PaymentType]],Orders[#Headers],0),FALSE)</f>
        <v>Card</v>
      </c>
      <c r="L224" t="str" cm="1">
        <f t="array" ref="L224">VLOOKUP(OrderLines[[#This Row],[OrderID]:[OrderID]],Orders[],MATCH(OrderLines[[#Headers],[Shift]],Orders[#Headers],0),FALSE)</f>
        <v>Dinner</v>
      </c>
      <c r="M224" s="8">
        <f>(OrderLines[[#This Row],[Qty]]*OrderLines[[#This Row],[UnitPrice]])*(1-OrderLines[[#This Row],[DiscountPct]])</f>
        <v>31.001199999999994</v>
      </c>
      <c r="N224" t="str">
        <f>IF(AND(COUNTIFS(OrderLines[OrderID],OrderLines[[#This Row],[OrderID]],OrderLines[Category],"Hot Meal"),COUNTIFS(OrderLines[OrderID],OrderLines[[#This Row],[OrderID]],OrderLines[Category],"Beverage")),"Combo","Single")</f>
        <v>Combo</v>
      </c>
      <c r="O224" s="8" t="str" cm="1">
        <f t="array" ref="O224">IF(SUMPRODUCT(OrderLines[UnitPrice],OrderLines[Qty],OrderLines[DiscountPct],--(OrderLines[OrderID] = OrderLines[[#This Row],[OrderID]]))&gt;40,"High Discount","Ok")</f>
        <v>High Discount</v>
      </c>
      <c r="P224">
        <f>OrderLines[[#This Row],[UnitCost]]*OrderLines[[#This Row],[Qty]]</f>
        <v>11.84</v>
      </c>
      <c r="Q224" s="8">
        <f>OrderLines[[#This Row],[LineNetAmount]]-OrderLines[[#This Row],[Food Cost]]</f>
        <v>19.161199999999994</v>
      </c>
    </row>
    <row r="225" spans="1:17" x14ac:dyDescent="0.3">
      <c r="A225" t="s">
        <v>127</v>
      </c>
      <c r="B225" t="s">
        <v>411</v>
      </c>
      <c r="C225">
        <v>2</v>
      </c>
      <c r="D225" cm="1">
        <f t="array" ref="D225">VLOOKUP(OrderLines[[#This Row],[SKU]:[SKU]],Menu[],MATCH(OrderLines[[#Headers],[UnitPrice]],Menu[#Headers],0),FALSE)</f>
        <v>22.2</v>
      </c>
      <c r="E225" cm="1">
        <f t="array" ref="E225">VLOOKUP(OrderLines[[#This Row],[SKU]:[SKU]],Menu[],MATCH(OrderLines[[#Headers],[UnitCost]],Menu[#Headers],0),FALSE)</f>
        <v>9.3800000000000008</v>
      </c>
      <c r="F225" t="str" cm="1">
        <f t="array" ref="F225">VLOOKUP(OrderLines[[#This Row],[SKU]:[SKU]],Menu[],MATCH(OrderLines[[#Headers],[Category]],Menu[#Headers],0),FALSE)</f>
        <v>Beverage</v>
      </c>
      <c r="G225" t="str" cm="1">
        <f t="array" ref="G225">_xlfn.TEXTJOIN("+",TRUE,_xlfn._xlws.SORT(_xlfn.UNIQUE(_xlfn._xlws.FILTER(OrderLines[Category],OrderLines[OrderID]=OrderLines[[#This Row],[OrderID]]))))</f>
        <v>Beverage+Hot Meal</v>
      </c>
      <c r="H225" s="2" cm="1">
        <f t="array" ref="H225">INT(VLOOKUP(OrderLines[[#This Row],[OrderID]:[OrderID]],Orders[],MATCH(OrderLines[[#Headers],[OrderDateTime]],Orders[#Headers],0),FALSE))</f>
        <v>45859</v>
      </c>
      <c r="I225" t="str" cm="1">
        <f t="array" ref="I225">VLOOKUP(OrderLines[[#This Row],[OrderID]:[OrderID]],Orders[],MATCH(OrderLines[[#Headers],[Branch]],Orders[#Headers],0),FALSE)</f>
        <v>Plant 2 Canteen</v>
      </c>
      <c r="J225" cm="1">
        <f t="array" ref="J225">VLOOKUP(OrderLines[[#This Row],[OrderID]:[OrderID]],Orders[],MATCH(OrderLines[[#Headers],[DiscountPct]],Orders[#Headers],0),FALSE)</f>
        <v>0.06</v>
      </c>
      <c r="K225" t="str" cm="1">
        <f t="array" ref="K225">VLOOKUP(OrderLines[[#This Row],[OrderID]:[OrderID]],Orders[],MATCH(OrderLines[[#Headers],[PaymentType]],Orders[#Headers],0),FALSE)</f>
        <v>Card</v>
      </c>
      <c r="L225" t="str" cm="1">
        <f t="array" ref="L225">VLOOKUP(OrderLines[[#This Row],[OrderID]:[OrderID]],Orders[],MATCH(OrderLines[[#Headers],[Shift]],Orders[#Headers],0),FALSE)</f>
        <v>Dinner</v>
      </c>
      <c r="M225" s="8">
        <f>(OrderLines[[#This Row],[Qty]]*OrderLines[[#This Row],[UnitPrice]])*(1-OrderLines[[#This Row],[DiscountPct]])</f>
        <v>41.735999999999997</v>
      </c>
      <c r="N225" t="str">
        <f>IF(AND(COUNTIFS(OrderLines[OrderID],OrderLines[[#This Row],[OrderID]],OrderLines[Category],"Hot Meal"),COUNTIFS(OrderLines[OrderID],OrderLines[[#This Row],[OrderID]],OrderLines[Category],"Beverage")),"Combo","Single")</f>
        <v>Combo</v>
      </c>
      <c r="O225" s="8" t="str" cm="1">
        <f t="array" ref="O225">IF(SUMPRODUCT(OrderLines[UnitPrice],OrderLines[Qty],OrderLines[DiscountPct],--(OrderLines[OrderID] = OrderLines[[#This Row],[OrderID]]))&gt;40,"High Discount","Ok")</f>
        <v>High Discount</v>
      </c>
      <c r="P225">
        <f>OrderLines[[#This Row],[UnitCost]]*OrderLines[[#This Row],[Qty]]</f>
        <v>18.760000000000002</v>
      </c>
      <c r="Q225" s="8">
        <f>OrderLines[[#This Row],[LineNetAmount]]-OrderLines[[#This Row],[Food Cost]]</f>
        <v>22.975999999999996</v>
      </c>
    </row>
    <row r="226" spans="1:17" x14ac:dyDescent="0.3">
      <c r="A226" t="s">
        <v>128</v>
      </c>
      <c r="B226" t="s">
        <v>417</v>
      </c>
      <c r="C226">
        <v>2</v>
      </c>
      <c r="D226" cm="1">
        <f t="array" ref="D226">VLOOKUP(OrderLines[[#This Row],[SKU]:[SKU]],Menu[],MATCH(OrderLines[[#Headers],[UnitPrice]],Menu[#Headers],0),FALSE)</f>
        <v>146.4</v>
      </c>
      <c r="E226" cm="1">
        <f t="array" ref="E226">VLOOKUP(OrderLines[[#This Row],[SKU]:[SKU]],Menu[],MATCH(OrderLines[[#Headers],[UnitCost]],Menu[#Headers],0),FALSE)</f>
        <v>80.92</v>
      </c>
      <c r="F226" t="str" cm="1">
        <f t="array" ref="F226">VLOOKUP(OrderLines[[#This Row],[SKU]:[SKU]],Menu[],MATCH(OrderLines[[#Headers],[Category]],Menu[#Headers],0),FALSE)</f>
        <v>Hot Meal</v>
      </c>
      <c r="G226" t="str" cm="1">
        <f t="array" ref="G226">_xlfn.TEXTJOIN("+",TRUE,_xlfn._xlws.SORT(_xlfn.UNIQUE(_xlfn._xlws.FILTER(OrderLines[Category],OrderLines[OrderID]=OrderLines[[#This Row],[OrderID]]))))</f>
        <v>Hot Meal</v>
      </c>
      <c r="H226" s="2" cm="1">
        <f t="array" ref="H226">INT(VLOOKUP(OrderLines[[#This Row],[OrderID]:[OrderID]],Orders[],MATCH(OrderLines[[#Headers],[OrderDateTime]],Orders[#Headers],0),FALSE))</f>
        <v>45866</v>
      </c>
      <c r="I226" t="str" cm="1">
        <f t="array" ref="I226">VLOOKUP(OrderLines[[#This Row],[OrderID]:[OrderID]],Orders[],MATCH(OrderLines[[#Headers],[Branch]],Orders[#Headers],0),FALSE)</f>
        <v>Plant 2 Canteen</v>
      </c>
      <c r="J226" cm="1">
        <f t="array" ref="J226">VLOOKUP(OrderLines[[#This Row],[OrderID]:[OrderID]],Orders[],MATCH(OrderLines[[#Headers],[DiscountPct]],Orders[#Headers],0),FALSE)</f>
        <v>0.02</v>
      </c>
      <c r="K226" t="str" cm="1">
        <f t="array" ref="K226">VLOOKUP(OrderLines[[#This Row],[OrderID]:[OrderID]],Orders[],MATCH(OrderLines[[#Headers],[PaymentType]],Orders[#Headers],0),FALSE)</f>
        <v>Cash</v>
      </c>
      <c r="L226" t="str" cm="1">
        <f t="array" ref="L226">VLOOKUP(OrderLines[[#This Row],[OrderID]:[OrderID]],Orders[],MATCH(OrderLines[[#Headers],[Shift]],Orders[#Headers],0),FALSE)</f>
        <v>Breakfast</v>
      </c>
      <c r="M226" s="8">
        <f>(OrderLines[[#This Row],[Qty]]*OrderLines[[#This Row],[UnitPrice]])*(1-OrderLines[[#This Row],[DiscountPct]])</f>
        <v>286.94400000000002</v>
      </c>
      <c r="N226" t="str">
        <f>IF(AND(COUNTIFS(OrderLines[OrderID],OrderLines[[#This Row],[OrderID]],OrderLines[Category],"Hot Meal"),COUNTIFS(OrderLines[OrderID],OrderLines[[#This Row],[OrderID]],OrderLines[Category],"Beverage")),"Combo","Single")</f>
        <v>Single</v>
      </c>
      <c r="O226" s="8" t="str" cm="1">
        <f t="array" ref="O226">IF(SUMPRODUCT(OrderLines[UnitPrice],OrderLines[Qty],OrderLines[DiscountPct],--(OrderLines[OrderID] = OrderLines[[#This Row],[OrderID]]))&gt;40,"High Discount","Ok")</f>
        <v>Ok</v>
      </c>
      <c r="P226">
        <f>OrderLines[[#This Row],[UnitCost]]*OrderLines[[#This Row],[Qty]]</f>
        <v>161.84</v>
      </c>
      <c r="Q226" s="8">
        <f>OrderLines[[#This Row],[LineNetAmount]]-OrderLines[[#This Row],[Food Cost]]</f>
        <v>125.10400000000001</v>
      </c>
    </row>
    <row r="227" spans="1:17" x14ac:dyDescent="0.3">
      <c r="A227" t="s">
        <v>129</v>
      </c>
      <c r="B227" t="s">
        <v>409</v>
      </c>
      <c r="C227">
        <v>2</v>
      </c>
      <c r="D227" cm="1">
        <f t="array" ref="D227">VLOOKUP(OrderLines[[#This Row],[SKU]:[SKU]],Menu[],MATCH(OrderLines[[#Headers],[UnitPrice]],Menu[#Headers],0),FALSE)</f>
        <v>28.43</v>
      </c>
      <c r="E227" cm="1">
        <f t="array" ref="E227">VLOOKUP(OrderLines[[#This Row],[SKU]:[SKU]],Menu[],MATCH(OrderLines[[#Headers],[UnitCost]],Menu[#Headers],0),FALSE)</f>
        <v>13.89</v>
      </c>
      <c r="F227" t="str" cm="1">
        <f t="array" ref="F227">VLOOKUP(OrderLines[[#This Row],[SKU]:[SKU]],Menu[],MATCH(OrderLines[[#Headers],[Category]],Menu[#Headers],0),FALSE)</f>
        <v>Beverage</v>
      </c>
      <c r="G227" t="str" cm="1">
        <f t="array" ref="G227">_xlfn.TEXTJOIN("+",TRUE,_xlfn._xlws.SORT(_xlfn.UNIQUE(_xlfn._xlws.FILTER(OrderLines[Category],OrderLines[OrderID]=OrderLines[[#This Row],[OrderID]]))))</f>
        <v>Beverage+Dessert+Hot Meal</v>
      </c>
      <c r="H227" s="2" cm="1">
        <f t="array" ref="H227">INT(VLOOKUP(OrderLines[[#This Row],[OrderID]:[OrderID]],Orders[],MATCH(OrderLines[[#Headers],[OrderDateTime]],Orders[#Headers],0),FALSE))</f>
        <v>45841</v>
      </c>
      <c r="I227" t="str" cm="1">
        <f t="array" ref="I227">VLOOKUP(OrderLines[[#This Row],[OrderID]:[OrderID]],Orders[],MATCH(OrderLines[[#Headers],[Branch]],Orders[#Headers],0),FALSE)</f>
        <v>Head Office Café</v>
      </c>
      <c r="J227" cm="1">
        <f t="array" ref="J227">VLOOKUP(OrderLines[[#This Row],[OrderID]:[OrderID]],Orders[],MATCH(OrderLines[[#Headers],[DiscountPct]],Orders[#Headers],0),FALSE)</f>
        <v>0.08</v>
      </c>
      <c r="K227" t="str" cm="1">
        <f t="array" ref="K227">VLOOKUP(OrderLines[[#This Row],[OrderID]:[OrderID]],Orders[],MATCH(OrderLines[[#Headers],[PaymentType]],Orders[#Headers],0),FALSE)</f>
        <v>Cash</v>
      </c>
      <c r="L227" t="str" cm="1">
        <f t="array" ref="L227">VLOOKUP(OrderLines[[#This Row],[OrderID]:[OrderID]],Orders[],MATCH(OrderLines[[#Headers],[Shift]],Orders[#Headers],0),FALSE)</f>
        <v>Breakfast</v>
      </c>
      <c r="M227" s="8">
        <f>(OrderLines[[#This Row],[Qty]]*OrderLines[[#This Row],[UnitPrice]])*(1-OrderLines[[#This Row],[DiscountPct]])</f>
        <v>52.311199999999999</v>
      </c>
      <c r="N227" t="str">
        <f>IF(AND(COUNTIFS(OrderLines[OrderID],OrderLines[[#This Row],[OrderID]],OrderLines[Category],"Hot Meal"),COUNTIFS(OrderLines[OrderID],OrderLines[[#This Row],[OrderID]],OrderLines[Category],"Beverage")),"Combo","Single")</f>
        <v>Combo</v>
      </c>
      <c r="O227" s="8" t="str" cm="1">
        <f t="array" ref="O227">IF(SUMPRODUCT(OrderLines[UnitPrice],OrderLines[Qty],OrderLines[DiscountPct],--(OrderLines[OrderID] = OrderLines[[#This Row],[OrderID]]))&gt;40,"High Discount","Ok")</f>
        <v>High Discount</v>
      </c>
      <c r="P227">
        <f>OrderLines[[#This Row],[UnitCost]]*OrderLines[[#This Row],[Qty]]</f>
        <v>27.78</v>
      </c>
      <c r="Q227" s="8">
        <f>OrderLines[[#This Row],[LineNetAmount]]-OrderLines[[#This Row],[Food Cost]]</f>
        <v>24.531199999999998</v>
      </c>
    </row>
    <row r="228" spans="1:17" x14ac:dyDescent="0.3">
      <c r="A228" t="s">
        <v>129</v>
      </c>
      <c r="B228" t="s">
        <v>416</v>
      </c>
      <c r="C228">
        <v>2</v>
      </c>
      <c r="D228" cm="1">
        <f t="array" ref="D228">VLOOKUP(OrderLines[[#This Row],[SKU]:[SKU]],Menu[],MATCH(OrderLines[[#Headers],[UnitPrice]],Menu[#Headers],0),FALSE)</f>
        <v>227.61</v>
      </c>
      <c r="E228" cm="1">
        <f t="array" ref="E228">VLOOKUP(OrderLines[[#This Row],[SKU]:[SKU]],Menu[],MATCH(OrderLines[[#Headers],[UnitCost]],Menu[#Headers],0),FALSE)</f>
        <v>96.22</v>
      </c>
      <c r="F228" t="str" cm="1">
        <f t="array" ref="F228">VLOOKUP(OrderLines[[#This Row],[SKU]:[SKU]],Menu[],MATCH(OrderLines[[#Headers],[Category]],Menu[#Headers],0),FALSE)</f>
        <v>Hot Meal</v>
      </c>
      <c r="G228" t="str" cm="1">
        <f t="array" ref="G228">_xlfn.TEXTJOIN("+",TRUE,_xlfn._xlws.SORT(_xlfn.UNIQUE(_xlfn._xlws.FILTER(OrderLines[Category],OrderLines[OrderID]=OrderLines[[#This Row],[OrderID]]))))</f>
        <v>Beverage+Dessert+Hot Meal</v>
      </c>
      <c r="H228" s="2" cm="1">
        <f t="array" ref="H228">INT(VLOOKUP(OrderLines[[#This Row],[OrderID]:[OrderID]],Orders[],MATCH(OrderLines[[#Headers],[OrderDateTime]],Orders[#Headers],0),FALSE))</f>
        <v>45841</v>
      </c>
      <c r="I228" t="str" cm="1">
        <f t="array" ref="I228">VLOOKUP(OrderLines[[#This Row],[OrderID]:[OrderID]],Orders[],MATCH(OrderLines[[#Headers],[Branch]],Orders[#Headers],0),FALSE)</f>
        <v>Head Office Café</v>
      </c>
      <c r="J228" cm="1">
        <f t="array" ref="J228">VLOOKUP(OrderLines[[#This Row],[OrderID]:[OrderID]],Orders[],MATCH(OrderLines[[#Headers],[DiscountPct]],Orders[#Headers],0),FALSE)</f>
        <v>0.08</v>
      </c>
      <c r="K228" t="str" cm="1">
        <f t="array" ref="K228">VLOOKUP(OrderLines[[#This Row],[OrderID]:[OrderID]],Orders[],MATCH(OrderLines[[#Headers],[PaymentType]],Orders[#Headers],0),FALSE)</f>
        <v>Cash</v>
      </c>
      <c r="L228" t="str" cm="1">
        <f t="array" ref="L228">VLOOKUP(OrderLines[[#This Row],[OrderID]:[OrderID]],Orders[],MATCH(OrderLines[[#Headers],[Shift]],Orders[#Headers],0),FALSE)</f>
        <v>Breakfast</v>
      </c>
      <c r="M228" s="8">
        <f>(OrderLines[[#This Row],[Qty]]*OrderLines[[#This Row],[UnitPrice]])*(1-OrderLines[[#This Row],[DiscountPct]])</f>
        <v>418.80240000000003</v>
      </c>
      <c r="N228" t="str">
        <f>IF(AND(COUNTIFS(OrderLines[OrderID],OrderLines[[#This Row],[OrderID]],OrderLines[Category],"Hot Meal"),COUNTIFS(OrderLines[OrderID],OrderLines[[#This Row],[OrderID]],OrderLines[Category],"Beverage")),"Combo","Single")</f>
        <v>Combo</v>
      </c>
      <c r="O228" s="8" t="str" cm="1">
        <f t="array" ref="O228">IF(SUMPRODUCT(OrderLines[UnitPrice],OrderLines[Qty],OrderLines[DiscountPct],--(OrderLines[OrderID] = OrderLines[[#This Row],[OrderID]]))&gt;40,"High Discount","Ok")</f>
        <v>High Discount</v>
      </c>
      <c r="P228">
        <f>OrderLines[[#This Row],[UnitCost]]*OrderLines[[#This Row],[Qty]]</f>
        <v>192.44</v>
      </c>
      <c r="Q228" s="8">
        <f>OrderLines[[#This Row],[LineNetAmount]]-OrderLines[[#This Row],[Food Cost]]</f>
        <v>226.36240000000004</v>
      </c>
    </row>
    <row r="229" spans="1:17" x14ac:dyDescent="0.3">
      <c r="A229" t="s">
        <v>129</v>
      </c>
      <c r="B229" t="s">
        <v>414</v>
      </c>
      <c r="C229">
        <v>2</v>
      </c>
      <c r="D229" cm="1">
        <f t="array" ref="D229">VLOOKUP(OrderLines[[#This Row],[SKU]:[SKU]],Menu[],MATCH(OrderLines[[#Headers],[UnitPrice]],Menu[#Headers],0),FALSE)</f>
        <v>116.8</v>
      </c>
      <c r="E229" cm="1">
        <f t="array" ref="E229">VLOOKUP(OrderLines[[#This Row],[SKU]:[SKU]],Menu[],MATCH(OrderLines[[#Headers],[UnitCost]],Menu[#Headers],0),FALSE)</f>
        <v>48.97</v>
      </c>
      <c r="F229" t="str" cm="1">
        <f t="array" ref="F229">VLOOKUP(OrderLines[[#This Row],[SKU]:[SKU]],Menu[],MATCH(OrderLines[[#Headers],[Category]],Menu[#Headers],0),FALSE)</f>
        <v>Dessert</v>
      </c>
      <c r="G229" t="str" cm="1">
        <f t="array" ref="G229">_xlfn.TEXTJOIN("+",TRUE,_xlfn._xlws.SORT(_xlfn.UNIQUE(_xlfn._xlws.FILTER(OrderLines[Category],OrderLines[OrderID]=OrderLines[[#This Row],[OrderID]]))))</f>
        <v>Beverage+Dessert+Hot Meal</v>
      </c>
      <c r="H229" s="2" cm="1">
        <f t="array" ref="H229">INT(VLOOKUP(OrderLines[[#This Row],[OrderID]:[OrderID]],Orders[],MATCH(OrderLines[[#Headers],[OrderDateTime]],Orders[#Headers],0),FALSE))</f>
        <v>45841</v>
      </c>
      <c r="I229" t="str" cm="1">
        <f t="array" ref="I229">VLOOKUP(OrderLines[[#This Row],[OrderID]:[OrderID]],Orders[],MATCH(OrderLines[[#Headers],[Branch]],Orders[#Headers],0),FALSE)</f>
        <v>Head Office Café</v>
      </c>
      <c r="J229" cm="1">
        <f t="array" ref="J229">VLOOKUP(OrderLines[[#This Row],[OrderID]:[OrderID]],Orders[],MATCH(OrderLines[[#Headers],[DiscountPct]],Orders[#Headers],0),FALSE)</f>
        <v>0.08</v>
      </c>
      <c r="K229" t="str" cm="1">
        <f t="array" ref="K229">VLOOKUP(OrderLines[[#This Row],[OrderID]:[OrderID]],Orders[],MATCH(OrderLines[[#Headers],[PaymentType]],Orders[#Headers],0),FALSE)</f>
        <v>Cash</v>
      </c>
      <c r="L229" t="str" cm="1">
        <f t="array" ref="L229">VLOOKUP(OrderLines[[#This Row],[OrderID]:[OrderID]],Orders[],MATCH(OrderLines[[#Headers],[Shift]],Orders[#Headers],0),FALSE)</f>
        <v>Breakfast</v>
      </c>
      <c r="M229" s="8">
        <f>(OrderLines[[#This Row],[Qty]]*OrderLines[[#This Row],[UnitPrice]])*(1-OrderLines[[#This Row],[DiscountPct]])</f>
        <v>214.91200000000001</v>
      </c>
      <c r="N229" t="str">
        <f>IF(AND(COUNTIFS(OrderLines[OrderID],OrderLines[[#This Row],[OrderID]],OrderLines[Category],"Hot Meal"),COUNTIFS(OrderLines[OrderID],OrderLines[[#This Row],[OrderID]],OrderLines[Category],"Beverage")),"Combo","Single")</f>
        <v>Combo</v>
      </c>
      <c r="O229" s="8" t="str" cm="1">
        <f t="array" ref="O229">IF(SUMPRODUCT(OrderLines[UnitPrice],OrderLines[Qty],OrderLines[DiscountPct],--(OrderLines[OrderID] = OrderLines[[#This Row],[OrderID]]))&gt;40,"High Discount","Ok")</f>
        <v>High Discount</v>
      </c>
      <c r="P229">
        <f>OrderLines[[#This Row],[UnitCost]]*OrderLines[[#This Row],[Qty]]</f>
        <v>97.94</v>
      </c>
      <c r="Q229" s="8">
        <f>OrderLines[[#This Row],[LineNetAmount]]-OrderLines[[#This Row],[Food Cost]]</f>
        <v>116.97200000000001</v>
      </c>
    </row>
    <row r="230" spans="1:17" x14ac:dyDescent="0.3">
      <c r="A230" t="s">
        <v>130</v>
      </c>
      <c r="B230" t="s">
        <v>412</v>
      </c>
      <c r="C230">
        <v>2</v>
      </c>
      <c r="D230" cm="1">
        <f t="array" ref="D230">VLOOKUP(OrderLines[[#This Row],[SKU]:[SKU]],Menu[],MATCH(OrderLines[[#Headers],[UnitPrice]],Menu[#Headers],0),FALSE)</f>
        <v>57.07</v>
      </c>
      <c r="E230" cm="1">
        <f t="array" ref="E230">VLOOKUP(OrderLines[[#This Row],[SKU]:[SKU]],Menu[],MATCH(OrderLines[[#Headers],[UnitCost]],Menu[#Headers],0),FALSE)</f>
        <v>29.14</v>
      </c>
      <c r="F230" t="str" cm="1">
        <f t="array" ref="F230">VLOOKUP(OrderLines[[#This Row],[SKU]:[SKU]],Menu[],MATCH(OrderLines[[#Headers],[Category]],Menu[#Headers],0),FALSE)</f>
        <v>Dessert</v>
      </c>
      <c r="G230" t="str" cm="1">
        <f t="array" ref="G230">_xlfn.TEXTJOIN("+",TRUE,_xlfn._xlws.SORT(_xlfn.UNIQUE(_xlfn._xlws.FILTER(OrderLines[Category],OrderLines[OrderID]=OrderLines[[#This Row],[OrderID]]))))</f>
        <v>Dessert+Hot Meal</v>
      </c>
      <c r="H230" s="2" cm="1">
        <f t="array" ref="H230">INT(VLOOKUP(OrderLines[[#This Row],[OrderID]:[OrderID]],Orders[],MATCH(OrderLines[[#Headers],[OrderDateTime]],Orders[#Headers],0),FALSE))</f>
        <v>45861</v>
      </c>
      <c r="I230" t="str" cm="1">
        <f t="array" ref="I230">VLOOKUP(OrderLines[[#This Row],[OrderID]:[OrderID]],Orders[],MATCH(OrderLines[[#Headers],[Branch]],Orders[#Headers],0),FALSE)</f>
        <v>Head Office Café</v>
      </c>
      <c r="J230" cm="1">
        <f t="array" ref="J230">VLOOKUP(OrderLines[[#This Row],[OrderID]:[OrderID]],Orders[],MATCH(OrderLines[[#Headers],[DiscountPct]],Orders[#Headers],0),FALSE)</f>
        <v>0.02</v>
      </c>
      <c r="K230" t="str" cm="1">
        <f t="array" ref="K230">VLOOKUP(OrderLines[[#This Row],[OrderID]:[OrderID]],Orders[],MATCH(OrderLines[[#Headers],[PaymentType]],Orders[#Headers],0),FALSE)</f>
        <v>UPI</v>
      </c>
      <c r="L230" t="str" cm="1">
        <f t="array" ref="L230">VLOOKUP(OrderLines[[#This Row],[OrderID]:[OrderID]],Orders[],MATCH(OrderLines[[#Headers],[Shift]],Orders[#Headers],0),FALSE)</f>
        <v>Breakfast</v>
      </c>
      <c r="M230" s="8">
        <f>(OrderLines[[#This Row],[Qty]]*OrderLines[[#This Row],[UnitPrice]])*(1-OrderLines[[#This Row],[DiscountPct]])</f>
        <v>111.85719999999999</v>
      </c>
      <c r="N230" t="str">
        <f>IF(AND(COUNTIFS(OrderLines[OrderID],OrderLines[[#This Row],[OrderID]],OrderLines[Category],"Hot Meal"),COUNTIFS(OrderLines[OrderID],OrderLines[[#This Row],[OrderID]],OrderLines[Category],"Beverage")),"Combo","Single")</f>
        <v>Single</v>
      </c>
      <c r="O230" s="8" t="str" cm="1">
        <f t="array" ref="O230">IF(SUMPRODUCT(OrderLines[UnitPrice],OrderLines[Qty],OrderLines[DiscountPct],--(OrderLines[OrderID] = OrderLines[[#This Row],[OrderID]]))&gt;40,"High Discount","Ok")</f>
        <v>Ok</v>
      </c>
      <c r="P230">
        <f>OrderLines[[#This Row],[UnitCost]]*OrderLines[[#This Row],[Qty]]</f>
        <v>58.28</v>
      </c>
      <c r="Q230" s="8">
        <f>OrderLines[[#This Row],[LineNetAmount]]-OrderLines[[#This Row],[Food Cost]]</f>
        <v>53.577199999999991</v>
      </c>
    </row>
    <row r="231" spans="1:17" x14ac:dyDescent="0.3">
      <c r="A231" t="s">
        <v>130</v>
      </c>
      <c r="B231" t="s">
        <v>417</v>
      </c>
      <c r="C231">
        <v>2</v>
      </c>
      <c r="D231" cm="1">
        <f t="array" ref="D231">VLOOKUP(OrderLines[[#This Row],[SKU]:[SKU]],Menu[],MATCH(OrderLines[[#Headers],[UnitPrice]],Menu[#Headers],0),FALSE)</f>
        <v>146.4</v>
      </c>
      <c r="E231" cm="1">
        <f t="array" ref="E231">VLOOKUP(OrderLines[[#This Row],[SKU]:[SKU]],Menu[],MATCH(OrderLines[[#Headers],[UnitCost]],Menu[#Headers],0),FALSE)</f>
        <v>80.92</v>
      </c>
      <c r="F231" t="str" cm="1">
        <f t="array" ref="F231">VLOOKUP(OrderLines[[#This Row],[SKU]:[SKU]],Menu[],MATCH(OrderLines[[#Headers],[Category]],Menu[#Headers],0),FALSE)</f>
        <v>Hot Meal</v>
      </c>
      <c r="G231" t="str" cm="1">
        <f t="array" ref="G231">_xlfn.TEXTJOIN("+",TRUE,_xlfn._xlws.SORT(_xlfn.UNIQUE(_xlfn._xlws.FILTER(OrderLines[Category],OrderLines[OrderID]=OrderLines[[#This Row],[OrderID]]))))</f>
        <v>Dessert+Hot Meal</v>
      </c>
      <c r="H231" s="2" cm="1">
        <f t="array" ref="H231">INT(VLOOKUP(OrderLines[[#This Row],[OrderID]:[OrderID]],Orders[],MATCH(OrderLines[[#Headers],[OrderDateTime]],Orders[#Headers],0),FALSE))</f>
        <v>45861</v>
      </c>
      <c r="I231" t="str" cm="1">
        <f t="array" ref="I231">VLOOKUP(OrderLines[[#This Row],[OrderID]:[OrderID]],Orders[],MATCH(OrderLines[[#Headers],[Branch]],Orders[#Headers],0),FALSE)</f>
        <v>Head Office Café</v>
      </c>
      <c r="J231" cm="1">
        <f t="array" ref="J231">VLOOKUP(OrderLines[[#This Row],[OrderID]:[OrderID]],Orders[],MATCH(OrderLines[[#Headers],[DiscountPct]],Orders[#Headers],0),FALSE)</f>
        <v>0.02</v>
      </c>
      <c r="K231" t="str" cm="1">
        <f t="array" ref="K231">VLOOKUP(OrderLines[[#This Row],[OrderID]:[OrderID]],Orders[],MATCH(OrderLines[[#Headers],[PaymentType]],Orders[#Headers],0),FALSE)</f>
        <v>UPI</v>
      </c>
      <c r="L231" t="str" cm="1">
        <f t="array" ref="L231">VLOOKUP(OrderLines[[#This Row],[OrderID]:[OrderID]],Orders[],MATCH(OrderLines[[#Headers],[Shift]],Orders[#Headers],0),FALSE)</f>
        <v>Breakfast</v>
      </c>
      <c r="M231" s="8">
        <f>(OrderLines[[#This Row],[Qty]]*OrderLines[[#This Row],[UnitPrice]])*(1-OrderLines[[#This Row],[DiscountPct]])</f>
        <v>286.94400000000002</v>
      </c>
      <c r="N231" t="str">
        <f>IF(AND(COUNTIFS(OrderLines[OrderID],OrderLines[[#This Row],[OrderID]],OrderLines[Category],"Hot Meal"),COUNTIFS(OrderLines[OrderID],OrderLines[[#This Row],[OrderID]],OrderLines[Category],"Beverage")),"Combo","Single")</f>
        <v>Single</v>
      </c>
      <c r="O231" s="8" t="str" cm="1">
        <f t="array" ref="O231">IF(SUMPRODUCT(OrderLines[UnitPrice],OrderLines[Qty],OrderLines[DiscountPct],--(OrderLines[OrderID] = OrderLines[[#This Row],[OrderID]]))&gt;40,"High Discount","Ok")</f>
        <v>Ok</v>
      </c>
      <c r="P231">
        <f>OrderLines[[#This Row],[UnitCost]]*OrderLines[[#This Row],[Qty]]</f>
        <v>161.84</v>
      </c>
      <c r="Q231" s="8">
        <f>OrderLines[[#This Row],[LineNetAmount]]-OrderLines[[#This Row],[Food Cost]]</f>
        <v>125.10400000000001</v>
      </c>
    </row>
    <row r="232" spans="1:17" x14ac:dyDescent="0.3">
      <c r="A232" t="s">
        <v>131</v>
      </c>
      <c r="B232" t="s">
        <v>419</v>
      </c>
      <c r="C232">
        <v>1</v>
      </c>
      <c r="D232" cm="1">
        <f t="array" ref="D232">VLOOKUP(OrderLines[[#This Row],[SKU]:[SKU]],Menu[],MATCH(OrderLines[[#Headers],[UnitPrice]],Menu[#Headers],0),FALSE)</f>
        <v>50.19</v>
      </c>
      <c r="E232" cm="1">
        <f t="array" ref="E232">VLOOKUP(OrderLines[[#This Row],[SKU]:[SKU]],Menu[],MATCH(OrderLines[[#Headers],[UnitCost]],Menu[#Headers],0),FALSE)</f>
        <v>22.61</v>
      </c>
      <c r="F232" t="str" cm="1">
        <f t="array" ref="F232">VLOOKUP(OrderLines[[#This Row],[SKU]:[SKU]],Menu[],MATCH(OrderLines[[#Headers],[Category]],Menu[#Headers],0),FALSE)</f>
        <v>Snack</v>
      </c>
      <c r="G232" t="str" cm="1">
        <f t="array" ref="G232">_xlfn.TEXTJOIN("+",TRUE,_xlfn._xlws.SORT(_xlfn.UNIQUE(_xlfn._xlws.FILTER(OrderLines[Category],OrderLines[OrderID]=OrderLines[[#This Row],[OrderID]]))))</f>
        <v>Beverage+Dessert+Snack</v>
      </c>
      <c r="H232" s="2" cm="1">
        <f t="array" ref="H232">INT(VLOOKUP(OrderLines[[#This Row],[OrderID]:[OrderID]],Orders[],MATCH(OrderLines[[#Headers],[OrderDateTime]],Orders[#Headers],0),FALSE))</f>
        <v>45842</v>
      </c>
      <c r="I232" t="str" cm="1">
        <f t="array" ref="I232">VLOOKUP(OrderLines[[#This Row],[OrderID]:[OrderID]],Orders[],MATCH(OrderLines[[#Headers],[Branch]],Orders[#Headers],0),FALSE)</f>
        <v>Plant 1 Canteen</v>
      </c>
      <c r="J232" cm="1">
        <f t="array" ref="J232">VLOOKUP(OrderLines[[#This Row],[OrderID]:[OrderID]],Orders[],MATCH(OrderLines[[#Headers],[DiscountPct]],Orders[#Headers],0),FALSE)</f>
        <v>0.12</v>
      </c>
      <c r="K232" t="str" cm="1">
        <f t="array" ref="K232">VLOOKUP(OrderLines[[#This Row],[OrderID]:[OrderID]],Orders[],MATCH(OrderLines[[#Headers],[PaymentType]],Orders[#Headers],0),FALSE)</f>
        <v>Cash</v>
      </c>
      <c r="L232" t="str" cm="1">
        <f t="array" ref="L232">VLOOKUP(OrderLines[[#This Row],[OrderID]:[OrderID]],Orders[],MATCH(OrderLines[[#Headers],[Shift]],Orders[#Headers],0),FALSE)</f>
        <v>Breakfast</v>
      </c>
      <c r="M232" s="8">
        <f>(OrderLines[[#This Row],[Qty]]*OrderLines[[#This Row],[UnitPrice]])*(1-OrderLines[[#This Row],[DiscountPct]])</f>
        <v>44.167200000000001</v>
      </c>
      <c r="N232" t="str">
        <f>IF(AND(COUNTIFS(OrderLines[OrderID],OrderLines[[#This Row],[OrderID]],OrderLines[Category],"Hot Meal"),COUNTIFS(OrderLines[OrderID],OrderLines[[#This Row],[OrderID]],OrderLines[Category],"Beverage")),"Combo","Single")</f>
        <v>Single</v>
      </c>
      <c r="O232" s="8" t="str" cm="1">
        <f t="array" ref="O232">IF(SUMPRODUCT(OrderLines[UnitPrice],OrderLines[Qty],OrderLines[DiscountPct],--(OrderLines[OrderID] = OrderLines[[#This Row],[OrderID]]))&gt;40,"High Discount","Ok")</f>
        <v>Ok</v>
      </c>
      <c r="P232">
        <f>OrderLines[[#This Row],[UnitCost]]*OrderLines[[#This Row],[Qty]]</f>
        <v>22.61</v>
      </c>
      <c r="Q232" s="8">
        <f>OrderLines[[#This Row],[LineNetAmount]]-OrderLines[[#This Row],[Food Cost]]</f>
        <v>21.557200000000002</v>
      </c>
    </row>
    <row r="233" spans="1:17" x14ac:dyDescent="0.3">
      <c r="A233" t="s">
        <v>131</v>
      </c>
      <c r="B233" t="s">
        <v>414</v>
      </c>
      <c r="C233">
        <v>1</v>
      </c>
      <c r="D233" cm="1">
        <f t="array" ref="D233">VLOOKUP(OrderLines[[#This Row],[SKU]:[SKU]],Menu[],MATCH(OrderLines[[#Headers],[UnitPrice]],Menu[#Headers],0),FALSE)</f>
        <v>116.8</v>
      </c>
      <c r="E233" cm="1">
        <f t="array" ref="E233">VLOOKUP(OrderLines[[#This Row],[SKU]:[SKU]],Menu[],MATCH(OrderLines[[#Headers],[UnitCost]],Menu[#Headers],0),FALSE)</f>
        <v>48.97</v>
      </c>
      <c r="F233" t="str" cm="1">
        <f t="array" ref="F233">VLOOKUP(OrderLines[[#This Row],[SKU]:[SKU]],Menu[],MATCH(OrderLines[[#Headers],[Category]],Menu[#Headers],0),FALSE)</f>
        <v>Dessert</v>
      </c>
      <c r="G233" t="str" cm="1">
        <f t="array" ref="G233">_xlfn.TEXTJOIN("+",TRUE,_xlfn._xlws.SORT(_xlfn.UNIQUE(_xlfn._xlws.FILTER(OrderLines[Category],OrderLines[OrderID]=OrderLines[[#This Row],[OrderID]]))))</f>
        <v>Beverage+Dessert+Snack</v>
      </c>
      <c r="H233" s="2" cm="1">
        <f t="array" ref="H233">INT(VLOOKUP(OrderLines[[#This Row],[OrderID]:[OrderID]],Orders[],MATCH(OrderLines[[#Headers],[OrderDateTime]],Orders[#Headers],0),FALSE))</f>
        <v>45842</v>
      </c>
      <c r="I233" t="str" cm="1">
        <f t="array" ref="I233">VLOOKUP(OrderLines[[#This Row],[OrderID]:[OrderID]],Orders[],MATCH(OrderLines[[#Headers],[Branch]],Orders[#Headers],0),FALSE)</f>
        <v>Plant 1 Canteen</v>
      </c>
      <c r="J233" cm="1">
        <f t="array" ref="J233">VLOOKUP(OrderLines[[#This Row],[OrderID]:[OrderID]],Orders[],MATCH(OrderLines[[#Headers],[DiscountPct]],Orders[#Headers],0),FALSE)</f>
        <v>0.12</v>
      </c>
      <c r="K233" t="str" cm="1">
        <f t="array" ref="K233">VLOOKUP(OrderLines[[#This Row],[OrderID]:[OrderID]],Orders[],MATCH(OrderLines[[#Headers],[PaymentType]],Orders[#Headers],0),FALSE)</f>
        <v>Cash</v>
      </c>
      <c r="L233" t="str" cm="1">
        <f t="array" ref="L233">VLOOKUP(OrderLines[[#This Row],[OrderID]:[OrderID]],Orders[],MATCH(OrderLines[[#Headers],[Shift]],Orders[#Headers],0),FALSE)</f>
        <v>Breakfast</v>
      </c>
      <c r="M233" s="8">
        <f>(OrderLines[[#This Row],[Qty]]*OrderLines[[#This Row],[UnitPrice]])*(1-OrderLines[[#This Row],[DiscountPct]])</f>
        <v>102.78399999999999</v>
      </c>
      <c r="N233" t="str">
        <f>IF(AND(COUNTIFS(OrderLines[OrderID],OrderLines[[#This Row],[OrderID]],OrderLines[Category],"Hot Meal"),COUNTIFS(OrderLines[OrderID],OrderLines[[#This Row],[OrderID]],OrderLines[Category],"Beverage")),"Combo","Single")</f>
        <v>Single</v>
      </c>
      <c r="O233" s="8" t="str" cm="1">
        <f t="array" ref="O233">IF(SUMPRODUCT(OrderLines[UnitPrice],OrderLines[Qty],OrderLines[DiscountPct],--(OrderLines[OrderID] = OrderLines[[#This Row],[OrderID]]))&gt;40,"High Discount","Ok")</f>
        <v>Ok</v>
      </c>
      <c r="P233">
        <f>OrderLines[[#This Row],[UnitCost]]*OrderLines[[#This Row],[Qty]]</f>
        <v>48.97</v>
      </c>
      <c r="Q233" s="8">
        <f>OrderLines[[#This Row],[LineNetAmount]]-OrderLines[[#This Row],[Food Cost]]</f>
        <v>53.813999999999993</v>
      </c>
    </row>
    <row r="234" spans="1:17" x14ac:dyDescent="0.3">
      <c r="A234" t="s">
        <v>131</v>
      </c>
      <c r="B234" t="s">
        <v>409</v>
      </c>
      <c r="C234">
        <v>1</v>
      </c>
      <c r="D234" cm="1">
        <f t="array" ref="D234">VLOOKUP(OrderLines[[#This Row],[SKU]:[SKU]],Menu[],MATCH(OrderLines[[#Headers],[UnitPrice]],Menu[#Headers],0),FALSE)</f>
        <v>28.43</v>
      </c>
      <c r="E234" cm="1">
        <f t="array" ref="E234">VLOOKUP(OrderLines[[#This Row],[SKU]:[SKU]],Menu[],MATCH(OrderLines[[#Headers],[UnitCost]],Menu[#Headers],0),FALSE)</f>
        <v>13.89</v>
      </c>
      <c r="F234" t="str" cm="1">
        <f t="array" ref="F234">VLOOKUP(OrderLines[[#This Row],[SKU]:[SKU]],Menu[],MATCH(OrderLines[[#Headers],[Category]],Menu[#Headers],0),FALSE)</f>
        <v>Beverage</v>
      </c>
      <c r="G234" t="str" cm="1">
        <f t="array" ref="G234">_xlfn.TEXTJOIN("+",TRUE,_xlfn._xlws.SORT(_xlfn.UNIQUE(_xlfn._xlws.FILTER(OrderLines[Category],OrderLines[OrderID]=OrderLines[[#This Row],[OrderID]]))))</f>
        <v>Beverage+Dessert+Snack</v>
      </c>
      <c r="H234" s="2" cm="1">
        <f t="array" ref="H234">INT(VLOOKUP(OrderLines[[#This Row],[OrderID]:[OrderID]],Orders[],MATCH(OrderLines[[#Headers],[OrderDateTime]],Orders[#Headers],0),FALSE))</f>
        <v>45842</v>
      </c>
      <c r="I234" t="str" cm="1">
        <f t="array" ref="I234">VLOOKUP(OrderLines[[#This Row],[OrderID]:[OrderID]],Orders[],MATCH(OrderLines[[#Headers],[Branch]],Orders[#Headers],0),FALSE)</f>
        <v>Plant 1 Canteen</v>
      </c>
      <c r="J234" cm="1">
        <f t="array" ref="J234">VLOOKUP(OrderLines[[#This Row],[OrderID]:[OrderID]],Orders[],MATCH(OrderLines[[#Headers],[DiscountPct]],Orders[#Headers],0),FALSE)</f>
        <v>0.12</v>
      </c>
      <c r="K234" t="str" cm="1">
        <f t="array" ref="K234">VLOOKUP(OrderLines[[#This Row],[OrderID]:[OrderID]],Orders[],MATCH(OrderLines[[#Headers],[PaymentType]],Orders[#Headers],0),FALSE)</f>
        <v>Cash</v>
      </c>
      <c r="L234" t="str" cm="1">
        <f t="array" ref="L234">VLOOKUP(OrderLines[[#This Row],[OrderID]:[OrderID]],Orders[],MATCH(OrderLines[[#Headers],[Shift]],Orders[#Headers],0),FALSE)</f>
        <v>Breakfast</v>
      </c>
      <c r="M234" s="8">
        <f>(OrderLines[[#This Row],[Qty]]*OrderLines[[#This Row],[UnitPrice]])*(1-OrderLines[[#This Row],[DiscountPct]])</f>
        <v>25.0184</v>
      </c>
      <c r="N234" t="str">
        <f>IF(AND(COUNTIFS(OrderLines[OrderID],OrderLines[[#This Row],[OrderID]],OrderLines[Category],"Hot Meal"),COUNTIFS(OrderLines[OrderID],OrderLines[[#This Row],[OrderID]],OrderLines[Category],"Beverage")),"Combo","Single")</f>
        <v>Single</v>
      </c>
      <c r="O234" s="8" t="str" cm="1">
        <f t="array" ref="O234">IF(SUMPRODUCT(OrderLines[UnitPrice],OrderLines[Qty],OrderLines[DiscountPct],--(OrderLines[OrderID] = OrderLines[[#This Row],[OrderID]]))&gt;40,"High Discount","Ok")</f>
        <v>Ok</v>
      </c>
      <c r="P234">
        <f>OrderLines[[#This Row],[UnitCost]]*OrderLines[[#This Row],[Qty]]</f>
        <v>13.89</v>
      </c>
      <c r="Q234" s="8">
        <f>OrderLines[[#This Row],[LineNetAmount]]-OrderLines[[#This Row],[Food Cost]]</f>
        <v>11.128399999999999</v>
      </c>
    </row>
    <row r="235" spans="1:17" x14ac:dyDescent="0.3">
      <c r="A235" t="s">
        <v>132</v>
      </c>
      <c r="B235" t="s">
        <v>418</v>
      </c>
      <c r="C235">
        <v>2</v>
      </c>
      <c r="D235" cm="1">
        <f t="array" ref="D235">VLOOKUP(OrderLines[[#This Row],[SKU]:[SKU]],Menu[],MATCH(OrderLines[[#Headers],[UnitPrice]],Menu[#Headers],0),FALSE)</f>
        <v>39.950000000000003</v>
      </c>
      <c r="E235" cm="1">
        <f t="array" ref="E235">VLOOKUP(OrderLines[[#This Row],[SKU]:[SKU]],Menu[],MATCH(OrderLines[[#Headers],[UnitCost]],Menu[#Headers],0),FALSE)</f>
        <v>15.51</v>
      </c>
      <c r="F235" t="str" cm="1">
        <f t="array" ref="F235">VLOOKUP(OrderLines[[#This Row],[SKU]:[SKU]],Menu[],MATCH(OrderLines[[#Headers],[Category]],Menu[#Headers],0),FALSE)</f>
        <v>Snack</v>
      </c>
      <c r="G235" t="str" cm="1">
        <f t="array" ref="G235">_xlfn.TEXTJOIN("+",TRUE,_xlfn._xlws.SORT(_xlfn.UNIQUE(_xlfn._xlws.FILTER(OrderLines[Category],OrderLines[OrderID]=OrderLines[[#This Row],[OrderID]]))))</f>
        <v>Hot Meal+Snack</v>
      </c>
      <c r="H235" s="2" cm="1">
        <f t="array" ref="H235">INT(VLOOKUP(OrderLines[[#This Row],[OrderID]:[OrderID]],Orders[],MATCH(OrderLines[[#Headers],[OrderDateTime]],Orders[#Headers],0),FALSE))</f>
        <v>45862</v>
      </c>
      <c r="I235" t="str" cm="1">
        <f t="array" ref="I235">VLOOKUP(OrderLines[[#This Row],[OrderID]:[OrderID]],Orders[],MATCH(OrderLines[[#Headers],[Branch]],Orders[#Headers],0),FALSE)</f>
        <v>Plant 1 Canteen</v>
      </c>
      <c r="J235" cm="1">
        <f t="array" ref="J235">VLOOKUP(OrderLines[[#This Row],[OrderID]:[OrderID]],Orders[],MATCH(OrderLines[[#Headers],[DiscountPct]],Orders[#Headers],0),FALSE)</f>
        <v>0.03</v>
      </c>
      <c r="K235" t="str" cm="1">
        <f t="array" ref="K235">VLOOKUP(OrderLines[[#This Row],[OrderID]:[OrderID]],Orders[],MATCH(OrderLines[[#Headers],[PaymentType]],Orders[#Headers],0),FALSE)</f>
        <v>UPI</v>
      </c>
      <c r="L235" t="str" cm="1">
        <f t="array" ref="L235">VLOOKUP(OrderLines[[#This Row],[OrderID]:[OrderID]],Orders[],MATCH(OrderLines[[#Headers],[Shift]],Orders[#Headers],0),FALSE)</f>
        <v>Breakfast</v>
      </c>
      <c r="M235" s="8">
        <f>(OrderLines[[#This Row],[Qty]]*OrderLines[[#This Row],[UnitPrice]])*(1-OrderLines[[#This Row],[DiscountPct]])</f>
        <v>77.503</v>
      </c>
      <c r="N235" t="str">
        <f>IF(AND(COUNTIFS(OrderLines[OrderID],OrderLines[[#This Row],[OrderID]],OrderLines[Category],"Hot Meal"),COUNTIFS(OrderLines[OrderID],OrderLines[[#This Row],[OrderID]],OrderLines[Category],"Beverage")),"Combo","Single")</f>
        <v>Single</v>
      </c>
      <c r="O235" s="8" t="str" cm="1">
        <f t="array" ref="O235">IF(SUMPRODUCT(OrderLines[UnitPrice],OrderLines[Qty],OrderLines[DiscountPct],--(OrderLines[OrderID] = OrderLines[[#This Row],[OrderID]]))&gt;40,"High Discount","Ok")</f>
        <v>Ok</v>
      </c>
      <c r="P235">
        <f>OrderLines[[#This Row],[UnitCost]]*OrderLines[[#This Row],[Qty]]</f>
        <v>31.02</v>
      </c>
      <c r="Q235" s="8">
        <f>OrderLines[[#This Row],[LineNetAmount]]-OrderLines[[#This Row],[Food Cost]]</f>
        <v>46.483000000000004</v>
      </c>
    </row>
    <row r="236" spans="1:17" x14ac:dyDescent="0.3">
      <c r="A236" t="s">
        <v>132</v>
      </c>
      <c r="B236" t="s">
        <v>416</v>
      </c>
      <c r="C236">
        <v>3</v>
      </c>
      <c r="D236" cm="1">
        <f t="array" ref="D236">VLOOKUP(OrderLines[[#This Row],[SKU]:[SKU]],Menu[],MATCH(OrderLines[[#Headers],[UnitPrice]],Menu[#Headers],0),FALSE)</f>
        <v>227.61</v>
      </c>
      <c r="E236" cm="1">
        <f t="array" ref="E236">VLOOKUP(OrderLines[[#This Row],[SKU]:[SKU]],Menu[],MATCH(OrderLines[[#Headers],[UnitCost]],Menu[#Headers],0),FALSE)</f>
        <v>96.22</v>
      </c>
      <c r="F236" t="str" cm="1">
        <f t="array" ref="F236">VLOOKUP(OrderLines[[#This Row],[SKU]:[SKU]],Menu[],MATCH(OrderLines[[#Headers],[Category]],Menu[#Headers],0),FALSE)</f>
        <v>Hot Meal</v>
      </c>
      <c r="G236" t="str" cm="1">
        <f t="array" ref="G236">_xlfn.TEXTJOIN("+",TRUE,_xlfn._xlws.SORT(_xlfn.UNIQUE(_xlfn._xlws.FILTER(OrderLines[Category],OrderLines[OrderID]=OrderLines[[#This Row],[OrderID]]))))</f>
        <v>Hot Meal+Snack</v>
      </c>
      <c r="H236" s="2" cm="1">
        <f t="array" ref="H236">INT(VLOOKUP(OrderLines[[#This Row],[OrderID]:[OrderID]],Orders[],MATCH(OrderLines[[#Headers],[OrderDateTime]],Orders[#Headers],0),FALSE))</f>
        <v>45862</v>
      </c>
      <c r="I236" t="str" cm="1">
        <f t="array" ref="I236">VLOOKUP(OrderLines[[#This Row],[OrderID]:[OrderID]],Orders[],MATCH(OrderLines[[#Headers],[Branch]],Orders[#Headers],0),FALSE)</f>
        <v>Plant 1 Canteen</v>
      </c>
      <c r="J236" cm="1">
        <f t="array" ref="J236">VLOOKUP(OrderLines[[#This Row],[OrderID]:[OrderID]],Orders[],MATCH(OrderLines[[#Headers],[DiscountPct]],Orders[#Headers],0),FALSE)</f>
        <v>0.03</v>
      </c>
      <c r="K236" t="str" cm="1">
        <f t="array" ref="K236">VLOOKUP(OrderLines[[#This Row],[OrderID]:[OrderID]],Orders[],MATCH(OrderLines[[#Headers],[PaymentType]],Orders[#Headers],0),FALSE)</f>
        <v>UPI</v>
      </c>
      <c r="L236" t="str" cm="1">
        <f t="array" ref="L236">VLOOKUP(OrderLines[[#This Row],[OrderID]:[OrderID]],Orders[],MATCH(OrderLines[[#Headers],[Shift]],Orders[#Headers],0),FALSE)</f>
        <v>Breakfast</v>
      </c>
      <c r="M236" s="8">
        <f>(OrderLines[[#This Row],[Qty]]*OrderLines[[#This Row],[UnitPrice]])*(1-OrderLines[[#This Row],[DiscountPct]])</f>
        <v>662.3451</v>
      </c>
      <c r="N236" t="str">
        <f>IF(AND(COUNTIFS(OrderLines[OrderID],OrderLines[[#This Row],[OrderID]],OrderLines[Category],"Hot Meal"),COUNTIFS(OrderLines[OrderID],OrderLines[[#This Row],[OrderID]],OrderLines[Category],"Beverage")),"Combo","Single")</f>
        <v>Single</v>
      </c>
      <c r="O236" s="8" t="str" cm="1">
        <f t="array" ref="O236">IF(SUMPRODUCT(OrderLines[UnitPrice],OrderLines[Qty],OrderLines[DiscountPct],--(OrderLines[OrderID] = OrderLines[[#This Row],[OrderID]]))&gt;40,"High Discount","Ok")</f>
        <v>Ok</v>
      </c>
      <c r="P236">
        <f>OrderLines[[#This Row],[UnitCost]]*OrderLines[[#This Row],[Qty]]</f>
        <v>288.65999999999997</v>
      </c>
      <c r="Q236" s="8">
        <f>OrderLines[[#This Row],[LineNetAmount]]-OrderLines[[#This Row],[Food Cost]]</f>
        <v>373.68510000000003</v>
      </c>
    </row>
    <row r="237" spans="1:17" x14ac:dyDescent="0.3">
      <c r="A237" t="s">
        <v>133</v>
      </c>
      <c r="B237" t="s">
        <v>407</v>
      </c>
      <c r="C237">
        <v>3</v>
      </c>
      <c r="D237" cm="1">
        <f t="array" ref="D237">VLOOKUP(OrderLines[[#This Row],[SKU]:[SKU]],Menu[],MATCH(OrderLines[[#Headers],[UnitPrice]],Menu[#Headers],0),FALSE)</f>
        <v>246.09</v>
      </c>
      <c r="E237" cm="1">
        <f t="array" ref="E237">VLOOKUP(OrderLines[[#This Row],[SKU]:[SKU]],Menu[],MATCH(OrderLines[[#Headers],[UnitCost]],Menu[#Headers],0),FALSE)</f>
        <v>112.08</v>
      </c>
      <c r="F237" t="str" cm="1">
        <f t="array" ref="F237">VLOOKUP(OrderLines[[#This Row],[SKU]:[SKU]],Menu[],MATCH(OrderLines[[#Headers],[Category]],Menu[#Headers],0),FALSE)</f>
        <v>Hot Meal</v>
      </c>
      <c r="G237" t="str" cm="1">
        <f t="array" ref="G237">_xlfn.TEXTJOIN("+",TRUE,_xlfn._xlws.SORT(_xlfn.UNIQUE(_xlfn._xlws.FILTER(OrderLines[Category],OrderLines[OrderID]=OrderLines[[#This Row],[OrderID]]))))</f>
        <v>Dessert+Hot Meal</v>
      </c>
      <c r="H237" s="2" cm="1">
        <f t="array" ref="H237">INT(VLOOKUP(OrderLines[[#This Row],[OrderID]:[OrderID]],Orders[],MATCH(OrderLines[[#Headers],[OrderDateTime]],Orders[#Headers],0),FALSE))</f>
        <v>45894</v>
      </c>
      <c r="I237" t="str" cm="1">
        <f t="array" ref="I237">VLOOKUP(OrderLines[[#This Row],[OrderID]:[OrderID]],Orders[],MATCH(OrderLines[[#Headers],[Branch]],Orders[#Headers],0),FALSE)</f>
        <v>Plant 1 Canteen</v>
      </c>
      <c r="J237" cm="1">
        <f t="array" ref="J237">VLOOKUP(OrderLines[[#This Row],[OrderID]:[OrderID]],Orders[],MATCH(OrderLines[[#Headers],[DiscountPct]],Orders[#Headers],0),FALSE)</f>
        <v>0.05</v>
      </c>
      <c r="K237" t="str" cm="1">
        <f t="array" ref="K237">VLOOKUP(OrderLines[[#This Row],[OrderID]:[OrderID]],Orders[],MATCH(OrderLines[[#Headers],[PaymentType]],Orders[#Headers],0),FALSE)</f>
        <v>UPI</v>
      </c>
      <c r="L237" t="str" cm="1">
        <f t="array" ref="L237">VLOOKUP(OrderLines[[#This Row],[OrderID]:[OrderID]],Orders[],MATCH(OrderLines[[#Headers],[Shift]],Orders[#Headers],0),FALSE)</f>
        <v>Breakfast</v>
      </c>
      <c r="M237" s="8">
        <f>(OrderLines[[#This Row],[Qty]]*OrderLines[[#This Row],[UnitPrice]])*(1-OrderLines[[#This Row],[DiscountPct]])</f>
        <v>701.35649999999998</v>
      </c>
      <c r="N237" t="str">
        <f>IF(AND(COUNTIFS(OrderLines[OrderID],OrderLines[[#This Row],[OrderID]],OrderLines[Category],"Hot Meal"),COUNTIFS(OrderLines[OrderID],OrderLines[[#This Row],[OrderID]],OrderLines[Category],"Beverage")),"Combo","Single")</f>
        <v>Single</v>
      </c>
      <c r="O237" s="8" t="str" cm="1">
        <f t="array" ref="O237">IF(SUMPRODUCT(OrderLines[UnitPrice],OrderLines[Qty],OrderLines[DiscountPct],--(OrderLines[OrderID] = OrderLines[[#This Row],[OrderID]]))&gt;40,"High Discount","Ok")</f>
        <v>High Discount</v>
      </c>
      <c r="P237">
        <f>OrderLines[[#This Row],[UnitCost]]*OrderLines[[#This Row],[Qty]]</f>
        <v>336.24</v>
      </c>
      <c r="Q237" s="8">
        <f>OrderLines[[#This Row],[LineNetAmount]]-OrderLines[[#This Row],[Food Cost]]</f>
        <v>365.11649999999997</v>
      </c>
    </row>
    <row r="238" spans="1:17" x14ac:dyDescent="0.3">
      <c r="A238" t="s">
        <v>133</v>
      </c>
      <c r="B238" t="s">
        <v>413</v>
      </c>
      <c r="C238">
        <v>1</v>
      </c>
      <c r="D238" cm="1">
        <f t="array" ref="D238">VLOOKUP(OrderLines[[#This Row],[SKU]:[SKU]],Menu[],MATCH(OrderLines[[#Headers],[UnitPrice]],Menu[#Headers],0),FALSE)</f>
        <v>54.2</v>
      </c>
      <c r="E238" cm="1">
        <f t="array" ref="E238">VLOOKUP(OrderLines[[#This Row],[SKU]:[SKU]],Menu[],MATCH(OrderLines[[#Headers],[UnitCost]],Menu[#Headers],0),FALSE)</f>
        <v>21.95</v>
      </c>
      <c r="F238" t="str" cm="1">
        <f t="array" ref="F238">VLOOKUP(OrderLines[[#This Row],[SKU]:[SKU]],Menu[],MATCH(OrderLines[[#Headers],[Category]],Menu[#Headers],0),FALSE)</f>
        <v>Dessert</v>
      </c>
      <c r="G238" t="str" cm="1">
        <f t="array" ref="G238">_xlfn.TEXTJOIN("+",TRUE,_xlfn._xlws.SORT(_xlfn.UNIQUE(_xlfn._xlws.FILTER(OrderLines[Category],OrderLines[OrderID]=OrderLines[[#This Row],[OrderID]]))))</f>
        <v>Dessert+Hot Meal</v>
      </c>
      <c r="H238" s="2" cm="1">
        <f t="array" ref="H238">INT(VLOOKUP(OrderLines[[#This Row],[OrderID]:[OrderID]],Orders[],MATCH(OrderLines[[#Headers],[OrderDateTime]],Orders[#Headers],0),FALSE))</f>
        <v>45894</v>
      </c>
      <c r="I238" t="str" cm="1">
        <f t="array" ref="I238">VLOOKUP(OrderLines[[#This Row],[OrderID]:[OrderID]],Orders[],MATCH(OrderLines[[#Headers],[Branch]],Orders[#Headers],0),FALSE)</f>
        <v>Plant 1 Canteen</v>
      </c>
      <c r="J238" cm="1">
        <f t="array" ref="J238">VLOOKUP(OrderLines[[#This Row],[OrderID]:[OrderID]],Orders[],MATCH(OrderLines[[#Headers],[DiscountPct]],Orders[#Headers],0),FALSE)</f>
        <v>0.05</v>
      </c>
      <c r="K238" t="str" cm="1">
        <f t="array" ref="K238">VLOOKUP(OrderLines[[#This Row],[OrderID]:[OrderID]],Orders[],MATCH(OrderLines[[#Headers],[PaymentType]],Orders[#Headers],0),FALSE)</f>
        <v>UPI</v>
      </c>
      <c r="L238" t="str" cm="1">
        <f t="array" ref="L238">VLOOKUP(OrderLines[[#This Row],[OrderID]:[OrderID]],Orders[],MATCH(OrderLines[[#Headers],[Shift]],Orders[#Headers],0),FALSE)</f>
        <v>Breakfast</v>
      </c>
      <c r="M238" s="8">
        <f>(OrderLines[[#This Row],[Qty]]*OrderLines[[#This Row],[UnitPrice]])*(1-OrderLines[[#This Row],[DiscountPct]])</f>
        <v>51.49</v>
      </c>
      <c r="N238" t="str">
        <f>IF(AND(COUNTIFS(OrderLines[OrderID],OrderLines[[#This Row],[OrderID]],OrderLines[Category],"Hot Meal"),COUNTIFS(OrderLines[OrderID],OrderLines[[#This Row],[OrderID]],OrderLines[Category],"Beverage")),"Combo","Single")</f>
        <v>Single</v>
      </c>
      <c r="O238" s="8" t="str" cm="1">
        <f t="array" ref="O238">IF(SUMPRODUCT(OrderLines[UnitPrice],OrderLines[Qty],OrderLines[DiscountPct],--(OrderLines[OrderID] = OrderLines[[#This Row],[OrderID]]))&gt;40,"High Discount","Ok")</f>
        <v>High Discount</v>
      </c>
      <c r="P238">
        <f>OrderLines[[#This Row],[UnitCost]]*OrderLines[[#This Row],[Qty]]</f>
        <v>21.95</v>
      </c>
      <c r="Q238" s="8">
        <f>OrderLines[[#This Row],[LineNetAmount]]-OrderLines[[#This Row],[Food Cost]]</f>
        <v>29.540000000000003</v>
      </c>
    </row>
    <row r="239" spans="1:17" x14ac:dyDescent="0.3">
      <c r="A239" t="s">
        <v>133</v>
      </c>
      <c r="B239" t="s">
        <v>403</v>
      </c>
      <c r="C239">
        <v>1</v>
      </c>
      <c r="D239" cm="1">
        <f t="array" ref="D239">VLOOKUP(OrderLines[[#This Row],[SKU]:[SKU]],Menu[],MATCH(OrderLines[[#Headers],[UnitPrice]],Menu[#Headers],0),FALSE)</f>
        <v>76.55</v>
      </c>
      <c r="E239" cm="1">
        <f t="array" ref="E239">VLOOKUP(OrderLines[[#This Row],[SKU]:[SKU]],Menu[],MATCH(OrderLines[[#Headers],[UnitCost]],Menu[#Headers],0),FALSE)</f>
        <v>38.229999999999997</v>
      </c>
      <c r="F239" t="str" cm="1">
        <f t="array" ref="F239">VLOOKUP(OrderLines[[#This Row],[SKU]:[SKU]],Menu[],MATCH(OrderLines[[#Headers],[Category]],Menu[#Headers],0),FALSE)</f>
        <v>Dessert</v>
      </c>
      <c r="G239" t="str" cm="1">
        <f t="array" ref="G239">_xlfn.TEXTJOIN("+",TRUE,_xlfn._xlws.SORT(_xlfn.UNIQUE(_xlfn._xlws.FILTER(OrderLines[Category],OrderLines[OrderID]=OrderLines[[#This Row],[OrderID]]))))</f>
        <v>Dessert+Hot Meal</v>
      </c>
      <c r="H239" s="2" cm="1">
        <f t="array" ref="H239">INT(VLOOKUP(OrderLines[[#This Row],[OrderID]:[OrderID]],Orders[],MATCH(OrderLines[[#Headers],[OrderDateTime]],Orders[#Headers],0),FALSE))</f>
        <v>45894</v>
      </c>
      <c r="I239" t="str" cm="1">
        <f t="array" ref="I239">VLOOKUP(OrderLines[[#This Row],[OrderID]:[OrderID]],Orders[],MATCH(OrderLines[[#Headers],[Branch]],Orders[#Headers],0),FALSE)</f>
        <v>Plant 1 Canteen</v>
      </c>
      <c r="J239" cm="1">
        <f t="array" ref="J239">VLOOKUP(OrderLines[[#This Row],[OrderID]:[OrderID]],Orders[],MATCH(OrderLines[[#Headers],[DiscountPct]],Orders[#Headers],0),FALSE)</f>
        <v>0.05</v>
      </c>
      <c r="K239" t="str" cm="1">
        <f t="array" ref="K239">VLOOKUP(OrderLines[[#This Row],[OrderID]:[OrderID]],Orders[],MATCH(OrderLines[[#Headers],[PaymentType]],Orders[#Headers],0),FALSE)</f>
        <v>UPI</v>
      </c>
      <c r="L239" t="str" cm="1">
        <f t="array" ref="L239">VLOOKUP(OrderLines[[#This Row],[OrderID]:[OrderID]],Orders[],MATCH(OrderLines[[#Headers],[Shift]],Orders[#Headers],0),FALSE)</f>
        <v>Breakfast</v>
      </c>
      <c r="M239" s="8">
        <f>(OrderLines[[#This Row],[Qty]]*OrderLines[[#This Row],[UnitPrice]])*(1-OrderLines[[#This Row],[DiscountPct]])</f>
        <v>72.722499999999997</v>
      </c>
      <c r="N239" t="str">
        <f>IF(AND(COUNTIFS(OrderLines[OrderID],OrderLines[[#This Row],[OrderID]],OrderLines[Category],"Hot Meal"),COUNTIFS(OrderLines[OrderID],OrderLines[[#This Row],[OrderID]],OrderLines[Category],"Beverage")),"Combo","Single")</f>
        <v>Single</v>
      </c>
      <c r="O239" s="8" t="str" cm="1">
        <f t="array" ref="O239">IF(SUMPRODUCT(OrderLines[UnitPrice],OrderLines[Qty],OrderLines[DiscountPct],--(OrderLines[OrderID] = OrderLines[[#This Row],[OrderID]]))&gt;40,"High Discount","Ok")</f>
        <v>High Discount</v>
      </c>
      <c r="P239">
        <f>OrderLines[[#This Row],[UnitCost]]*OrderLines[[#This Row],[Qty]]</f>
        <v>38.229999999999997</v>
      </c>
      <c r="Q239" s="8">
        <f>OrderLines[[#This Row],[LineNetAmount]]-OrderLines[[#This Row],[Food Cost]]</f>
        <v>34.4925</v>
      </c>
    </row>
    <row r="240" spans="1:17" x14ac:dyDescent="0.3">
      <c r="A240" t="s">
        <v>134</v>
      </c>
      <c r="B240" t="s">
        <v>409</v>
      </c>
      <c r="C240">
        <v>2</v>
      </c>
      <c r="D240" cm="1">
        <f t="array" ref="D240">VLOOKUP(OrderLines[[#This Row],[SKU]:[SKU]],Menu[],MATCH(OrderLines[[#Headers],[UnitPrice]],Menu[#Headers],0),FALSE)</f>
        <v>28.43</v>
      </c>
      <c r="E240" cm="1">
        <f t="array" ref="E240">VLOOKUP(OrderLines[[#This Row],[SKU]:[SKU]],Menu[],MATCH(OrderLines[[#Headers],[UnitCost]],Menu[#Headers],0),FALSE)</f>
        <v>13.89</v>
      </c>
      <c r="F240" t="str" cm="1">
        <f t="array" ref="F240">VLOOKUP(OrderLines[[#This Row],[SKU]:[SKU]],Menu[],MATCH(OrderLines[[#Headers],[Category]],Menu[#Headers],0),FALSE)</f>
        <v>Beverage</v>
      </c>
      <c r="G240" t="str" cm="1">
        <f t="array" ref="G240">_xlfn.TEXTJOIN("+",TRUE,_xlfn._xlws.SORT(_xlfn.UNIQUE(_xlfn._xlws.FILTER(OrderLines[Category],OrderLines[OrderID]=OrderLines[[#This Row],[OrderID]]))))</f>
        <v>Beverage</v>
      </c>
      <c r="H240" s="2" cm="1">
        <f t="array" ref="H240">INT(VLOOKUP(OrderLines[[#This Row],[OrderID]:[OrderID]],Orders[],MATCH(OrderLines[[#Headers],[OrderDateTime]],Orders[#Headers],0),FALSE))</f>
        <v>45875</v>
      </c>
      <c r="I240" t="str" cm="1">
        <f t="array" ref="I240">VLOOKUP(OrderLines[[#This Row],[OrderID]:[OrderID]],Orders[],MATCH(OrderLines[[#Headers],[Branch]],Orders[#Headers],0),FALSE)</f>
        <v>Plant 1 Canteen</v>
      </c>
      <c r="J240" cm="1">
        <f t="array" ref="J240">VLOOKUP(OrderLines[[#This Row],[OrderID]:[OrderID]],Orders[],MATCH(OrderLines[[#Headers],[DiscountPct]],Orders[#Headers],0),FALSE)</f>
        <v>0.09</v>
      </c>
      <c r="K240" t="str" cm="1">
        <f t="array" ref="K240">VLOOKUP(OrderLines[[#This Row],[OrderID]:[OrderID]],Orders[],MATCH(OrderLines[[#Headers],[PaymentType]],Orders[#Headers],0),FALSE)</f>
        <v>UPI</v>
      </c>
      <c r="L240" t="str" cm="1">
        <f t="array" ref="L240">VLOOKUP(OrderLines[[#This Row],[OrderID]:[OrderID]],Orders[],MATCH(OrderLines[[#Headers],[Shift]],Orders[#Headers],0),FALSE)</f>
        <v>Breakfast</v>
      </c>
      <c r="M240" s="8">
        <f>(OrderLines[[#This Row],[Qty]]*OrderLines[[#This Row],[UnitPrice]])*(1-OrderLines[[#This Row],[DiscountPct]])</f>
        <v>51.742600000000003</v>
      </c>
      <c r="N240" t="str">
        <f>IF(AND(COUNTIFS(OrderLines[OrderID],OrderLines[[#This Row],[OrderID]],OrderLines[Category],"Hot Meal"),COUNTIFS(OrderLines[OrderID],OrderLines[[#This Row],[OrderID]],OrderLines[Category],"Beverage")),"Combo","Single")</f>
        <v>Single</v>
      </c>
      <c r="O240" s="8" t="str" cm="1">
        <f t="array" ref="O240">IF(SUMPRODUCT(OrderLines[UnitPrice],OrderLines[Qty],OrderLines[DiscountPct],--(OrderLines[OrderID] = OrderLines[[#This Row],[OrderID]]))&gt;40,"High Discount","Ok")</f>
        <v>Ok</v>
      </c>
      <c r="P240">
        <f>OrderLines[[#This Row],[UnitCost]]*OrderLines[[#This Row],[Qty]]</f>
        <v>27.78</v>
      </c>
      <c r="Q240" s="8">
        <f>OrderLines[[#This Row],[LineNetAmount]]-OrderLines[[#This Row],[Food Cost]]</f>
        <v>23.962600000000002</v>
      </c>
    </row>
    <row r="241" spans="1:17" x14ac:dyDescent="0.3">
      <c r="A241" t="s">
        <v>135</v>
      </c>
      <c r="B241" t="s">
        <v>404</v>
      </c>
      <c r="C241">
        <v>3</v>
      </c>
      <c r="D241" cm="1">
        <f t="array" ref="D241">VLOOKUP(OrderLines[[#This Row],[SKU]:[SKU]],Menu[],MATCH(OrderLines[[#Headers],[UnitPrice]],Menu[#Headers],0),FALSE)</f>
        <v>32.979999999999997</v>
      </c>
      <c r="E241" cm="1">
        <f t="array" ref="E241">VLOOKUP(OrderLines[[#This Row],[SKU]:[SKU]],Menu[],MATCH(OrderLines[[#Headers],[UnitCost]],Menu[#Headers],0),FALSE)</f>
        <v>11.84</v>
      </c>
      <c r="F241" t="str" cm="1">
        <f t="array" ref="F241">VLOOKUP(OrderLines[[#This Row],[SKU]:[SKU]],Menu[],MATCH(OrderLines[[#Headers],[Category]],Menu[#Headers],0),FALSE)</f>
        <v>Beverage</v>
      </c>
      <c r="G241" t="str" cm="1">
        <f t="array" ref="G241">_xlfn.TEXTJOIN("+",TRUE,_xlfn._xlws.SORT(_xlfn.UNIQUE(_xlfn._xlws.FILTER(OrderLines[Category],OrderLines[OrderID]=OrderLines[[#This Row],[OrderID]]))))</f>
        <v>Beverage</v>
      </c>
      <c r="H241" s="2" cm="1">
        <f t="array" ref="H241">INT(VLOOKUP(OrderLines[[#This Row],[OrderID]:[OrderID]],Orders[],MATCH(OrderLines[[#Headers],[OrderDateTime]],Orders[#Headers],0),FALSE))</f>
        <v>45855</v>
      </c>
      <c r="I241" t="str" cm="1">
        <f t="array" ref="I241">VLOOKUP(OrderLines[[#This Row],[OrderID]:[OrderID]],Orders[],MATCH(OrderLines[[#Headers],[Branch]],Orders[#Headers],0),FALSE)</f>
        <v>Plant 2 Canteen</v>
      </c>
      <c r="J241" cm="1">
        <f t="array" ref="J241">VLOOKUP(OrderLines[[#This Row],[OrderID]:[OrderID]],Orders[],MATCH(OrderLines[[#Headers],[DiscountPct]],Orders[#Headers],0),FALSE)</f>
        <v>0.01</v>
      </c>
      <c r="K241" t="str" cm="1">
        <f t="array" ref="K241">VLOOKUP(OrderLines[[#This Row],[OrderID]:[OrderID]],Orders[],MATCH(OrderLines[[#Headers],[PaymentType]],Orders[#Headers],0),FALSE)</f>
        <v>UPI</v>
      </c>
      <c r="L241" t="str" cm="1">
        <f t="array" ref="L241">VLOOKUP(OrderLines[[#This Row],[OrderID]:[OrderID]],Orders[],MATCH(OrderLines[[#Headers],[Shift]],Orders[#Headers],0),FALSE)</f>
        <v>Breakfast</v>
      </c>
      <c r="M241" s="8">
        <f>(OrderLines[[#This Row],[Qty]]*OrderLines[[#This Row],[UnitPrice]])*(1-OrderLines[[#This Row],[DiscountPct]])</f>
        <v>97.950599999999994</v>
      </c>
      <c r="N241" t="str">
        <f>IF(AND(COUNTIFS(OrderLines[OrderID],OrderLines[[#This Row],[OrderID]],OrderLines[Category],"Hot Meal"),COUNTIFS(OrderLines[OrderID],OrderLines[[#This Row],[OrderID]],OrderLines[Category],"Beverage")),"Combo","Single")</f>
        <v>Single</v>
      </c>
      <c r="O241" s="8" t="str" cm="1">
        <f t="array" ref="O241">IF(SUMPRODUCT(OrderLines[UnitPrice],OrderLines[Qty],OrderLines[DiscountPct],--(OrderLines[OrderID] = OrderLines[[#This Row],[OrderID]]))&gt;40,"High Discount","Ok")</f>
        <v>Ok</v>
      </c>
      <c r="P241">
        <f>OrderLines[[#This Row],[UnitCost]]*OrderLines[[#This Row],[Qty]]</f>
        <v>35.519999999999996</v>
      </c>
      <c r="Q241" s="8">
        <f>OrderLines[[#This Row],[LineNetAmount]]-OrderLines[[#This Row],[Food Cost]]</f>
        <v>62.430599999999998</v>
      </c>
    </row>
    <row r="242" spans="1:17" x14ac:dyDescent="0.3">
      <c r="A242" t="s">
        <v>135</v>
      </c>
      <c r="B242" t="s">
        <v>409</v>
      </c>
      <c r="C242">
        <v>3</v>
      </c>
      <c r="D242" cm="1">
        <f t="array" ref="D242">VLOOKUP(OrderLines[[#This Row],[SKU]:[SKU]],Menu[],MATCH(OrderLines[[#Headers],[UnitPrice]],Menu[#Headers],0),FALSE)</f>
        <v>28.43</v>
      </c>
      <c r="E242" cm="1">
        <f t="array" ref="E242">VLOOKUP(OrderLines[[#This Row],[SKU]:[SKU]],Menu[],MATCH(OrderLines[[#Headers],[UnitCost]],Menu[#Headers],0),FALSE)</f>
        <v>13.89</v>
      </c>
      <c r="F242" t="str" cm="1">
        <f t="array" ref="F242">VLOOKUP(OrderLines[[#This Row],[SKU]:[SKU]],Menu[],MATCH(OrderLines[[#Headers],[Category]],Menu[#Headers],0),FALSE)</f>
        <v>Beverage</v>
      </c>
      <c r="G242" t="str" cm="1">
        <f t="array" ref="G242">_xlfn.TEXTJOIN("+",TRUE,_xlfn._xlws.SORT(_xlfn.UNIQUE(_xlfn._xlws.FILTER(OrderLines[Category],OrderLines[OrderID]=OrderLines[[#This Row],[OrderID]]))))</f>
        <v>Beverage</v>
      </c>
      <c r="H242" s="2" cm="1">
        <f t="array" ref="H242">INT(VLOOKUP(OrderLines[[#This Row],[OrderID]:[OrderID]],Orders[],MATCH(OrderLines[[#Headers],[OrderDateTime]],Orders[#Headers],0),FALSE))</f>
        <v>45855</v>
      </c>
      <c r="I242" t="str" cm="1">
        <f t="array" ref="I242">VLOOKUP(OrderLines[[#This Row],[OrderID]:[OrderID]],Orders[],MATCH(OrderLines[[#Headers],[Branch]],Orders[#Headers],0),FALSE)</f>
        <v>Plant 2 Canteen</v>
      </c>
      <c r="J242" cm="1">
        <f t="array" ref="J242">VLOOKUP(OrderLines[[#This Row],[OrderID]:[OrderID]],Orders[],MATCH(OrderLines[[#Headers],[DiscountPct]],Orders[#Headers],0),FALSE)</f>
        <v>0.01</v>
      </c>
      <c r="K242" t="str" cm="1">
        <f t="array" ref="K242">VLOOKUP(OrderLines[[#This Row],[OrderID]:[OrderID]],Orders[],MATCH(OrderLines[[#Headers],[PaymentType]],Orders[#Headers],0),FALSE)</f>
        <v>UPI</v>
      </c>
      <c r="L242" t="str" cm="1">
        <f t="array" ref="L242">VLOOKUP(OrderLines[[#This Row],[OrderID]:[OrderID]],Orders[],MATCH(OrderLines[[#Headers],[Shift]],Orders[#Headers],0),FALSE)</f>
        <v>Breakfast</v>
      </c>
      <c r="M242" s="8">
        <f>(OrderLines[[#This Row],[Qty]]*OrderLines[[#This Row],[UnitPrice]])*(1-OrderLines[[#This Row],[DiscountPct]])</f>
        <v>84.437099999999987</v>
      </c>
      <c r="N242" t="str">
        <f>IF(AND(COUNTIFS(OrderLines[OrderID],OrderLines[[#This Row],[OrderID]],OrderLines[Category],"Hot Meal"),COUNTIFS(OrderLines[OrderID],OrderLines[[#This Row],[OrderID]],OrderLines[Category],"Beverage")),"Combo","Single")</f>
        <v>Single</v>
      </c>
      <c r="O242" s="8" t="str" cm="1">
        <f t="array" ref="O242">IF(SUMPRODUCT(OrderLines[UnitPrice],OrderLines[Qty],OrderLines[DiscountPct],--(OrderLines[OrderID] = OrderLines[[#This Row],[OrderID]]))&gt;40,"High Discount","Ok")</f>
        <v>Ok</v>
      </c>
      <c r="P242">
        <f>OrderLines[[#This Row],[UnitCost]]*OrderLines[[#This Row],[Qty]]</f>
        <v>41.67</v>
      </c>
      <c r="Q242" s="8">
        <f>OrderLines[[#This Row],[LineNetAmount]]-OrderLines[[#This Row],[Food Cost]]</f>
        <v>42.767099999999985</v>
      </c>
    </row>
    <row r="243" spans="1:17" x14ac:dyDescent="0.3">
      <c r="A243" t="s">
        <v>136</v>
      </c>
      <c r="B243" t="s">
        <v>412</v>
      </c>
      <c r="C243">
        <v>2</v>
      </c>
      <c r="D243" cm="1">
        <f t="array" ref="D243">VLOOKUP(OrderLines[[#This Row],[SKU]:[SKU]],Menu[],MATCH(OrderLines[[#Headers],[UnitPrice]],Menu[#Headers],0),FALSE)</f>
        <v>57.07</v>
      </c>
      <c r="E243" cm="1">
        <f t="array" ref="E243">VLOOKUP(OrderLines[[#This Row],[SKU]:[SKU]],Menu[],MATCH(OrderLines[[#Headers],[UnitCost]],Menu[#Headers],0),FALSE)</f>
        <v>29.14</v>
      </c>
      <c r="F243" t="str" cm="1">
        <f t="array" ref="F243">VLOOKUP(OrderLines[[#This Row],[SKU]:[SKU]],Menu[],MATCH(OrderLines[[#Headers],[Category]],Menu[#Headers],0),FALSE)</f>
        <v>Dessert</v>
      </c>
      <c r="G243" t="str" cm="1">
        <f t="array" ref="G243">_xlfn.TEXTJOIN("+",TRUE,_xlfn._xlws.SORT(_xlfn.UNIQUE(_xlfn._xlws.FILTER(OrderLines[Category],OrderLines[OrderID]=OrderLines[[#This Row],[OrderID]]))))</f>
        <v>Dessert+Hot Meal</v>
      </c>
      <c r="H243" s="2" cm="1">
        <f t="array" ref="H243">INT(VLOOKUP(OrderLines[[#This Row],[OrderID]:[OrderID]],Orders[],MATCH(OrderLines[[#Headers],[OrderDateTime]],Orders[#Headers],0),FALSE))</f>
        <v>45869</v>
      </c>
      <c r="I243" t="str" cm="1">
        <f t="array" ref="I243">VLOOKUP(OrderLines[[#This Row],[OrderID]:[OrderID]],Orders[],MATCH(OrderLines[[#Headers],[Branch]],Orders[#Headers],0),FALSE)</f>
        <v>Head Office Café</v>
      </c>
      <c r="J243" cm="1">
        <f t="array" ref="J243">VLOOKUP(OrderLines[[#This Row],[OrderID]:[OrderID]],Orders[],MATCH(OrderLines[[#Headers],[DiscountPct]],Orders[#Headers],0),FALSE)</f>
        <v>7.0000000000000007E-2</v>
      </c>
      <c r="K243" t="str" cm="1">
        <f t="array" ref="K243">VLOOKUP(OrderLines[[#This Row],[OrderID]:[OrderID]],Orders[],MATCH(OrderLines[[#Headers],[PaymentType]],Orders[#Headers],0),FALSE)</f>
        <v>Card</v>
      </c>
      <c r="L243" t="str" cm="1">
        <f t="array" ref="L243">VLOOKUP(OrderLines[[#This Row],[OrderID]:[OrderID]],Orders[],MATCH(OrderLines[[#Headers],[Shift]],Orders[#Headers],0),FALSE)</f>
        <v>Lunch</v>
      </c>
      <c r="M243" s="8">
        <f>(OrderLines[[#This Row],[Qty]]*OrderLines[[#This Row],[UnitPrice]])*(1-OrderLines[[#This Row],[DiscountPct]])</f>
        <v>106.1502</v>
      </c>
      <c r="N243" t="str">
        <f>IF(AND(COUNTIFS(OrderLines[OrderID],OrderLines[[#This Row],[OrderID]],OrderLines[Category],"Hot Meal"),COUNTIFS(OrderLines[OrderID],OrderLines[[#This Row],[OrderID]],OrderLines[Category],"Beverage")),"Combo","Single")</f>
        <v>Single</v>
      </c>
      <c r="O243" s="8" t="str" cm="1">
        <f t="array" ref="O243">IF(SUMPRODUCT(OrderLines[UnitPrice],OrderLines[Qty],OrderLines[DiscountPct],--(OrderLines[OrderID] = OrderLines[[#This Row],[OrderID]]))&gt;40,"High Discount","Ok")</f>
        <v>Ok</v>
      </c>
      <c r="P243">
        <f>OrderLines[[#This Row],[UnitCost]]*OrderLines[[#This Row],[Qty]]</f>
        <v>58.28</v>
      </c>
      <c r="Q243" s="8">
        <f>OrderLines[[#This Row],[LineNetAmount]]-OrderLines[[#This Row],[Food Cost]]</f>
        <v>47.870199999999997</v>
      </c>
    </row>
    <row r="244" spans="1:17" x14ac:dyDescent="0.3">
      <c r="A244" t="s">
        <v>136</v>
      </c>
      <c r="B244" t="s">
        <v>417</v>
      </c>
      <c r="C244">
        <v>1</v>
      </c>
      <c r="D244" cm="1">
        <f t="array" ref="D244">VLOOKUP(OrderLines[[#This Row],[SKU]:[SKU]],Menu[],MATCH(OrderLines[[#Headers],[UnitPrice]],Menu[#Headers],0),FALSE)</f>
        <v>146.4</v>
      </c>
      <c r="E244" cm="1">
        <f t="array" ref="E244">VLOOKUP(OrderLines[[#This Row],[SKU]:[SKU]],Menu[],MATCH(OrderLines[[#Headers],[UnitCost]],Menu[#Headers],0),FALSE)</f>
        <v>80.92</v>
      </c>
      <c r="F244" t="str" cm="1">
        <f t="array" ref="F244">VLOOKUP(OrderLines[[#This Row],[SKU]:[SKU]],Menu[],MATCH(OrderLines[[#Headers],[Category]],Menu[#Headers],0),FALSE)</f>
        <v>Hot Meal</v>
      </c>
      <c r="G244" t="str" cm="1">
        <f t="array" ref="G244">_xlfn.TEXTJOIN("+",TRUE,_xlfn._xlws.SORT(_xlfn.UNIQUE(_xlfn._xlws.FILTER(OrderLines[Category],OrderLines[OrderID]=OrderLines[[#This Row],[OrderID]]))))</f>
        <v>Dessert+Hot Meal</v>
      </c>
      <c r="H244" s="2" cm="1">
        <f t="array" ref="H244">INT(VLOOKUP(OrderLines[[#This Row],[OrderID]:[OrderID]],Orders[],MATCH(OrderLines[[#Headers],[OrderDateTime]],Orders[#Headers],0),FALSE))</f>
        <v>45869</v>
      </c>
      <c r="I244" t="str" cm="1">
        <f t="array" ref="I244">VLOOKUP(OrderLines[[#This Row],[OrderID]:[OrderID]],Orders[],MATCH(OrderLines[[#Headers],[Branch]],Orders[#Headers],0),FALSE)</f>
        <v>Head Office Café</v>
      </c>
      <c r="J244" cm="1">
        <f t="array" ref="J244">VLOOKUP(OrderLines[[#This Row],[OrderID]:[OrderID]],Orders[],MATCH(OrderLines[[#Headers],[DiscountPct]],Orders[#Headers],0),FALSE)</f>
        <v>7.0000000000000007E-2</v>
      </c>
      <c r="K244" t="str" cm="1">
        <f t="array" ref="K244">VLOOKUP(OrderLines[[#This Row],[OrderID]:[OrderID]],Orders[],MATCH(OrderLines[[#Headers],[PaymentType]],Orders[#Headers],0),FALSE)</f>
        <v>Card</v>
      </c>
      <c r="L244" t="str" cm="1">
        <f t="array" ref="L244">VLOOKUP(OrderLines[[#This Row],[OrderID]:[OrderID]],Orders[],MATCH(OrderLines[[#Headers],[Shift]],Orders[#Headers],0),FALSE)</f>
        <v>Lunch</v>
      </c>
      <c r="M244" s="8">
        <f>(OrderLines[[#This Row],[Qty]]*OrderLines[[#This Row],[UnitPrice]])*(1-OrderLines[[#This Row],[DiscountPct]])</f>
        <v>136.15199999999999</v>
      </c>
      <c r="N244" t="str">
        <f>IF(AND(COUNTIFS(OrderLines[OrderID],OrderLines[[#This Row],[OrderID]],OrderLines[Category],"Hot Meal"),COUNTIFS(OrderLines[OrderID],OrderLines[[#This Row],[OrderID]],OrderLines[Category],"Beverage")),"Combo","Single")</f>
        <v>Single</v>
      </c>
      <c r="O244" s="8" t="str" cm="1">
        <f t="array" ref="O244">IF(SUMPRODUCT(OrderLines[UnitPrice],OrderLines[Qty],OrderLines[DiscountPct],--(OrderLines[OrderID] = OrderLines[[#This Row],[OrderID]]))&gt;40,"High Discount","Ok")</f>
        <v>Ok</v>
      </c>
      <c r="P244">
        <f>OrderLines[[#This Row],[UnitCost]]*OrderLines[[#This Row],[Qty]]</f>
        <v>80.92</v>
      </c>
      <c r="Q244" s="8">
        <f>OrderLines[[#This Row],[LineNetAmount]]-OrderLines[[#This Row],[Food Cost]]</f>
        <v>55.231999999999985</v>
      </c>
    </row>
    <row r="245" spans="1:17" x14ac:dyDescent="0.3">
      <c r="A245" t="s">
        <v>137</v>
      </c>
      <c r="B245" t="s">
        <v>419</v>
      </c>
      <c r="C245">
        <v>2</v>
      </c>
      <c r="D245" cm="1">
        <f t="array" ref="D245">VLOOKUP(OrderLines[[#This Row],[SKU]:[SKU]],Menu[],MATCH(OrderLines[[#Headers],[UnitPrice]],Menu[#Headers],0),FALSE)</f>
        <v>50.19</v>
      </c>
      <c r="E245" cm="1">
        <f t="array" ref="E245">VLOOKUP(OrderLines[[#This Row],[SKU]:[SKU]],Menu[],MATCH(OrderLines[[#Headers],[UnitCost]],Menu[#Headers],0),FALSE)</f>
        <v>22.61</v>
      </c>
      <c r="F245" t="str" cm="1">
        <f t="array" ref="F245">VLOOKUP(OrderLines[[#This Row],[SKU]:[SKU]],Menu[],MATCH(OrderLines[[#Headers],[Category]],Menu[#Headers],0),FALSE)</f>
        <v>Snack</v>
      </c>
      <c r="G245" t="str" cm="1">
        <f t="array" ref="G245">_xlfn.TEXTJOIN("+",TRUE,_xlfn._xlws.SORT(_xlfn.UNIQUE(_xlfn._xlws.FILTER(OrderLines[Category],OrderLines[OrderID]=OrderLines[[#This Row],[OrderID]]))))</f>
        <v>Hot Meal+Snack</v>
      </c>
      <c r="H245" s="2" cm="1">
        <f t="array" ref="H245">INT(VLOOKUP(OrderLines[[#This Row],[OrderID]:[OrderID]],Orders[],MATCH(OrderLines[[#Headers],[OrderDateTime]],Orders[#Headers],0),FALSE))</f>
        <v>45858</v>
      </c>
      <c r="I245" t="str" cm="1">
        <f t="array" ref="I245">VLOOKUP(OrderLines[[#This Row],[OrderID]:[OrderID]],Orders[],MATCH(OrderLines[[#Headers],[Branch]],Orders[#Headers],0),FALSE)</f>
        <v>Plant 1 Canteen</v>
      </c>
      <c r="J245" cm="1">
        <f t="array" ref="J245">VLOOKUP(OrderLines[[#This Row],[OrderID]:[OrderID]],Orders[],MATCH(OrderLines[[#Headers],[DiscountPct]],Orders[#Headers],0),FALSE)</f>
        <v>0.11</v>
      </c>
      <c r="K245" t="str" cm="1">
        <f t="array" ref="K245">VLOOKUP(OrderLines[[#This Row],[OrderID]:[OrderID]],Orders[],MATCH(OrderLines[[#Headers],[PaymentType]],Orders[#Headers],0),FALSE)</f>
        <v>UPI</v>
      </c>
      <c r="L245" t="str" cm="1">
        <f t="array" ref="L245">VLOOKUP(OrderLines[[#This Row],[OrderID]:[OrderID]],Orders[],MATCH(OrderLines[[#Headers],[Shift]],Orders[#Headers],0),FALSE)</f>
        <v>Lunch</v>
      </c>
      <c r="M245" s="8">
        <f>(OrderLines[[#This Row],[Qty]]*OrderLines[[#This Row],[UnitPrice]])*(1-OrderLines[[#This Row],[DiscountPct]])</f>
        <v>89.338200000000001</v>
      </c>
      <c r="N245" t="str">
        <f>IF(AND(COUNTIFS(OrderLines[OrderID],OrderLines[[#This Row],[OrderID]],OrderLines[Category],"Hot Meal"),COUNTIFS(OrderLines[OrderID],OrderLines[[#This Row],[OrderID]],OrderLines[Category],"Beverage")),"Combo","Single")</f>
        <v>Single</v>
      </c>
      <c r="O245" s="8" t="str" cm="1">
        <f t="array" ref="O245">IF(SUMPRODUCT(OrderLines[UnitPrice],OrderLines[Qty],OrderLines[DiscountPct],--(OrderLines[OrderID] = OrderLines[[#This Row],[OrderID]]))&gt;40,"High Discount","Ok")</f>
        <v>Ok</v>
      </c>
      <c r="P245">
        <f>OrderLines[[#This Row],[UnitCost]]*OrderLines[[#This Row],[Qty]]</f>
        <v>45.22</v>
      </c>
      <c r="Q245" s="8">
        <f>OrderLines[[#This Row],[LineNetAmount]]-OrderLines[[#This Row],[Food Cost]]</f>
        <v>44.118200000000002</v>
      </c>
    </row>
    <row r="246" spans="1:17" x14ac:dyDescent="0.3">
      <c r="A246" t="s">
        <v>137</v>
      </c>
      <c r="B246" t="s">
        <v>415</v>
      </c>
      <c r="C246">
        <v>1</v>
      </c>
      <c r="D246" cm="1">
        <f t="array" ref="D246">VLOOKUP(OrderLines[[#This Row],[SKU]:[SKU]],Menu[],MATCH(OrderLines[[#Headers],[UnitPrice]],Menu[#Headers],0),FALSE)</f>
        <v>256.91000000000003</v>
      </c>
      <c r="E246" cm="1">
        <f t="array" ref="E246">VLOOKUP(OrderLines[[#This Row],[SKU]:[SKU]],Menu[],MATCH(OrderLines[[#Headers],[UnitCost]],Menu[#Headers],0),FALSE)</f>
        <v>121.24</v>
      </c>
      <c r="F246" t="str" cm="1">
        <f t="array" ref="F246">VLOOKUP(OrderLines[[#This Row],[SKU]:[SKU]],Menu[],MATCH(OrderLines[[#Headers],[Category]],Menu[#Headers],0),FALSE)</f>
        <v>Hot Meal</v>
      </c>
      <c r="G246" t="str" cm="1">
        <f t="array" ref="G246">_xlfn.TEXTJOIN("+",TRUE,_xlfn._xlws.SORT(_xlfn.UNIQUE(_xlfn._xlws.FILTER(OrderLines[Category],OrderLines[OrderID]=OrderLines[[#This Row],[OrderID]]))))</f>
        <v>Hot Meal+Snack</v>
      </c>
      <c r="H246" s="2" cm="1">
        <f t="array" ref="H246">INT(VLOOKUP(OrderLines[[#This Row],[OrderID]:[OrderID]],Orders[],MATCH(OrderLines[[#Headers],[OrderDateTime]],Orders[#Headers],0),FALSE))</f>
        <v>45858</v>
      </c>
      <c r="I246" t="str" cm="1">
        <f t="array" ref="I246">VLOOKUP(OrderLines[[#This Row],[OrderID]:[OrderID]],Orders[],MATCH(OrderLines[[#Headers],[Branch]],Orders[#Headers],0),FALSE)</f>
        <v>Plant 1 Canteen</v>
      </c>
      <c r="J246" cm="1">
        <f t="array" ref="J246">VLOOKUP(OrderLines[[#This Row],[OrderID]:[OrderID]],Orders[],MATCH(OrderLines[[#Headers],[DiscountPct]],Orders[#Headers],0),FALSE)</f>
        <v>0.11</v>
      </c>
      <c r="K246" t="str" cm="1">
        <f t="array" ref="K246">VLOOKUP(OrderLines[[#This Row],[OrderID]:[OrderID]],Orders[],MATCH(OrderLines[[#Headers],[PaymentType]],Orders[#Headers],0),FALSE)</f>
        <v>UPI</v>
      </c>
      <c r="L246" t="str" cm="1">
        <f t="array" ref="L246">VLOOKUP(OrderLines[[#This Row],[OrderID]:[OrderID]],Orders[],MATCH(OrderLines[[#Headers],[Shift]],Orders[#Headers],0),FALSE)</f>
        <v>Lunch</v>
      </c>
      <c r="M246" s="8">
        <f>(OrderLines[[#This Row],[Qty]]*OrderLines[[#This Row],[UnitPrice]])*(1-OrderLines[[#This Row],[DiscountPct]])</f>
        <v>228.64990000000003</v>
      </c>
      <c r="N246" t="str">
        <f>IF(AND(COUNTIFS(OrderLines[OrderID],OrderLines[[#This Row],[OrderID]],OrderLines[Category],"Hot Meal"),COUNTIFS(OrderLines[OrderID],OrderLines[[#This Row],[OrderID]],OrderLines[Category],"Beverage")),"Combo","Single")</f>
        <v>Single</v>
      </c>
      <c r="O246" s="8" t="str" cm="1">
        <f t="array" ref="O246">IF(SUMPRODUCT(OrderLines[UnitPrice],OrderLines[Qty],OrderLines[DiscountPct],--(OrderLines[OrderID] = OrderLines[[#This Row],[OrderID]]))&gt;40,"High Discount","Ok")</f>
        <v>Ok</v>
      </c>
      <c r="P246">
        <f>OrderLines[[#This Row],[UnitCost]]*OrderLines[[#This Row],[Qty]]</f>
        <v>121.24</v>
      </c>
      <c r="Q246" s="8">
        <f>OrderLines[[#This Row],[LineNetAmount]]-OrderLines[[#This Row],[Food Cost]]</f>
        <v>107.40990000000004</v>
      </c>
    </row>
    <row r="247" spans="1:17" x14ac:dyDescent="0.3">
      <c r="A247" t="s">
        <v>138</v>
      </c>
      <c r="B247" t="s">
        <v>402</v>
      </c>
      <c r="C247">
        <v>1</v>
      </c>
      <c r="D247" cm="1">
        <f t="array" ref="D247">VLOOKUP(OrderLines[[#This Row],[SKU]:[SKU]],Menu[],MATCH(OrderLines[[#Headers],[UnitPrice]],Menu[#Headers],0),FALSE)</f>
        <v>30.34</v>
      </c>
      <c r="E247" cm="1">
        <f t="array" ref="E247">VLOOKUP(OrderLines[[#This Row],[SKU]:[SKU]],Menu[],MATCH(OrderLines[[#Headers],[UnitCost]],Menu[#Headers],0),FALSE)</f>
        <v>14.18</v>
      </c>
      <c r="F247" t="str" cm="1">
        <f t="array" ref="F247">VLOOKUP(OrderLines[[#This Row],[SKU]:[SKU]],Menu[],MATCH(OrderLines[[#Headers],[Category]],Menu[#Headers],0),FALSE)</f>
        <v>Beverage</v>
      </c>
      <c r="G247" t="str" cm="1">
        <f t="array" ref="G247">_xlfn.TEXTJOIN("+",TRUE,_xlfn._xlws.SORT(_xlfn.UNIQUE(_xlfn._xlws.FILTER(OrderLines[Category],OrderLines[OrderID]=OrderLines[[#This Row],[OrderID]]))))</f>
        <v>Beverage+Snack</v>
      </c>
      <c r="H247" s="2" cm="1">
        <f t="array" ref="H247">INT(VLOOKUP(OrderLines[[#This Row],[OrderID]:[OrderID]],Orders[],MATCH(OrderLines[[#Headers],[OrderDateTime]],Orders[#Headers],0),FALSE))</f>
        <v>45849</v>
      </c>
      <c r="I247" t="str" cm="1">
        <f t="array" ref="I247">VLOOKUP(OrderLines[[#This Row],[OrderID]:[OrderID]],Orders[],MATCH(OrderLines[[#Headers],[Branch]],Orders[#Headers],0),FALSE)</f>
        <v>Head Office Café</v>
      </c>
      <c r="J247" cm="1">
        <f t="array" ref="J247">VLOOKUP(OrderLines[[#This Row],[OrderID]:[OrderID]],Orders[],MATCH(OrderLines[[#Headers],[DiscountPct]],Orders[#Headers],0),FALSE)</f>
        <v>0</v>
      </c>
      <c r="K247" t="str" cm="1">
        <f t="array" ref="K247">VLOOKUP(OrderLines[[#This Row],[OrderID]:[OrderID]],Orders[],MATCH(OrderLines[[#Headers],[PaymentType]],Orders[#Headers],0),FALSE)</f>
        <v>UPI</v>
      </c>
      <c r="L247" t="str" cm="1">
        <f t="array" ref="L247">VLOOKUP(OrderLines[[#This Row],[OrderID]:[OrderID]],Orders[],MATCH(OrderLines[[#Headers],[Shift]],Orders[#Headers],0),FALSE)</f>
        <v>Breakfast</v>
      </c>
      <c r="M247" s="8">
        <f>(OrderLines[[#This Row],[Qty]]*OrderLines[[#This Row],[UnitPrice]])*(1-OrderLines[[#This Row],[DiscountPct]])</f>
        <v>30.34</v>
      </c>
      <c r="N247" t="str">
        <f>IF(AND(COUNTIFS(OrderLines[OrderID],OrderLines[[#This Row],[OrderID]],OrderLines[Category],"Hot Meal"),COUNTIFS(OrderLines[OrderID],OrderLines[[#This Row],[OrderID]],OrderLines[Category],"Beverage")),"Combo","Single")</f>
        <v>Single</v>
      </c>
      <c r="O247" s="8" t="str" cm="1">
        <f t="array" ref="O247">IF(SUMPRODUCT(OrderLines[UnitPrice],OrderLines[Qty],OrderLines[DiscountPct],--(OrderLines[OrderID] = OrderLines[[#This Row],[OrderID]]))&gt;40,"High Discount","Ok")</f>
        <v>Ok</v>
      </c>
      <c r="P247">
        <f>OrderLines[[#This Row],[UnitCost]]*OrderLines[[#This Row],[Qty]]</f>
        <v>14.18</v>
      </c>
      <c r="Q247" s="8">
        <f>OrderLines[[#This Row],[LineNetAmount]]-OrderLines[[#This Row],[Food Cost]]</f>
        <v>16.16</v>
      </c>
    </row>
    <row r="248" spans="1:17" x14ac:dyDescent="0.3">
      <c r="A248" t="s">
        <v>138</v>
      </c>
      <c r="B248" t="s">
        <v>408</v>
      </c>
      <c r="C248">
        <v>1</v>
      </c>
      <c r="D248" cm="1">
        <f t="array" ref="D248">VLOOKUP(OrderLines[[#This Row],[SKU]:[SKU]],Menu[],MATCH(OrderLines[[#Headers],[UnitPrice]],Menu[#Headers],0),FALSE)</f>
        <v>70.540000000000006</v>
      </c>
      <c r="E248" cm="1">
        <f t="array" ref="E248">VLOOKUP(OrderLines[[#This Row],[SKU]:[SKU]],Menu[],MATCH(OrderLines[[#Headers],[UnitCost]],Menu[#Headers],0),FALSE)</f>
        <v>35.81</v>
      </c>
      <c r="F248" t="str" cm="1">
        <f t="array" ref="F248">VLOOKUP(OrderLines[[#This Row],[SKU]:[SKU]],Menu[],MATCH(OrderLines[[#Headers],[Category]],Menu[#Headers],0),FALSE)</f>
        <v>Snack</v>
      </c>
      <c r="G248" t="str" cm="1">
        <f t="array" ref="G248">_xlfn.TEXTJOIN("+",TRUE,_xlfn._xlws.SORT(_xlfn.UNIQUE(_xlfn._xlws.FILTER(OrderLines[Category],OrderLines[OrderID]=OrderLines[[#This Row],[OrderID]]))))</f>
        <v>Beverage+Snack</v>
      </c>
      <c r="H248" s="2" cm="1">
        <f t="array" ref="H248">INT(VLOOKUP(OrderLines[[#This Row],[OrderID]:[OrderID]],Orders[],MATCH(OrderLines[[#Headers],[OrderDateTime]],Orders[#Headers],0),FALSE))</f>
        <v>45849</v>
      </c>
      <c r="I248" t="str" cm="1">
        <f t="array" ref="I248">VLOOKUP(OrderLines[[#This Row],[OrderID]:[OrderID]],Orders[],MATCH(OrderLines[[#Headers],[Branch]],Orders[#Headers],0),FALSE)</f>
        <v>Head Office Café</v>
      </c>
      <c r="J248" cm="1">
        <f t="array" ref="J248">VLOOKUP(OrderLines[[#This Row],[OrderID]:[OrderID]],Orders[],MATCH(OrderLines[[#Headers],[DiscountPct]],Orders[#Headers],0),FALSE)</f>
        <v>0</v>
      </c>
      <c r="K248" t="str" cm="1">
        <f t="array" ref="K248">VLOOKUP(OrderLines[[#This Row],[OrderID]:[OrderID]],Orders[],MATCH(OrderLines[[#Headers],[PaymentType]],Orders[#Headers],0),FALSE)</f>
        <v>UPI</v>
      </c>
      <c r="L248" t="str" cm="1">
        <f t="array" ref="L248">VLOOKUP(OrderLines[[#This Row],[OrderID]:[OrderID]],Orders[],MATCH(OrderLines[[#Headers],[Shift]],Orders[#Headers],0),FALSE)</f>
        <v>Breakfast</v>
      </c>
      <c r="M248" s="8">
        <f>(OrderLines[[#This Row],[Qty]]*OrderLines[[#This Row],[UnitPrice]])*(1-OrderLines[[#This Row],[DiscountPct]])</f>
        <v>70.540000000000006</v>
      </c>
      <c r="N248" t="str">
        <f>IF(AND(COUNTIFS(OrderLines[OrderID],OrderLines[[#This Row],[OrderID]],OrderLines[Category],"Hot Meal"),COUNTIFS(OrderLines[OrderID],OrderLines[[#This Row],[OrderID]],OrderLines[Category],"Beverage")),"Combo","Single")</f>
        <v>Single</v>
      </c>
      <c r="O248" s="8" t="str" cm="1">
        <f t="array" ref="O248">IF(SUMPRODUCT(OrderLines[UnitPrice],OrderLines[Qty],OrderLines[DiscountPct],--(OrderLines[OrderID] = OrderLines[[#This Row],[OrderID]]))&gt;40,"High Discount","Ok")</f>
        <v>Ok</v>
      </c>
      <c r="P248">
        <f>OrderLines[[#This Row],[UnitCost]]*OrderLines[[#This Row],[Qty]]</f>
        <v>35.81</v>
      </c>
      <c r="Q248" s="8">
        <f>OrderLines[[#This Row],[LineNetAmount]]-OrderLines[[#This Row],[Food Cost]]</f>
        <v>34.730000000000004</v>
      </c>
    </row>
    <row r="249" spans="1:17" x14ac:dyDescent="0.3">
      <c r="A249" t="s">
        <v>138</v>
      </c>
      <c r="B249" t="s">
        <v>418</v>
      </c>
      <c r="C249">
        <v>1</v>
      </c>
      <c r="D249" cm="1">
        <f t="array" ref="D249">VLOOKUP(OrderLines[[#This Row],[SKU]:[SKU]],Menu[],MATCH(OrderLines[[#Headers],[UnitPrice]],Menu[#Headers],0),FALSE)</f>
        <v>39.950000000000003</v>
      </c>
      <c r="E249" cm="1">
        <f t="array" ref="E249">VLOOKUP(OrderLines[[#This Row],[SKU]:[SKU]],Menu[],MATCH(OrderLines[[#Headers],[UnitCost]],Menu[#Headers],0),FALSE)</f>
        <v>15.51</v>
      </c>
      <c r="F249" t="str" cm="1">
        <f t="array" ref="F249">VLOOKUP(OrderLines[[#This Row],[SKU]:[SKU]],Menu[],MATCH(OrderLines[[#Headers],[Category]],Menu[#Headers],0),FALSE)</f>
        <v>Snack</v>
      </c>
      <c r="G249" t="str" cm="1">
        <f t="array" ref="G249">_xlfn.TEXTJOIN("+",TRUE,_xlfn._xlws.SORT(_xlfn.UNIQUE(_xlfn._xlws.FILTER(OrderLines[Category],OrderLines[OrderID]=OrderLines[[#This Row],[OrderID]]))))</f>
        <v>Beverage+Snack</v>
      </c>
      <c r="H249" s="2" cm="1">
        <f t="array" ref="H249">INT(VLOOKUP(OrderLines[[#This Row],[OrderID]:[OrderID]],Orders[],MATCH(OrderLines[[#Headers],[OrderDateTime]],Orders[#Headers],0),FALSE))</f>
        <v>45849</v>
      </c>
      <c r="I249" t="str" cm="1">
        <f t="array" ref="I249">VLOOKUP(OrderLines[[#This Row],[OrderID]:[OrderID]],Orders[],MATCH(OrderLines[[#Headers],[Branch]],Orders[#Headers],0),FALSE)</f>
        <v>Head Office Café</v>
      </c>
      <c r="J249" cm="1">
        <f t="array" ref="J249">VLOOKUP(OrderLines[[#This Row],[OrderID]:[OrderID]],Orders[],MATCH(OrderLines[[#Headers],[DiscountPct]],Orders[#Headers],0),FALSE)</f>
        <v>0</v>
      </c>
      <c r="K249" t="str" cm="1">
        <f t="array" ref="K249">VLOOKUP(OrderLines[[#This Row],[OrderID]:[OrderID]],Orders[],MATCH(OrderLines[[#Headers],[PaymentType]],Orders[#Headers],0),FALSE)</f>
        <v>UPI</v>
      </c>
      <c r="L249" t="str" cm="1">
        <f t="array" ref="L249">VLOOKUP(OrderLines[[#This Row],[OrderID]:[OrderID]],Orders[],MATCH(OrderLines[[#Headers],[Shift]],Orders[#Headers],0),FALSE)</f>
        <v>Breakfast</v>
      </c>
      <c r="M249" s="8">
        <f>(OrderLines[[#This Row],[Qty]]*OrderLines[[#This Row],[UnitPrice]])*(1-OrderLines[[#This Row],[DiscountPct]])</f>
        <v>39.950000000000003</v>
      </c>
      <c r="N249" t="str">
        <f>IF(AND(COUNTIFS(OrderLines[OrderID],OrderLines[[#This Row],[OrderID]],OrderLines[Category],"Hot Meal"),COUNTIFS(OrderLines[OrderID],OrderLines[[#This Row],[OrderID]],OrderLines[Category],"Beverage")),"Combo","Single")</f>
        <v>Single</v>
      </c>
      <c r="O249" s="8" t="str" cm="1">
        <f t="array" ref="O249">IF(SUMPRODUCT(OrderLines[UnitPrice],OrderLines[Qty],OrderLines[DiscountPct],--(OrderLines[OrderID] = OrderLines[[#This Row],[OrderID]]))&gt;40,"High Discount","Ok")</f>
        <v>Ok</v>
      </c>
      <c r="P249">
        <f>OrderLines[[#This Row],[UnitCost]]*OrderLines[[#This Row],[Qty]]</f>
        <v>15.51</v>
      </c>
      <c r="Q249" s="8">
        <f>OrderLines[[#This Row],[LineNetAmount]]-OrderLines[[#This Row],[Food Cost]]</f>
        <v>24.440000000000005</v>
      </c>
    </row>
    <row r="250" spans="1:17" x14ac:dyDescent="0.3">
      <c r="A250" t="s">
        <v>139</v>
      </c>
      <c r="B250" t="s">
        <v>406</v>
      </c>
      <c r="C250">
        <v>2</v>
      </c>
      <c r="D250" cm="1">
        <f t="array" ref="D250">VLOOKUP(OrderLines[[#This Row],[SKU]:[SKU]],Menu[],MATCH(OrderLines[[#Headers],[UnitPrice]],Menu[#Headers],0),FALSE)</f>
        <v>38.06</v>
      </c>
      <c r="E250" cm="1">
        <f t="array" ref="E250">VLOOKUP(OrderLines[[#This Row],[SKU]:[SKU]],Menu[],MATCH(OrderLines[[#Headers],[UnitCost]],Menu[#Headers],0),FALSE)</f>
        <v>19.55</v>
      </c>
      <c r="F250" t="str" cm="1">
        <f t="array" ref="F250">VLOOKUP(OrderLines[[#This Row],[SKU]:[SKU]],Menu[],MATCH(OrderLines[[#Headers],[Category]],Menu[#Headers],0),FALSE)</f>
        <v>Snack</v>
      </c>
      <c r="G250" t="str" cm="1">
        <f t="array" ref="G250">_xlfn.TEXTJOIN("+",TRUE,_xlfn._xlws.SORT(_xlfn.UNIQUE(_xlfn._xlws.FILTER(OrderLines[Category],OrderLines[OrderID]=OrderLines[[#This Row],[OrderID]]))))</f>
        <v>Snack</v>
      </c>
      <c r="H250" s="2" cm="1">
        <f t="array" ref="H250">INT(VLOOKUP(OrderLines[[#This Row],[OrderID]:[OrderID]],Orders[],MATCH(OrderLines[[#Headers],[OrderDateTime]],Orders[#Headers],0),FALSE))</f>
        <v>45894</v>
      </c>
      <c r="I250" t="str" cm="1">
        <f t="array" ref="I250">VLOOKUP(OrderLines[[#This Row],[OrderID]:[OrderID]],Orders[],MATCH(OrderLines[[#Headers],[Branch]],Orders[#Headers],0),FALSE)</f>
        <v>Plant 1 Canteen</v>
      </c>
      <c r="J250" cm="1">
        <f t="array" ref="J250">VLOOKUP(OrderLines[[#This Row],[OrderID]:[OrderID]],Orders[],MATCH(OrderLines[[#Headers],[DiscountPct]],Orders[#Headers],0),FALSE)</f>
        <v>7.0000000000000007E-2</v>
      </c>
      <c r="K250" t="str" cm="1">
        <f t="array" ref="K250">VLOOKUP(OrderLines[[#This Row],[OrderID]:[OrderID]],Orders[],MATCH(OrderLines[[#Headers],[PaymentType]],Orders[#Headers],0),FALSE)</f>
        <v>UPI</v>
      </c>
      <c r="L250" t="str" cm="1">
        <f t="array" ref="L250">VLOOKUP(OrderLines[[#This Row],[OrderID]:[OrderID]],Orders[],MATCH(OrderLines[[#Headers],[Shift]],Orders[#Headers],0),FALSE)</f>
        <v>Breakfast</v>
      </c>
      <c r="M250" s="8">
        <f>(OrderLines[[#This Row],[Qty]]*OrderLines[[#This Row],[UnitPrice]])*(1-OrderLines[[#This Row],[DiscountPct]])</f>
        <v>70.791600000000003</v>
      </c>
      <c r="N250" t="str">
        <f>IF(AND(COUNTIFS(OrderLines[OrderID],OrderLines[[#This Row],[OrderID]],OrderLines[Category],"Hot Meal"),COUNTIFS(OrderLines[OrderID],OrderLines[[#This Row],[OrderID]],OrderLines[Category],"Beverage")),"Combo","Single")</f>
        <v>Single</v>
      </c>
      <c r="O250" s="8" t="str" cm="1">
        <f t="array" ref="O250">IF(SUMPRODUCT(OrderLines[UnitPrice],OrderLines[Qty],OrderLines[DiscountPct],--(OrderLines[OrderID] = OrderLines[[#This Row],[OrderID]]))&gt;40,"High Discount","Ok")</f>
        <v>Ok</v>
      </c>
      <c r="P250">
        <f>OrderLines[[#This Row],[UnitCost]]*OrderLines[[#This Row],[Qty]]</f>
        <v>39.1</v>
      </c>
      <c r="Q250" s="8">
        <f>OrderLines[[#This Row],[LineNetAmount]]-OrderLines[[#This Row],[Food Cost]]</f>
        <v>31.691600000000001</v>
      </c>
    </row>
    <row r="251" spans="1:17" x14ac:dyDescent="0.3">
      <c r="A251" t="s">
        <v>140</v>
      </c>
      <c r="B251" t="s">
        <v>408</v>
      </c>
      <c r="C251">
        <v>2</v>
      </c>
      <c r="D251" cm="1">
        <f t="array" ref="D251">VLOOKUP(OrderLines[[#This Row],[SKU]:[SKU]],Menu[],MATCH(OrderLines[[#Headers],[UnitPrice]],Menu[#Headers],0),FALSE)</f>
        <v>70.540000000000006</v>
      </c>
      <c r="E251" cm="1">
        <f t="array" ref="E251">VLOOKUP(OrderLines[[#This Row],[SKU]:[SKU]],Menu[],MATCH(OrderLines[[#Headers],[UnitCost]],Menu[#Headers],0),FALSE)</f>
        <v>35.81</v>
      </c>
      <c r="F251" t="str" cm="1">
        <f t="array" ref="F251">VLOOKUP(OrderLines[[#This Row],[SKU]:[SKU]],Menu[],MATCH(OrderLines[[#Headers],[Category]],Menu[#Headers],0),FALSE)</f>
        <v>Snack</v>
      </c>
      <c r="G251" t="str" cm="1">
        <f t="array" ref="G251">_xlfn.TEXTJOIN("+",TRUE,_xlfn._xlws.SORT(_xlfn.UNIQUE(_xlfn._xlws.FILTER(OrderLines[Category],OrderLines[OrderID]=OrderLines[[#This Row],[OrderID]]))))</f>
        <v>Snack</v>
      </c>
      <c r="H251" s="2" cm="1">
        <f t="array" ref="H251">INT(VLOOKUP(OrderLines[[#This Row],[OrderID]:[OrderID]],Orders[],MATCH(OrderLines[[#Headers],[OrderDateTime]],Orders[#Headers],0),FALSE))</f>
        <v>45875</v>
      </c>
      <c r="I251" t="str" cm="1">
        <f t="array" ref="I251">VLOOKUP(OrderLines[[#This Row],[OrderID]:[OrderID]],Orders[],MATCH(OrderLines[[#Headers],[Branch]],Orders[#Headers],0),FALSE)</f>
        <v>Plant 1 Canteen</v>
      </c>
      <c r="J251" cm="1">
        <f t="array" ref="J251">VLOOKUP(OrderLines[[#This Row],[OrderID]:[OrderID]],Orders[],MATCH(OrderLines[[#Headers],[DiscountPct]],Orders[#Headers],0),FALSE)</f>
        <v>7.0000000000000007E-2</v>
      </c>
      <c r="K251" t="str" cm="1">
        <f t="array" ref="K251">VLOOKUP(OrderLines[[#This Row],[OrderID]:[OrderID]],Orders[],MATCH(OrderLines[[#Headers],[PaymentType]],Orders[#Headers],0),FALSE)</f>
        <v>UPI</v>
      </c>
      <c r="L251" t="str" cm="1">
        <f t="array" ref="L251">VLOOKUP(OrderLines[[#This Row],[OrderID]:[OrderID]],Orders[],MATCH(OrderLines[[#Headers],[Shift]],Orders[#Headers],0),FALSE)</f>
        <v>Breakfast</v>
      </c>
      <c r="M251" s="8">
        <f>(OrderLines[[#This Row],[Qty]]*OrderLines[[#This Row],[UnitPrice]])*(1-OrderLines[[#This Row],[DiscountPct]])</f>
        <v>131.20439999999999</v>
      </c>
      <c r="N251" t="str">
        <f>IF(AND(COUNTIFS(OrderLines[OrderID],OrderLines[[#This Row],[OrderID]],OrderLines[Category],"Hot Meal"),COUNTIFS(OrderLines[OrderID],OrderLines[[#This Row],[OrderID]],OrderLines[Category],"Beverage")),"Combo","Single")</f>
        <v>Single</v>
      </c>
      <c r="O251" s="8" t="str" cm="1">
        <f t="array" ref="O251">IF(SUMPRODUCT(OrderLines[UnitPrice],OrderLines[Qty],OrderLines[DiscountPct],--(OrderLines[OrderID] = OrderLines[[#This Row],[OrderID]]))&gt;40,"High Discount","Ok")</f>
        <v>Ok</v>
      </c>
      <c r="P251">
        <f>OrderLines[[#This Row],[UnitCost]]*OrderLines[[#This Row],[Qty]]</f>
        <v>71.62</v>
      </c>
      <c r="Q251" s="8">
        <f>OrderLines[[#This Row],[LineNetAmount]]-OrderLines[[#This Row],[Food Cost]]</f>
        <v>59.584399999999988</v>
      </c>
    </row>
    <row r="252" spans="1:17" x14ac:dyDescent="0.3">
      <c r="A252" t="s">
        <v>141</v>
      </c>
      <c r="B252" t="s">
        <v>413</v>
      </c>
      <c r="C252">
        <v>1</v>
      </c>
      <c r="D252" cm="1">
        <f t="array" ref="D252">VLOOKUP(OrderLines[[#This Row],[SKU]:[SKU]],Menu[],MATCH(OrderLines[[#Headers],[UnitPrice]],Menu[#Headers],0),FALSE)</f>
        <v>54.2</v>
      </c>
      <c r="E252" cm="1">
        <f t="array" ref="E252">VLOOKUP(OrderLines[[#This Row],[SKU]:[SKU]],Menu[],MATCH(OrderLines[[#Headers],[UnitCost]],Menu[#Headers],0),FALSE)</f>
        <v>21.95</v>
      </c>
      <c r="F252" t="str" cm="1">
        <f t="array" ref="F252">VLOOKUP(OrderLines[[#This Row],[SKU]:[SKU]],Menu[],MATCH(OrderLines[[#Headers],[Category]],Menu[#Headers],0),FALSE)</f>
        <v>Dessert</v>
      </c>
      <c r="G252" t="str" cm="1">
        <f t="array" ref="G252">_xlfn.TEXTJOIN("+",TRUE,_xlfn._xlws.SORT(_xlfn.UNIQUE(_xlfn._xlws.FILTER(OrderLines[Category],OrderLines[OrderID]=OrderLines[[#This Row],[OrderID]]))))</f>
        <v>Dessert</v>
      </c>
      <c r="H252" s="2" cm="1">
        <f t="array" ref="H252">INT(VLOOKUP(OrderLines[[#This Row],[OrderID]:[OrderID]],Orders[],MATCH(OrderLines[[#Headers],[OrderDateTime]],Orders[#Headers],0),FALSE))</f>
        <v>45840</v>
      </c>
      <c r="I252" t="str" cm="1">
        <f t="array" ref="I252">VLOOKUP(OrderLines[[#This Row],[OrderID]:[OrderID]],Orders[],MATCH(OrderLines[[#Headers],[Branch]],Orders[#Headers],0),FALSE)</f>
        <v>Plant 2 Canteen</v>
      </c>
      <c r="J252" cm="1">
        <f t="array" ref="J252">VLOOKUP(OrderLines[[#This Row],[OrderID]:[OrderID]],Orders[],MATCH(OrderLines[[#Headers],[DiscountPct]],Orders[#Headers],0),FALSE)</f>
        <v>0.09</v>
      </c>
      <c r="K252" t="str" cm="1">
        <f t="array" ref="K252">VLOOKUP(OrderLines[[#This Row],[OrderID]:[OrderID]],Orders[],MATCH(OrderLines[[#Headers],[PaymentType]],Orders[#Headers],0),FALSE)</f>
        <v>Cash</v>
      </c>
      <c r="L252" t="str" cm="1">
        <f t="array" ref="L252">VLOOKUP(OrderLines[[#This Row],[OrderID]:[OrderID]],Orders[],MATCH(OrderLines[[#Headers],[Shift]],Orders[#Headers],0),FALSE)</f>
        <v>Lunch</v>
      </c>
      <c r="M252" s="8">
        <f>(OrderLines[[#This Row],[Qty]]*OrderLines[[#This Row],[UnitPrice]])*(1-OrderLines[[#This Row],[DiscountPct]])</f>
        <v>49.322000000000003</v>
      </c>
      <c r="N252" t="str">
        <f>IF(AND(COUNTIFS(OrderLines[OrderID],OrderLines[[#This Row],[OrderID]],OrderLines[Category],"Hot Meal"),COUNTIFS(OrderLines[OrderID],OrderLines[[#This Row],[OrderID]],OrderLines[Category],"Beverage")),"Combo","Single")</f>
        <v>Single</v>
      </c>
      <c r="O252" s="8" t="str" cm="1">
        <f t="array" ref="O252">IF(SUMPRODUCT(OrderLines[UnitPrice],OrderLines[Qty],OrderLines[DiscountPct],--(OrderLines[OrderID] = OrderLines[[#This Row],[OrderID]]))&gt;40,"High Discount","Ok")</f>
        <v>Ok</v>
      </c>
      <c r="P252">
        <f>OrderLines[[#This Row],[UnitCost]]*OrderLines[[#This Row],[Qty]]</f>
        <v>21.95</v>
      </c>
      <c r="Q252" s="8">
        <f>OrderLines[[#This Row],[LineNetAmount]]-OrderLines[[#This Row],[Food Cost]]</f>
        <v>27.372000000000003</v>
      </c>
    </row>
    <row r="253" spans="1:17" x14ac:dyDescent="0.3">
      <c r="A253" t="s">
        <v>142</v>
      </c>
      <c r="B253" t="s">
        <v>402</v>
      </c>
      <c r="C253">
        <v>1</v>
      </c>
      <c r="D253" cm="1">
        <f t="array" ref="D253">VLOOKUP(OrderLines[[#This Row],[SKU]:[SKU]],Menu[],MATCH(OrderLines[[#Headers],[UnitPrice]],Menu[#Headers],0),FALSE)</f>
        <v>30.34</v>
      </c>
      <c r="E253" cm="1">
        <f t="array" ref="E253">VLOOKUP(OrderLines[[#This Row],[SKU]:[SKU]],Menu[],MATCH(OrderLines[[#Headers],[UnitCost]],Menu[#Headers],0),FALSE)</f>
        <v>14.18</v>
      </c>
      <c r="F253" t="str" cm="1">
        <f t="array" ref="F253">VLOOKUP(OrderLines[[#This Row],[SKU]:[SKU]],Menu[],MATCH(OrderLines[[#Headers],[Category]],Menu[#Headers],0),FALSE)</f>
        <v>Beverage</v>
      </c>
      <c r="G253" t="str" cm="1">
        <f t="array" ref="G253">_xlfn.TEXTJOIN("+",TRUE,_xlfn._xlws.SORT(_xlfn.UNIQUE(_xlfn._xlws.FILTER(OrderLines[Category],OrderLines[OrderID]=OrderLines[[#This Row],[OrderID]]))))</f>
        <v>Beverage</v>
      </c>
      <c r="H253" s="2" cm="1">
        <f t="array" ref="H253">INT(VLOOKUP(OrderLines[[#This Row],[OrderID]:[OrderID]],Orders[],MATCH(OrderLines[[#Headers],[OrderDateTime]],Orders[#Headers],0),FALSE))</f>
        <v>45874</v>
      </c>
      <c r="I253" t="str" cm="1">
        <f t="array" ref="I253">VLOOKUP(OrderLines[[#This Row],[OrderID]:[OrderID]],Orders[],MATCH(OrderLines[[#Headers],[Branch]],Orders[#Headers],0),FALSE)</f>
        <v>Head Office Café</v>
      </c>
      <c r="J253" cm="1">
        <f t="array" ref="J253">VLOOKUP(OrderLines[[#This Row],[OrderID]:[OrderID]],Orders[],MATCH(OrderLines[[#Headers],[DiscountPct]],Orders[#Headers],0),FALSE)</f>
        <v>0.01</v>
      </c>
      <c r="K253" t="str" cm="1">
        <f t="array" ref="K253">VLOOKUP(OrderLines[[#This Row],[OrderID]:[OrderID]],Orders[],MATCH(OrderLines[[#Headers],[PaymentType]],Orders[#Headers],0),FALSE)</f>
        <v>UPI</v>
      </c>
      <c r="L253" t="str" cm="1">
        <f t="array" ref="L253">VLOOKUP(OrderLines[[#This Row],[OrderID]:[OrderID]],Orders[],MATCH(OrderLines[[#Headers],[Shift]],Orders[#Headers],0),FALSE)</f>
        <v>Breakfast</v>
      </c>
      <c r="M253" s="8">
        <f>(OrderLines[[#This Row],[Qty]]*OrderLines[[#This Row],[UnitPrice]])*(1-OrderLines[[#This Row],[DiscountPct]])</f>
        <v>30.0366</v>
      </c>
      <c r="N253" t="str">
        <f>IF(AND(COUNTIFS(OrderLines[OrderID],OrderLines[[#This Row],[OrderID]],OrderLines[Category],"Hot Meal"),COUNTIFS(OrderLines[OrderID],OrderLines[[#This Row],[OrderID]],OrderLines[Category],"Beverage")),"Combo","Single")</f>
        <v>Single</v>
      </c>
      <c r="O253" s="8" t="str" cm="1">
        <f t="array" ref="O253">IF(SUMPRODUCT(OrderLines[UnitPrice],OrderLines[Qty],OrderLines[DiscountPct],--(OrderLines[OrderID] = OrderLines[[#This Row],[OrderID]]))&gt;40,"High Discount","Ok")</f>
        <v>Ok</v>
      </c>
      <c r="P253">
        <f>OrderLines[[#This Row],[UnitCost]]*OrderLines[[#This Row],[Qty]]</f>
        <v>14.18</v>
      </c>
      <c r="Q253" s="8">
        <f>OrderLines[[#This Row],[LineNetAmount]]-OrderLines[[#This Row],[Food Cost]]</f>
        <v>15.8566</v>
      </c>
    </row>
    <row r="254" spans="1:17" x14ac:dyDescent="0.3">
      <c r="A254" t="s">
        <v>143</v>
      </c>
      <c r="B254" t="s">
        <v>406</v>
      </c>
      <c r="C254">
        <v>3</v>
      </c>
      <c r="D254" cm="1">
        <f t="array" ref="D254">VLOOKUP(OrderLines[[#This Row],[SKU]:[SKU]],Menu[],MATCH(OrderLines[[#Headers],[UnitPrice]],Menu[#Headers],0),FALSE)</f>
        <v>38.06</v>
      </c>
      <c r="E254" cm="1">
        <f t="array" ref="E254">VLOOKUP(OrderLines[[#This Row],[SKU]:[SKU]],Menu[],MATCH(OrderLines[[#Headers],[UnitCost]],Menu[#Headers],0),FALSE)</f>
        <v>19.55</v>
      </c>
      <c r="F254" t="str" cm="1">
        <f t="array" ref="F254">VLOOKUP(OrderLines[[#This Row],[SKU]:[SKU]],Menu[],MATCH(OrderLines[[#Headers],[Category]],Menu[#Headers],0),FALSE)</f>
        <v>Snack</v>
      </c>
      <c r="G254" t="str" cm="1">
        <f t="array" ref="G254">_xlfn.TEXTJOIN("+",TRUE,_xlfn._xlws.SORT(_xlfn.UNIQUE(_xlfn._xlws.FILTER(OrderLines[Category],OrderLines[OrderID]=OrderLines[[#This Row],[OrderID]]))))</f>
        <v>Beverage+Hot Meal+Snack</v>
      </c>
      <c r="H254" s="2" cm="1">
        <f t="array" ref="H254">INT(VLOOKUP(OrderLines[[#This Row],[OrderID]:[OrderID]],Orders[],MATCH(OrderLines[[#Headers],[OrderDateTime]],Orders[#Headers],0),FALSE))</f>
        <v>45881</v>
      </c>
      <c r="I254" t="str" cm="1">
        <f t="array" ref="I254">VLOOKUP(OrderLines[[#This Row],[OrderID]:[OrderID]],Orders[],MATCH(OrderLines[[#Headers],[Branch]],Orders[#Headers],0),FALSE)</f>
        <v>Plant 1 Canteen</v>
      </c>
      <c r="J254" cm="1">
        <f t="array" ref="J254">VLOOKUP(OrderLines[[#This Row],[OrderID]:[OrderID]],Orders[],MATCH(OrderLines[[#Headers],[DiscountPct]],Orders[#Headers],0),FALSE)</f>
        <v>0.01</v>
      </c>
      <c r="K254" t="str" cm="1">
        <f t="array" ref="K254">VLOOKUP(OrderLines[[#This Row],[OrderID]:[OrderID]],Orders[],MATCH(OrderLines[[#Headers],[PaymentType]],Orders[#Headers],0),FALSE)</f>
        <v>UPI</v>
      </c>
      <c r="L254" t="str" cm="1">
        <f t="array" ref="L254">VLOOKUP(OrderLines[[#This Row],[OrderID]:[OrderID]],Orders[],MATCH(OrderLines[[#Headers],[Shift]],Orders[#Headers],0),FALSE)</f>
        <v>Lunch</v>
      </c>
      <c r="M254" s="8">
        <f>(OrderLines[[#This Row],[Qty]]*OrderLines[[#This Row],[UnitPrice]])*(1-OrderLines[[#This Row],[DiscountPct]])</f>
        <v>113.0382</v>
      </c>
      <c r="N254" t="str">
        <f>IF(AND(COUNTIFS(OrderLines[OrderID],OrderLines[[#This Row],[OrderID]],OrderLines[Category],"Hot Meal"),COUNTIFS(OrderLines[OrderID],OrderLines[[#This Row],[OrderID]],OrderLines[Category],"Beverage")),"Combo","Single")</f>
        <v>Combo</v>
      </c>
      <c r="O254" s="8" t="str" cm="1">
        <f t="array" ref="O254">IF(SUMPRODUCT(OrderLines[UnitPrice],OrderLines[Qty],OrderLines[DiscountPct],--(OrderLines[OrderID] = OrderLines[[#This Row],[OrderID]]))&gt;40,"High Discount","Ok")</f>
        <v>Ok</v>
      </c>
      <c r="P254">
        <f>OrderLines[[#This Row],[UnitCost]]*OrderLines[[#This Row],[Qty]]</f>
        <v>58.650000000000006</v>
      </c>
      <c r="Q254" s="8">
        <f>OrderLines[[#This Row],[LineNetAmount]]-OrderLines[[#This Row],[Food Cost]]</f>
        <v>54.388199999999998</v>
      </c>
    </row>
    <row r="255" spans="1:17" x14ac:dyDescent="0.3">
      <c r="A255" t="s">
        <v>143</v>
      </c>
      <c r="B255" t="s">
        <v>409</v>
      </c>
      <c r="C255">
        <v>2</v>
      </c>
      <c r="D255" cm="1">
        <f t="array" ref="D255">VLOOKUP(OrderLines[[#This Row],[SKU]:[SKU]],Menu[],MATCH(OrderLines[[#Headers],[UnitPrice]],Menu[#Headers],0),FALSE)</f>
        <v>28.43</v>
      </c>
      <c r="E255" cm="1">
        <f t="array" ref="E255">VLOOKUP(OrderLines[[#This Row],[SKU]:[SKU]],Menu[],MATCH(OrderLines[[#Headers],[UnitCost]],Menu[#Headers],0),FALSE)</f>
        <v>13.89</v>
      </c>
      <c r="F255" t="str" cm="1">
        <f t="array" ref="F255">VLOOKUP(OrderLines[[#This Row],[SKU]:[SKU]],Menu[],MATCH(OrderLines[[#Headers],[Category]],Menu[#Headers],0),FALSE)</f>
        <v>Beverage</v>
      </c>
      <c r="G255" t="str" cm="1">
        <f t="array" ref="G255">_xlfn.TEXTJOIN("+",TRUE,_xlfn._xlws.SORT(_xlfn.UNIQUE(_xlfn._xlws.FILTER(OrderLines[Category],OrderLines[OrderID]=OrderLines[[#This Row],[OrderID]]))))</f>
        <v>Beverage+Hot Meal+Snack</v>
      </c>
      <c r="H255" s="2" cm="1">
        <f t="array" ref="H255">INT(VLOOKUP(OrderLines[[#This Row],[OrderID]:[OrderID]],Orders[],MATCH(OrderLines[[#Headers],[OrderDateTime]],Orders[#Headers],0),FALSE))</f>
        <v>45881</v>
      </c>
      <c r="I255" t="str" cm="1">
        <f t="array" ref="I255">VLOOKUP(OrderLines[[#This Row],[OrderID]:[OrderID]],Orders[],MATCH(OrderLines[[#Headers],[Branch]],Orders[#Headers],0),FALSE)</f>
        <v>Plant 1 Canteen</v>
      </c>
      <c r="J255" cm="1">
        <f t="array" ref="J255">VLOOKUP(OrderLines[[#This Row],[OrderID]:[OrderID]],Orders[],MATCH(OrderLines[[#Headers],[DiscountPct]],Orders[#Headers],0),FALSE)</f>
        <v>0.01</v>
      </c>
      <c r="K255" t="str" cm="1">
        <f t="array" ref="K255">VLOOKUP(OrderLines[[#This Row],[OrderID]:[OrderID]],Orders[],MATCH(OrderLines[[#Headers],[PaymentType]],Orders[#Headers],0),FALSE)</f>
        <v>UPI</v>
      </c>
      <c r="L255" t="str" cm="1">
        <f t="array" ref="L255">VLOOKUP(OrderLines[[#This Row],[OrderID]:[OrderID]],Orders[],MATCH(OrderLines[[#Headers],[Shift]],Orders[#Headers],0),FALSE)</f>
        <v>Lunch</v>
      </c>
      <c r="M255" s="8">
        <f>(OrderLines[[#This Row],[Qty]]*OrderLines[[#This Row],[UnitPrice]])*(1-OrderLines[[#This Row],[DiscountPct]])</f>
        <v>56.291399999999996</v>
      </c>
      <c r="N255" t="str">
        <f>IF(AND(COUNTIFS(OrderLines[OrderID],OrderLines[[#This Row],[OrderID]],OrderLines[Category],"Hot Meal"),COUNTIFS(OrderLines[OrderID],OrderLines[[#This Row],[OrderID]],OrderLines[Category],"Beverage")),"Combo","Single")</f>
        <v>Combo</v>
      </c>
      <c r="O255" s="8" t="str" cm="1">
        <f t="array" ref="O255">IF(SUMPRODUCT(OrderLines[UnitPrice],OrderLines[Qty],OrderLines[DiscountPct],--(OrderLines[OrderID] = OrderLines[[#This Row],[OrderID]]))&gt;40,"High Discount","Ok")</f>
        <v>Ok</v>
      </c>
      <c r="P255">
        <f>OrderLines[[#This Row],[UnitCost]]*OrderLines[[#This Row],[Qty]]</f>
        <v>27.78</v>
      </c>
      <c r="Q255" s="8">
        <f>OrderLines[[#This Row],[LineNetAmount]]-OrderLines[[#This Row],[Food Cost]]</f>
        <v>28.511399999999995</v>
      </c>
    </row>
    <row r="256" spans="1:17" x14ac:dyDescent="0.3">
      <c r="A256" t="s">
        <v>143</v>
      </c>
      <c r="B256" t="s">
        <v>415</v>
      </c>
      <c r="C256">
        <v>1</v>
      </c>
      <c r="D256" cm="1">
        <f t="array" ref="D256">VLOOKUP(OrderLines[[#This Row],[SKU]:[SKU]],Menu[],MATCH(OrderLines[[#Headers],[UnitPrice]],Menu[#Headers],0),FALSE)</f>
        <v>256.91000000000003</v>
      </c>
      <c r="E256" cm="1">
        <f t="array" ref="E256">VLOOKUP(OrderLines[[#This Row],[SKU]:[SKU]],Menu[],MATCH(OrderLines[[#Headers],[UnitCost]],Menu[#Headers],0),FALSE)</f>
        <v>121.24</v>
      </c>
      <c r="F256" t="str" cm="1">
        <f t="array" ref="F256">VLOOKUP(OrderLines[[#This Row],[SKU]:[SKU]],Menu[],MATCH(OrderLines[[#Headers],[Category]],Menu[#Headers],0),FALSE)</f>
        <v>Hot Meal</v>
      </c>
      <c r="G256" t="str" cm="1">
        <f t="array" ref="G256">_xlfn.TEXTJOIN("+",TRUE,_xlfn._xlws.SORT(_xlfn.UNIQUE(_xlfn._xlws.FILTER(OrderLines[Category],OrderLines[OrderID]=OrderLines[[#This Row],[OrderID]]))))</f>
        <v>Beverage+Hot Meal+Snack</v>
      </c>
      <c r="H256" s="2" cm="1">
        <f t="array" ref="H256">INT(VLOOKUP(OrderLines[[#This Row],[OrderID]:[OrderID]],Orders[],MATCH(OrderLines[[#Headers],[OrderDateTime]],Orders[#Headers],0),FALSE))</f>
        <v>45881</v>
      </c>
      <c r="I256" t="str" cm="1">
        <f t="array" ref="I256">VLOOKUP(OrderLines[[#This Row],[OrderID]:[OrderID]],Orders[],MATCH(OrderLines[[#Headers],[Branch]],Orders[#Headers],0),FALSE)</f>
        <v>Plant 1 Canteen</v>
      </c>
      <c r="J256" cm="1">
        <f t="array" ref="J256">VLOOKUP(OrderLines[[#This Row],[OrderID]:[OrderID]],Orders[],MATCH(OrderLines[[#Headers],[DiscountPct]],Orders[#Headers],0),FALSE)</f>
        <v>0.01</v>
      </c>
      <c r="K256" t="str" cm="1">
        <f t="array" ref="K256">VLOOKUP(OrderLines[[#This Row],[OrderID]:[OrderID]],Orders[],MATCH(OrderLines[[#Headers],[PaymentType]],Orders[#Headers],0),FALSE)</f>
        <v>UPI</v>
      </c>
      <c r="L256" t="str" cm="1">
        <f t="array" ref="L256">VLOOKUP(OrderLines[[#This Row],[OrderID]:[OrderID]],Orders[],MATCH(OrderLines[[#Headers],[Shift]],Orders[#Headers],0),FALSE)</f>
        <v>Lunch</v>
      </c>
      <c r="M256" s="8">
        <f>(OrderLines[[#This Row],[Qty]]*OrderLines[[#This Row],[UnitPrice]])*(1-OrderLines[[#This Row],[DiscountPct]])</f>
        <v>254.34090000000003</v>
      </c>
      <c r="N256" t="str">
        <f>IF(AND(COUNTIFS(OrderLines[OrderID],OrderLines[[#This Row],[OrderID]],OrderLines[Category],"Hot Meal"),COUNTIFS(OrderLines[OrderID],OrderLines[[#This Row],[OrderID]],OrderLines[Category],"Beverage")),"Combo","Single")</f>
        <v>Combo</v>
      </c>
      <c r="O256" s="8" t="str" cm="1">
        <f t="array" ref="O256">IF(SUMPRODUCT(OrderLines[UnitPrice],OrderLines[Qty],OrderLines[DiscountPct],--(OrderLines[OrderID] = OrderLines[[#This Row],[OrderID]]))&gt;40,"High Discount","Ok")</f>
        <v>Ok</v>
      </c>
      <c r="P256">
        <f>OrderLines[[#This Row],[UnitCost]]*OrderLines[[#This Row],[Qty]]</f>
        <v>121.24</v>
      </c>
      <c r="Q256" s="8">
        <f>OrderLines[[#This Row],[LineNetAmount]]-OrderLines[[#This Row],[Food Cost]]</f>
        <v>133.10090000000002</v>
      </c>
    </row>
    <row r="257" spans="1:17" x14ac:dyDescent="0.3">
      <c r="A257" t="s">
        <v>144</v>
      </c>
      <c r="B257" t="s">
        <v>410</v>
      </c>
      <c r="C257">
        <v>2</v>
      </c>
      <c r="D257" cm="1">
        <f t="array" ref="D257">VLOOKUP(OrderLines[[#This Row],[SKU]:[SKU]],Menu[],MATCH(OrderLines[[#Headers],[UnitPrice]],Menu[#Headers],0),FALSE)</f>
        <v>20.11</v>
      </c>
      <c r="E257" cm="1">
        <f t="array" ref="E257">VLOOKUP(OrderLines[[#This Row],[SKU]:[SKU]],Menu[],MATCH(OrderLines[[#Headers],[UnitCost]],Menu[#Headers],0),FALSE)</f>
        <v>8</v>
      </c>
      <c r="F257" t="str" cm="1">
        <f t="array" ref="F257">VLOOKUP(OrderLines[[#This Row],[SKU]:[SKU]],Menu[],MATCH(OrderLines[[#Headers],[Category]],Menu[#Headers],0),FALSE)</f>
        <v>Beverage</v>
      </c>
      <c r="G257" t="str" cm="1">
        <f t="array" ref="G257">_xlfn.TEXTJOIN("+",TRUE,_xlfn._xlws.SORT(_xlfn.UNIQUE(_xlfn._xlws.FILTER(OrderLines[Category],OrderLines[OrderID]=OrderLines[[#This Row],[OrderID]]))))</f>
        <v>Beverage</v>
      </c>
      <c r="H257" s="2" cm="1">
        <f t="array" ref="H257">INT(VLOOKUP(OrderLines[[#This Row],[OrderID]:[OrderID]],Orders[],MATCH(OrderLines[[#Headers],[OrderDateTime]],Orders[#Headers],0),FALSE))</f>
        <v>45891</v>
      </c>
      <c r="I257" t="str" cm="1">
        <f t="array" ref="I257">VLOOKUP(OrderLines[[#This Row],[OrderID]:[OrderID]],Orders[],MATCH(OrderLines[[#Headers],[Branch]],Orders[#Headers],0),FALSE)</f>
        <v>Plant 2 Canteen</v>
      </c>
      <c r="J257" cm="1">
        <f t="array" ref="J257">VLOOKUP(OrderLines[[#This Row],[OrderID]:[OrderID]],Orders[],MATCH(OrderLines[[#Headers],[DiscountPct]],Orders[#Headers],0),FALSE)</f>
        <v>0.08</v>
      </c>
      <c r="K257" t="str" cm="1">
        <f t="array" ref="K257">VLOOKUP(OrderLines[[#This Row],[OrderID]:[OrderID]],Orders[],MATCH(OrderLines[[#Headers],[PaymentType]],Orders[#Headers],0),FALSE)</f>
        <v>Card</v>
      </c>
      <c r="L257" t="str" cm="1">
        <f t="array" ref="L257">VLOOKUP(OrderLines[[#This Row],[OrderID]:[OrderID]],Orders[],MATCH(OrderLines[[#Headers],[Shift]],Orders[#Headers],0),FALSE)</f>
        <v>Lunch</v>
      </c>
      <c r="M257" s="8">
        <f>(OrderLines[[#This Row],[Qty]]*OrderLines[[#This Row],[UnitPrice]])*(1-OrderLines[[#This Row],[DiscountPct]])</f>
        <v>37.002400000000002</v>
      </c>
      <c r="N257" t="str">
        <f>IF(AND(COUNTIFS(OrderLines[OrderID],OrderLines[[#This Row],[OrderID]],OrderLines[Category],"Hot Meal"),COUNTIFS(OrderLines[OrderID],OrderLines[[#This Row],[OrderID]],OrderLines[Category],"Beverage")),"Combo","Single")</f>
        <v>Single</v>
      </c>
      <c r="O257" s="8" t="str" cm="1">
        <f t="array" ref="O257">IF(SUMPRODUCT(OrderLines[UnitPrice],OrderLines[Qty],OrderLines[DiscountPct],--(OrderLines[OrderID] = OrderLines[[#This Row],[OrderID]]))&gt;40,"High Discount","Ok")</f>
        <v>Ok</v>
      </c>
      <c r="P257">
        <f>OrderLines[[#This Row],[UnitCost]]*OrderLines[[#This Row],[Qty]]</f>
        <v>16</v>
      </c>
      <c r="Q257" s="8">
        <f>OrderLines[[#This Row],[LineNetAmount]]-OrderLines[[#This Row],[Food Cost]]</f>
        <v>21.002400000000002</v>
      </c>
    </row>
    <row r="258" spans="1:17" x14ac:dyDescent="0.3">
      <c r="A258" t="s">
        <v>144</v>
      </c>
      <c r="B258" t="s">
        <v>411</v>
      </c>
      <c r="C258">
        <v>1</v>
      </c>
      <c r="D258" cm="1">
        <f t="array" ref="D258">VLOOKUP(OrderLines[[#This Row],[SKU]:[SKU]],Menu[],MATCH(OrderLines[[#Headers],[UnitPrice]],Menu[#Headers],0),FALSE)</f>
        <v>22.2</v>
      </c>
      <c r="E258" cm="1">
        <f t="array" ref="E258">VLOOKUP(OrderLines[[#This Row],[SKU]:[SKU]],Menu[],MATCH(OrderLines[[#Headers],[UnitCost]],Menu[#Headers],0),FALSE)</f>
        <v>9.3800000000000008</v>
      </c>
      <c r="F258" t="str" cm="1">
        <f t="array" ref="F258">VLOOKUP(OrderLines[[#This Row],[SKU]:[SKU]],Menu[],MATCH(OrderLines[[#Headers],[Category]],Menu[#Headers],0),FALSE)</f>
        <v>Beverage</v>
      </c>
      <c r="G258" t="str" cm="1">
        <f t="array" ref="G258">_xlfn.TEXTJOIN("+",TRUE,_xlfn._xlws.SORT(_xlfn.UNIQUE(_xlfn._xlws.FILTER(OrderLines[Category],OrderLines[OrderID]=OrderLines[[#This Row],[OrderID]]))))</f>
        <v>Beverage</v>
      </c>
      <c r="H258" s="2" cm="1">
        <f t="array" ref="H258">INT(VLOOKUP(OrderLines[[#This Row],[OrderID]:[OrderID]],Orders[],MATCH(OrderLines[[#Headers],[OrderDateTime]],Orders[#Headers],0),FALSE))</f>
        <v>45891</v>
      </c>
      <c r="I258" t="str" cm="1">
        <f t="array" ref="I258">VLOOKUP(OrderLines[[#This Row],[OrderID]:[OrderID]],Orders[],MATCH(OrderLines[[#Headers],[Branch]],Orders[#Headers],0),FALSE)</f>
        <v>Plant 2 Canteen</v>
      </c>
      <c r="J258" cm="1">
        <f t="array" ref="J258">VLOOKUP(OrderLines[[#This Row],[OrderID]:[OrderID]],Orders[],MATCH(OrderLines[[#Headers],[DiscountPct]],Orders[#Headers],0),FALSE)</f>
        <v>0.08</v>
      </c>
      <c r="K258" t="str" cm="1">
        <f t="array" ref="K258">VLOOKUP(OrderLines[[#This Row],[OrderID]:[OrderID]],Orders[],MATCH(OrderLines[[#Headers],[PaymentType]],Orders[#Headers],0),FALSE)</f>
        <v>Card</v>
      </c>
      <c r="L258" t="str" cm="1">
        <f t="array" ref="L258">VLOOKUP(OrderLines[[#This Row],[OrderID]:[OrderID]],Orders[],MATCH(OrderLines[[#Headers],[Shift]],Orders[#Headers],0),FALSE)</f>
        <v>Lunch</v>
      </c>
      <c r="M258" s="8">
        <f>(OrderLines[[#This Row],[Qty]]*OrderLines[[#This Row],[UnitPrice]])*(1-OrderLines[[#This Row],[DiscountPct]])</f>
        <v>20.423999999999999</v>
      </c>
      <c r="N258" t="str">
        <f>IF(AND(COUNTIFS(OrderLines[OrderID],OrderLines[[#This Row],[OrderID]],OrderLines[Category],"Hot Meal"),COUNTIFS(OrderLines[OrderID],OrderLines[[#This Row],[OrderID]],OrderLines[Category],"Beverage")),"Combo","Single")</f>
        <v>Single</v>
      </c>
      <c r="O258" s="8" t="str" cm="1">
        <f t="array" ref="O258">IF(SUMPRODUCT(OrderLines[UnitPrice],OrderLines[Qty],OrderLines[DiscountPct],--(OrderLines[OrderID] = OrderLines[[#This Row],[OrderID]]))&gt;40,"High Discount","Ok")</f>
        <v>Ok</v>
      </c>
      <c r="P258">
        <f>OrderLines[[#This Row],[UnitCost]]*OrderLines[[#This Row],[Qty]]</f>
        <v>9.3800000000000008</v>
      </c>
      <c r="Q258" s="8">
        <f>OrderLines[[#This Row],[LineNetAmount]]-OrderLines[[#This Row],[Food Cost]]</f>
        <v>11.043999999999999</v>
      </c>
    </row>
    <row r="259" spans="1:17" x14ac:dyDescent="0.3">
      <c r="A259" t="s">
        <v>145</v>
      </c>
      <c r="B259" t="s">
        <v>403</v>
      </c>
      <c r="C259">
        <v>1</v>
      </c>
      <c r="D259" cm="1">
        <f t="array" ref="D259">VLOOKUP(OrderLines[[#This Row],[SKU]:[SKU]],Menu[],MATCH(OrderLines[[#Headers],[UnitPrice]],Menu[#Headers],0),FALSE)</f>
        <v>76.55</v>
      </c>
      <c r="E259" cm="1">
        <f t="array" ref="E259">VLOOKUP(OrderLines[[#This Row],[SKU]:[SKU]],Menu[],MATCH(OrderLines[[#Headers],[UnitCost]],Menu[#Headers],0),FALSE)</f>
        <v>38.229999999999997</v>
      </c>
      <c r="F259" t="str" cm="1">
        <f t="array" ref="F259">VLOOKUP(OrderLines[[#This Row],[SKU]:[SKU]],Menu[],MATCH(OrderLines[[#Headers],[Category]],Menu[#Headers],0),FALSE)</f>
        <v>Dessert</v>
      </c>
      <c r="G259" t="str" cm="1">
        <f t="array" ref="G259">_xlfn.TEXTJOIN("+",TRUE,_xlfn._xlws.SORT(_xlfn.UNIQUE(_xlfn._xlws.FILTER(OrderLines[Category],OrderLines[OrderID]=OrderLines[[#This Row],[OrderID]]))))</f>
        <v>Beverage+Dessert+Snack</v>
      </c>
      <c r="H259" s="2" cm="1">
        <f t="array" ref="H259">INT(VLOOKUP(OrderLines[[#This Row],[OrderID]:[OrderID]],Orders[],MATCH(OrderLines[[#Headers],[OrderDateTime]],Orders[#Headers],0),FALSE))</f>
        <v>45870</v>
      </c>
      <c r="I259" t="str" cm="1">
        <f t="array" ref="I259">VLOOKUP(OrderLines[[#This Row],[OrderID]:[OrderID]],Orders[],MATCH(OrderLines[[#Headers],[Branch]],Orders[#Headers],0),FALSE)</f>
        <v>Plant 1 Canteen</v>
      </c>
      <c r="J259" cm="1">
        <f t="array" ref="J259">VLOOKUP(OrderLines[[#This Row],[OrderID]:[OrderID]],Orders[],MATCH(OrderLines[[#Headers],[DiscountPct]],Orders[#Headers],0),FALSE)</f>
        <v>7.0000000000000007E-2</v>
      </c>
      <c r="K259" t="str" cm="1">
        <f t="array" ref="K259">VLOOKUP(OrderLines[[#This Row],[OrderID]:[OrderID]],Orders[],MATCH(OrderLines[[#Headers],[PaymentType]],Orders[#Headers],0),FALSE)</f>
        <v>Card</v>
      </c>
      <c r="L259" t="str" cm="1">
        <f t="array" ref="L259">VLOOKUP(OrderLines[[#This Row],[OrderID]:[OrderID]],Orders[],MATCH(OrderLines[[#Headers],[Shift]],Orders[#Headers],0),FALSE)</f>
        <v>Lunch</v>
      </c>
      <c r="M259" s="8">
        <f>(OrderLines[[#This Row],[Qty]]*OrderLines[[#This Row],[UnitPrice]])*(1-OrderLines[[#This Row],[DiscountPct]])</f>
        <v>71.191499999999991</v>
      </c>
      <c r="N259" t="str">
        <f>IF(AND(COUNTIFS(OrderLines[OrderID],OrderLines[[#This Row],[OrderID]],OrderLines[Category],"Hot Meal"),COUNTIFS(OrderLines[OrderID],OrderLines[[#This Row],[OrderID]],OrderLines[Category],"Beverage")),"Combo","Single")</f>
        <v>Single</v>
      </c>
      <c r="O259" s="8" t="str" cm="1">
        <f t="array" ref="O259">IF(SUMPRODUCT(OrderLines[UnitPrice],OrderLines[Qty],OrderLines[DiscountPct],--(OrderLines[OrderID] = OrderLines[[#This Row],[OrderID]]))&gt;40,"High Discount","Ok")</f>
        <v>Ok</v>
      </c>
      <c r="P259">
        <f>OrderLines[[#This Row],[UnitCost]]*OrderLines[[#This Row],[Qty]]</f>
        <v>38.229999999999997</v>
      </c>
      <c r="Q259" s="8">
        <f>OrderLines[[#This Row],[LineNetAmount]]-OrderLines[[#This Row],[Food Cost]]</f>
        <v>32.961499999999994</v>
      </c>
    </row>
    <row r="260" spans="1:17" x14ac:dyDescent="0.3">
      <c r="A260" t="s">
        <v>145</v>
      </c>
      <c r="B260" t="s">
        <v>409</v>
      </c>
      <c r="C260">
        <v>1</v>
      </c>
      <c r="D260" cm="1">
        <f t="array" ref="D260">VLOOKUP(OrderLines[[#This Row],[SKU]:[SKU]],Menu[],MATCH(OrderLines[[#Headers],[UnitPrice]],Menu[#Headers],0),FALSE)</f>
        <v>28.43</v>
      </c>
      <c r="E260" cm="1">
        <f t="array" ref="E260">VLOOKUP(OrderLines[[#This Row],[SKU]:[SKU]],Menu[],MATCH(OrderLines[[#Headers],[UnitCost]],Menu[#Headers],0),FALSE)</f>
        <v>13.89</v>
      </c>
      <c r="F260" t="str" cm="1">
        <f t="array" ref="F260">VLOOKUP(OrderLines[[#This Row],[SKU]:[SKU]],Menu[],MATCH(OrderLines[[#Headers],[Category]],Menu[#Headers],0),FALSE)</f>
        <v>Beverage</v>
      </c>
      <c r="G260" t="str" cm="1">
        <f t="array" ref="G260">_xlfn.TEXTJOIN("+",TRUE,_xlfn._xlws.SORT(_xlfn.UNIQUE(_xlfn._xlws.FILTER(OrderLines[Category],OrderLines[OrderID]=OrderLines[[#This Row],[OrderID]]))))</f>
        <v>Beverage+Dessert+Snack</v>
      </c>
      <c r="H260" s="2" cm="1">
        <f t="array" ref="H260">INT(VLOOKUP(OrderLines[[#This Row],[OrderID]:[OrderID]],Orders[],MATCH(OrderLines[[#Headers],[OrderDateTime]],Orders[#Headers],0),FALSE))</f>
        <v>45870</v>
      </c>
      <c r="I260" t="str" cm="1">
        <f t="array" ref="I260">VLOOKUP(OrderLines[[#This Row],[OrderID]:[OrderID]],Orders[],MATCH(OrderLines[[#Headers],[Branch]],Orders[#Headers],0),FALSE)</f>
        <v>Plant 1 Canteen</v>
      </c>
      <c r="J260" cm="1">
        <f t="array" ref="J260">VLOOKUP(OrderLines[[#This Row],[OrderID]:[OrderID]],Orders[],MATCH(OrderLines[[#Headers],[DiscountPct]],Orders[#Headers],0),FALSE)</f>
        <v>7.0000000000000007E-2</v>
      </c>
      <c r="K260" t="str" cm="1">
        <f t="array" ref="K260">VLOOKUP(OrderLines[[#This Row],[OrderID]:[OrderID]],Orders[],MATCH(OrderLines[[#Headers],[PaymentType]],Orders[#Headers],0),FALSE)</f>
        <v>Card</v>
      </c>
      <c r="L260" t="str" cm="1">
        <f t="array" ref="L260">VLOOKUP(OrderLines[[#This Row],[OrderID]:[OrderID]],Orders[],MATCH(OrderLines[[#Headers],[Shift]],Orders[#Headers],0),FALSE)</f>
        <v>Lunch</v>
      </c>
      <c r="M260" s="8">
        <f>(OrderLines[[#This Row],[Qty]]*OrderLines[[#This Row],[UnitPrice]])*(1-OrderLines[[#This Row],[DiscountPct]])</f>
        <v>26.439899999999998</v>
      </c>
      <c r="N260" t="str">
        <f>IF(AND(COUNTIFS(OrderLines[OrderID],OrderLines[[#This Row],[OrderID]],OrderLines[Category],"Hot Meal"),COUNTIFS(OrderLines[OrderID],OrderLines[[#This Row],[OrderID]],OrderLines[Category],"Beverage")),"Combo","Single")</f>
        <v>Single</v>
      </c>
      <c r="O260" s="8" t="str" cm="1">
        <f t="array" ref="O260">IF(SUMPRODUCT(OrderLines[UnitPrice],OrderLines[Qty],OrderLines[DiscountPct],--(OrderLines[OrderID] = OrderLines[[#This Row],[OrderID]]))&gt;40,"High Discount","Ok")</f>
        <v>Ok</v>
      </c>
      <c r="P260">
        <f>OrderLines[[#This Row],[UnitCost]]*OrderLines[[#This Row],[Qty]]</f>
        <v>13.89</v>
      </c>
      <c r="Q260" s="8">
        <f>OrderLines[[#This Row],[LineNetAmount]]-OrderLines[[#This Row],[Food Cost]]</f>
        <v>12.549899999999997</v>
      </c>
    </row>
    <row r="261" spans="1:17" x14ac:dyDescent="0.3">
      <c r="A261" t="s">
        <v>145</v>
      </c>
      <c r="B261" t="s">
        <v>408</v>
      </c>
      <c r="C261">
        <v>1</v>
      </c>
      <c r="D261" cm="1">
        <f t="array" ref="D261">VLOOKUP(OrderLines[[#This Row],[SKU]:[SKU]],Menu[],MATCH(OrderLines[[#Headers],[UnitPrice]],Menu[#Headers],0),FALSE)</f>
        <v>70.540000000000006</v>
      </c>
      <c r="E261" cm="1">
        <f t="array" ref="E261">VLOOKUP(OrderLines[[#This Row],[SKU]:[SKU]],Menu[],MATCH(OrderLines[[#Headers],[UnitCost]],Menu[#Headers],0),FALSE)</f>
        <v>35.81</v>
      </c>
      <c r="F261" t="str" cm="1">
        <f t="array" ref="F261">VLOOKUP(OrderLines[[#This Row],[SKU]:[SKU]],Menu[],MATCH(OrderLines[[#Headers],[Category]],Menu[#Headers],0),FALSE)</f>
        <v>Snack</v>
      </c>
      <c r="G261" t="str" cm="1">
        <f t="array" ref="G261">_xlfn.TEXTJOIN("+",TRUE,_xlfn._xlws.SORT(_xlfn.UNIQUE(_xlfn._xlws.FILTER(OrderLines[Category],OrderLines[OrderID]=OrderLines[[#This Row],[OrderID]]))))</f>
        <v>Beverage+Dessert+Snack</v>
      </c>
      <c r="H261" s="2" cm="1">
        <f t="array" ref="H261">INT(VLOOKUP(OrderLines[[#This Row],[OrderID]:[OrderID]],Orders[],MATCH(OrderLines[[#Headers],[OrderDateTime]],Orders[#Headers],0),FALSE))</f>
        <v>45870</v>
      </c>
      <c r="I261" t="str" cm="1">
        <f t="array" ref="I261">VLOOKUP(OrderLines[[#This Row],[OrderID]:[OrderID]],Orders[],MATCH(OrderLines[[#Headers],[Branch]],Orders[#Headers],0),FALSE)</f>
        <v>Plant 1 Canteen</v>
      </c>
      <c r="J261" cm="1">
        <f t="array" ref="J261">VLOOKUP(OrderLines[[#This Row],[OrderID]:[OrderID]],Orders[],MATCH(OrderLines[[#Headers],[DiscountPct]],Orders[#Headers],0),FALSE)</f>
        <v>7.0000000000000007E-2</v>
      </c>
      <c r="K261" t="str" cm="1">
        <f t="array" ref="K261">VLOOKUP(OrderLines[[#This Row],[OrderID]:[OrderID]],Orders[],MATCH(OrderLines[[#Headers],[PaymentType]],Orders[#Headers],0),FALSE)</f>
        <v>Card</v>
      </c>
      <c r="L261" t="str" cm="1">
        <f t="array" ref="L261">VLOOKUP(OrderLines[[#This Row],[OrderID]:[OrderID]],Orders[],MATCH(OrderLines[[#Headers],[Shift]],Orders[#Headers],0),FALSE)</f>
        <v>Lunch</v>
      </c>
      <c r="M261" s="8">
        <f>(OrderLines[[#This Row],[Qty]]*OrderLines[[#This Row],[UnitPrice]])*(1-OrderLines[[#This Row],[DiscountPct]])</f>
        <v>65.602199999999996</v>
      </c>
      <c r="N261" t="str">
        <f>IF(AND(COUNTIFS(OrderLines[OrderID],OrderLines[[#This Row],[OrderID]],OrderLines[Category],"Hot Meal"),COUNTIFS(OrderLines[OrderID],OrderLines[[#This Row],[OrderID]],OrderLines[Category],"Beverage")),"Combo","Single")</f>
        <v>Single</v>
      </c>
      <c r="O261" s="8" t="str" cm="1">
        <f t="array" ref="O261">IF(SUMPRODUCT(OrderLines[UnitPrice],OrderLines[Qty],OrderLines[DiscountPct],--(OrderLines[OrderID] = OrderLines[[#This Row],[OrderID]]))&gt;40,"High Discount","Ok")</f>
        <v>Ok</v>
      </c>
      <c r="P261">
        <f>OrderLines[[#This Row],[UnitCost]]*OrderLines[[#This Row],[Qty]]</f>
        <v>35.81</v>
      </c>
      <c r="Q261" s="8">
        <f>OrderLines[[#This Row],[LineNetAmount]]-OrderLines[[#This Row],[Food Cost]]</f>
        <v>29.792199999999994</v>
      </c>
    </row>
    <row r="262" spans="1:17" x14ac:dyDescent="0.3">
      <c r="A262" t="s">
        <v>145</v>
      </c>
      <c r="B262" t="s">
        <v>418</v>
      </c>
      <c r="C262">
        <v>1</v>
      </c>
      <c r="D262" cm="1">
        <f t="array" ref="D262">VLOOKUP(OrderLines[[#This Row],[SKU]:[SKU]],Menu[],MATCH(OrderLines[[#Headers],[UnitPrice]],Menu[#Headers],0),FALSE)</f>
        <v>39.950000000000003</v>
      </c>
      <c r="E262" cm="1">
        <f t="array" ref="E262">VLOOKUP(OrderLines[[#This Row],[SKU]:[SKU]],Menu[],MATCH(OrderLines[[#Headers],[UnitCost]],Menu[#Headers],0),FALSE)</f>
        <v>15.51</v>
      </c>
      <c r="F262" t="str" cm="1">
        <f t="array" ref="F262">VLOOKUP(OrderLines[[#This Row],[SKU]:[SKU]],Menu[],MATCH(OrderLines[[#Headers],[Category]],Menu[#Headers],0),FALSE)</f>
        <v>Snack</v>
      </c>
      <c r="G262" t="str" cm="1">
        <f t="array" ref="G262">_xlfn.TEXTJOIN("+",TRUE,_xlfn._xlws.SORT(_xlfn.UNIQUE(_xlfn._xlws.FILTER(OrderLines[Category],OrderLines[OrderID]=OrderLines[[#This Row],[OrderID]]))))</f>
        <v>Beverage+Dessert+Snack</v>
      </c>
      <c r="H262" s="2" cm="1">
        <f t="array" ref="H262">INT(VLOOKUP(OrderLines[[#This Row],[OrderID]:[OrderID]],Orders[],MATCH(OrderLines[[#Headers],[OrderDateTime]],Orders[#Headers],0),FALSE))</f>
        <v>45870</v>
      </c>
      <c r="I262" t="str" cm="1">
        <f t="array" ref="I262">VLOOKUP(OrderLines[[#This Row],[OrderID]:[OrderID]],Orders[],MATCH(OrderLines[[#Headers],[Branch]],Orders[#Headers],0),FALSE)</f>
        <v>Plant 1 Canteen</v>
      </c>
      <c r="J262" cm="1">
        <f t="array" ref="J262">VLOOKUP(OrderLines[[#This Row],[OrderID]:[OrderID]],Orders[],MATCH(OrderLines[[#Headers],[DiscountPct]],Orders[#Headers],0),FALSE)</f>
        <v>7.0000000000000007E-2</v>
      </c>
      <c r="K262" t="str" cm="1">
        <f t="array" ref="K262">VLOOKUP(OrderLines[[#This Row],[OrderID]:[OrderID]],Orders[],MATCH(OrderLines[[#Headers],[PaymentType]],Orders[#Headers],0),FALSE)</f>
        <v>Card</v>
      </c>
      <c r="L262" t="str" cm="1">
        <f t="array" ref="L262">VLOOKUP(OrderLines[[#This Row],[OrderID]:[OrderID]],Orders[],MATCH(OrderLines[[#Headers],[Shift]],Orders[#Headers],0),FALSE)</f>
        <v>Lunch</v>
      </c>
      <c r="M262" s="8">
        <f>(OrderLines[[#This Row],[Qty]]*OrderLines[[#This Row],[UnitPrice]])*(1-OrderLines[[#This Row],[DiscountPct]])</f>
        <v>37.153500000000001</v>
      </c>
      <c r="N262" t="str">
        <f>IF(AND(COUNTIFS(OrderLines[OrderID],OrderLines[[#This Row],[OrderID]],OrderLines[Category],"Hot Meal"),COUNTIFS(OrderLines[OrderID],OrderLines[[#This Row],[OrderID]],OrderLines[Category],"Beverage")),"Combo","Single")</f>
        <v>Single</v>
      </c>
      <c r="O262" s="8" t="str" cm="1">
        <f t="array" ref="O262">IF(SUMPRODUCT(OrderLines[UnitPrice],OrderLines[Qty],OrderLines[DiscountPct],--(OrderLines[OrderID] = OrderLines[[#This Row],[OrderID]]))&gt;40,"High Discount","Ok")</f>
        <v>Ok</v>
      </c>
      <c r="P262">
        <f>OrderLines[[#This Row],[UnitCost]]*OrderLines[[#This Row],[Qty]]</f>
        <v>15.51</v>
      </c>
      <c r="Q262" s="8">
        <f>OrderLines[[#This Row],[LineNetAmount]]-OrderLines[[#This Row],[Food Cost]]</f>
        <v>21.643500000000003</v>
      </c>
    </row>
    <row r="263" spans="1:17" x14ac:dyDescent="0.3">
      <c r="A263" t="s">
        <v>146</v>
      </c>
      <c r="B263" t="s">
        <v>402</v>
      </c>
      <c r="C263">
        <v>2</v>
      </c>
      <c r="D263" cm="1">
        <f t="array" ref="D263">VLOOKUP(OrderLines[[#This Row],[SKU]:[SKU]],Menu[],MATCH(OrderLines[[#Headers],[UnitPrice]],Menu[#Headers],0),FALSE)</f>
        <v>30.34</v>
      </c>
      <c r="E263" cm="1">
        <f t="array" ref="E263">VLOOKUP(OrderLines[[#This Row],[SKU]:[SKU]],Menu[],MATCH(OrderLines[[#Headers],[UnitCost]],Menu[#Headers],0),FALSE)</f>
        <v>14.18</v>
      </c>
      <c r="F263" t="str" cm="1">
        <f t="array" ref="F263">VLOOKUP(OrderLines[[#This Row],[SKU]:[SKU]],Menu[],MATCH(OrderLines[[#Headers],[Category]],Menu[#Headers],0),FALSE)</f>
        <v>Beverage</v>
      </c>
      <c r="G263" t="str" cm="1">
        <f t="array" ref="G263">_xlfn.TEXTJOIN("+",TRUE,_xlfn._xlws.SORT(_xlfn.UNIQUE(_xlfn._xlws.FILTER(OrderLines[Category],OrderLines[OrderID]=OrderLines[[#This Row],[OrderID]]))))</f>
        <v>Beverage</v>
      </c>
      <c r="H263" s="2" cm="1">
        <f t="array" ref="H263">INT(VLOOKUP(OrderLines[[#This Row],[OrderID]:[OrderID]],Orders[],MATCH(OrderLines[[#Headers],[OrderDateTime]],Orders[#Headers],0),FALSE))</f>
        <v>45862</v>
      </c>
      <c r="I263" t="str" cm="1">
        <f t="array" ref="I263">VLOOKUP(OrderLines[[#This Row],[OrderID]:[OrderID]],Orders[],MATCH(OrderLines[[#Headers],[Branch]],Orders[#Headers],0),FALSE)</f>
        <v>Plant 2 Canteen</v>
      </c>
      <c r="J263" cm="1">
        <f t="array" ref="J263">VLOOKUP(OrderLines[[#This Row],[OrderID]:[OrderID]],Orders[],MATCH(OrderLines[[#Headers],[DiscountPct]],Orders[#Headers],0),FALSE)</f>
        <v>7.0000000000000007E-2</v>
      </c>
      <c r="K263" t="str" cm="1">
        <f t="array" ref="K263">VLOOKUP(OrderLines[[#This Row],[OrderID]:[OrderID]],Orders[],MATCH(OrderLines[[#Headers],[PaymentType]],Orders[#Headers],0),FALSE)</f>
        <v>UPI</v>
      </c>
      <c r="L263" t="str" cm="1">
        <f t="array" ref="L263">VLOOKUP(OrderLines[[#This Row],[OrderID]:[OrderID]],Orders[],MATCH(OrderLines[[#Headers],[Shift]],Orders[#Headers],0),FALSE)</f>
        <v>Dinner</v>
      </c>
      <c r="M263" s="8">
        <f>(OrderLines[[#This Row],[Qty]]*OrderLines[[#This Row],[UnitPrice]])*(1-OrderLines[[#This Row],[DiscountPct]])</f>
        <v>56.432399999999994</v>
      </c>
      <c r="N263" t="str">
        <f>IF(AND(COUNTIFS(OrderLines[OrderID],OrderLines[[#This Row],[OrderID]],OrderLines[Category],"Hot Meal"),COUNTIFS(OrderLines[OrderID],OrderLines[[#This Row],[OrderID]],OrderLines[Category],"Beverage")),"Combo","Single")</f>
        <v>Single</v>
      </c>
      <c r="O263" s="8" t="str" cm="1">
        <f t="array" ref="O263">IF(SUMPRODUCT(OrderLines[UnitPrice],OrderLines[Qty],OrderLines[DiscountPct],--(OrderLines[OrderID] = OrderLines[[#This Row],[OrderID]]))&gt;40,"High Discount","Ok")</f>
        <v>Ok</v>
      </c>
      <c r="P263">
        <f>OrderLines[[#This Row],[UnitCost]]*OrderLines[[#This Row],[Qty]]</f>
        <v>28.36</v>
      </c>
      <c r="Q263" s="8">
        <f>OrderLines[[#This Row],[LineNetAmount]]-OrderLines[[#This Row],[Food Cost]]</f>
        <v>28.072399999999995</v>
      </c>
    </row>
    <row r="264" spans="1:17" x14ac:dyDescent="0.3">
      <c r="A264" t="s">
        <v>147</v>
      </c>
      <c r="B264" t="s">
        <v>402</v>
      </c>
      <c r="C264">
        <v>2</v>
      </c>
      <c r="D264" cm="1">
        <f t="array" ref="D264">VLOOKUP(OrderLines[[#This Row],[SKU]:[SKU]],Menu[],MATCH(OrderLines[[#Headers],[UnitPrice]],Menu[#Headers],0),FALSE)</f>
        <v>30.34</v>
      </c>
      <c r="E264" cm="1">
        <f t="array" ref="E264">VLOOKUP(OrderLines[[#This Row],[SKU]:[SKU]],Menu[],MATCH(OrderLines[[#Headers],[UnitCost]],Menu[#Headers],0),FALSE)</f>
        <v>14.18</v>
      </c>
      <c r="F264" t="str" cm="1">
        <f t="array" ref="F264">VLOOKUP(OrderLines[[#This Row],[SKU]:[SKU]],Menu[],MATCH(OrderLines[[#Headers],[Category]],Menu[#Headers],0),FALSE)</f>
        <v>Beverage</v>
      </c>
      <c r="G264" t="str" cm="1">
        <f t="array" ref="G264">_xlfn.TEXTJOIN("+",TRUE,_xlfn._xlws.SORT(_xlfn.UNIQUE(_xlfn._xlws.FILTER(OrderLines[Category],OrderLines[OrderID]=OrderLines[[#This Row],[OrderID]]))))</f>
        <v>Beverage+Dessert+Hot Meal</v>
      </c>
      <c r="H264" s="2" cm="1">
        <f t="array" ref="H264">INT(VLOOKUP(OrderLines[[#This Row],[OrderID]:[OrderID]],Orders[],MATCH(OrderLines[[#Headers],[OrderDateTime]],Orders[#Headers],0),FALSE))</f>
        <v>45871</v>
      </c>
      <c r="I264" t="str" cm="1">
        <f t="array" ref="I264">VLOOKUP(OrderLines[[#This Row],[OrderID]:[OrderID]],Orders[],MATCH(OrderLines[[#Headers],[Branch]],Orders[#Headers],0),FALSE)</f>
        <v>Plant 1 Canteen</v>
      </c>
      <c r="J264" cm="1">
        <f t="array" ref="J264">VLOOKUP(OrderLines[[#This Row],[OrderID]:[OrderID]],Orders[],MATCH(OrderLines[[#Headers],[DiscountPct]],Orders[#Headers],0),FALSE)</f>
        <v>7.0000000000000007E-2</v>
      </c>
      <c r="K264" t="str" cm="1">
        <f t="array" ref="K264">VLOOKUP(OrderLines[[#This Row],[OrderID]:[OrderID]],Orders[],MATCH(OrderLines[[#Headers],[PaymentType]],Orders[#Headers],0),FALSE)</f>
        <v>Card</v>
      </c>
      <c r="L264" t="str" cm="1">
        <f t="array" ref="L264">VLOOKUP(OrderLines[[#This Row],[OrderID]:[OrderID]],Orders[],MATCH(OrderLines[[#Headers],[Shift]],Orders[#Headers],0),FALSE)</f>
        <v>Dinner</v>
      </c>
      <c r="M264" s="8">
        <f>(OrderLines[[#This Row],[Qty]]*OrderLines[[#This Row],[UnitPrice]])*(1-OrderLines[[#This Row],[DiscountPct]])</f>
        <v>56.432399999999994</v>
      </c>
      <c r="N264" t="str">
        <f>IF(AND(COUNTIFS(OrderLines[OrderID],OrderLines[[#This Row],[OrderID]],OrderLines[Category],"Hot Meal"),COUNTIFS(OrderLines[OrderID],OrderLines[[#This Row],[OrderID]],OrderLines[Category],"Beverage")),"Combo","Single")</f>
        <v>Combo</v>
      </c>
      <c r="O264" s="8" t="str" cm="1">
        <f t="array" ref="O264">IF(SUMPRODUCT(OrderLines[UnitPrice],OrderLines[Qty],OrderLines[DiscountPct],--(OrderLines[OrderID] = OrderLines[[#This Row],[OrderID]]))&gt;40,"High Discount","Ok")</f>
        <v>High Discount</v>
      </c>
      <c r="P264">
        <f>OrderLines[[#This Row],[UnitCost]]*OrderLines[[#This Row],[Qty]]</f>
        <v>28.36</v>
      </c>
      <c r="Q264" s="8">
        <f>OrderLines[[#This Row],[LineNetAmount]]-OrderLines[[#This Row],[Food Cost]]</f>
        <v>28.072399999999995</v>
      </c>
    </row>
    <row r="265" spans="1:17" x14ac:dyDescent="0.3">
      <c r="A265" t="s">
        <v>147</v>
      </c>
      <c r="B265" t="s">
        <v>416</v>
      </c>
      <c r="C265">
        <v>2</v>
      </c>
      <c r="D265" cm="1">
        <f t="array" ref="D265">VLOOKUP(OrderLines[[#This Row],[SKU]:[SKU]],Menu[],MATCH(OrderLines[[#Headers],[UnitPrice]],Menu[#Headers],0),FALSE)</f>
        <v>227.61</v>
      </c>
      <c r="E265" cm="1">
        <f t="array" ref="E265">VLOOKUP(OrderLines[[#This Row],[SKU]:[SKU]],Menu[],MATCH(OrderLines[[#Headers],[UnitCost]],Menu[#Headers],0),FALSE)</f>
        <v>96.22</v>
      </c>
      <c r="F265" t="str" cm="1">
        <f t="array" ref="F265">VLOOKUP(OrderLines[[#This Row],[SKU]:[SKU]],Menu[],MATCH(OrderLines[[#Headers],[Category]],Menu[#Headers],0),FALSE)</f>
        <v>Hot Meal</v>
      </c>
      <c r="G265" t="str" cm="1">
        <f t="array" ref="G265">_xlfn.TEXTJOIN("+",TRUE,_xlfn._xlws.SORT(_xlfn.UNIQUE(_xlfn._xlws.FILTER(OrderLines[Category],OrderLines[OrderID]=OrderLines[[#This Row],[OrderID]]))))</f>
        <v>Beverage+Dessert+Hot Meal</v>
      </c>
      <c r="H265" s="2" cm="1">
        <f t="array" ref="H265">INT(VLOOKUP(OrderLines[[#This Row],[OrderID]:[OrderID]],Orders[],MATCH(OrderLines[[#Headers],[OrderDateTime]],Orders[#Headers],0),FALSE))</f>
        <v>45871</v>
      </c>
      <c r="I265" t="str" cm="1">
        <f t="array" ref="I265">VLOOKUP(OrderLines[[#This Row],[OrderID]:[OrderID]],Orders[],MATCH(OrderLines[[#Headers],[Branch]],Orders[#Headers],0),FALSE)</f>
        <v>Plant 1 Canteen</v>
      </c>
      <c r="J265" cm="1">
        <f t="array" ref="J265">VLOOKUP(OrderLines[[#This Row],[OrderID]:[OrderID]],Orders[],MATCH(OrderLines[[#Headers],[DiscountPct]],Orders[#Headers],0),FALSE)</f>
        <v>7.0000000000000007E-2</v>
      </c>
      <c r="K265" t="str" cm="1">
        <f t="array" ref="K265">VLOOKUP(OrderLines[[#This Row],[OrderID]:[OrderID]],Orders[],MATCH(OrderLines[[#Headers],[PaymentType]],Orders[#Headers],0),FALSE)</f>
        <v>Card</v>
      </c>
      <c r="L265" t="str" cm="1">
        <f t="array" ref="L265">VLOOKUP(OrderLines[[#This Row],[OrderID]:[OrderID]],Orders[],MATCH(OrderLines[[#Headers],[Shift]],Orders[#Headers],0),FALSE)</f>
        <v>Dinner</v>
      </c>
      <c r="M265" s="8">
        <f>(OrderLines[[#This Row],[Qty]]*OrderLines[[#This Row],[UnitPrice]])*(1-OrderLines[[#This Row],[DiscountPct]])</f>
        <v>423.3546</v>
      </c>
      <c r="N265" t="str">
        <f>IF(AND(COUNTIFS(OrderLines[OrderID],OrderLines[[#This Row],[OrderID]],OrderLines[Category],"Hot Meal"),COUNTIFS(OrderLines[OrderID],OrderLines[[#This Row],[OrderID]],OrderLines[Category],"Beverage")),"Combo","Single")</f>
        <v>Combo</v>
      </c>
      <c r="O265" s="8" t="str" cm="1">
        <f t="array" ref="O265">IF(SUMPRODUCT(OrderLines[UnitPrice],OrderLines[Qty],OrderLines[DiscountPct],--(OrderLines[OrderID] = OrderLines[[#This Row],[OrderID]]))&gt;40,"High Discount","Ok")</f>
        <v>High Discount</v>
      </c>
      <c r="P265">
        <f>OrderLines[[#This Row],[UnitCost]]*OrderLines[[#This Row],[Qty]]</f>
        <v>192.44</v>
      </c>
      <c r="Q265" s="8">
        <f>OrderLines[[#This Row],[LineNetAmount]]-OrderLines[[#This Row],[Food Cost]]</f>
        <v>230.91460000000001</v>
      </c>
    </row>
    <row r="266" spans="1:17" x14ac:dyDescent="0.3">
      <c r="A266" t="s">
        <v>147</v>
      </c>
      <c r="B266" t="s">
        <v>412</v>
      </c>
      <c r="C266">
        <v>1</v>
      </c>
      <c r="D266" cm="1">
        <f t="array" ref="D266">VLOOKUP(OrderLines[[#This Row],[SKU]:[SKU]],Menu[],MATCH(OrderLines[[#Headers],[UnitPrice]],Menu[#Headers],0),FALSE)</f>
        <v>57.07</v>
      </c>
      <c r="E266" cm="1">
        <f t="array" ref="E266">VLOOKUP(OrderLines[[#This Row],[SKU]:[SKU]],Menu[],MATCH(OrderLines[[#Headers],[UnitCost]],Menu[#Headers],0),FALSE)</f>
        <v>29.14</v>
      </c>
      <c r="F266" t="str" cm="1">
        <f t="array" ref="F266">VLOOKUP(OrderLines[[#This Row],[SKU]:[SKU]],Menu[],MATCH(OrderLines[[#Headers],[Category]],Menu[#Headers],0),FALSE)</f>
        <v>Dessert</v>
      </c>
      <c r="G266" t="str" cm="1">
        <f t="array" ref="G266">_xlfn.TEXTJOIN("+",TRUE,_xlfn._xlws.SORT(_xlfn.UNIQUE(_xlfn._xlws.FILTER(OrderLines[Category],OrderLines[OrderID]=OrderLines[[#This Row],[OrderID]]))))</f>
        <v>Beverage+Dessert+Hot Meal</v>
      </c>
      <c r="H266" s="2" cm="1">
        <f t="array" ref="H266">INT(VLOOKUP(OrderLines[[#This Row],[OrderID]:[OrderID]],Orders[],MATCH(OrderLines[[#Headers],[OrderDateTime]],Orders[#Headers],0),FALSE))</f>
        <v>45871</v>
      </c>
      <c r="I266" t="str" cm="1">
        <f t="array" ref="I266">VLOOKUP(OrderLines[[#This Row],[OrderID]:[OrderID]],Orders[],MATCH(OrderLines[[#Headers],[Branch]],Orders[#Headers],0),FALSE)</f>
        <v>Plant 1 Canteen</v>
      </c>
      <c r="J266" cm="1">
        <f t="array" ref="J266">VLOOKUP(OrderLines[[#This Row],[OrderID]:[OrderID]],Orders[],MATCH(OrderLines[[#Headers],[DiscountPct]],Orders[#Headers],0),FALSE)</f>
        <v>7.0000000000000007E-2</v>
      </c>
      <c r="K266" t="str" cm="1">
        <f t="array" ref="K266">VLOOKUP(OrderLines[[#This Row],[OrderID]:[OrderID]],Orders[],MATCH(OrderLines[[#Headers],[PaymentType]],Orders[#Headers],0),FALSE)</f>
        <v>Card</v>
      </c>
      <c r="L266" t="str" cm="1">
        <f t="array" ref="L266">VLOOKUP(OrderLines[[#This Row],[OrderID]:[OrderID]],Orders[],MATCH(OrderLines[[#Headers],[Shift]],Orders[#Headers],0),FALSE)</f>
        <v>Dinner</v>
      </c>
      <c r="M266" s="8">
        <f>(OrderLines[[#This Row],[Qty]]*OrderLines[[#This Row],[UnitPrice]])*(1-OrderLines[[#This Row],[DiscountPct]])</f>
        <v>53.075099999999999</v>
      </c>
      <c r="N266" t="str">
        <f>IF(AND(COUNTIFS(OrderLines[OrderID],OrderLines[[#This Row],[OrderID]],OrderLines[Category],"Hot Meal"),COUNTIFS(OrderLines[OrderID],OrderLines[[#This Row],[OrderID]],OrderLines[Category],"Beverage")),"Combo","Single")</f>
        <v>Combo</v>
      </c>
      <c r="O266" s="8" t="str" cm="1">
        <f t="array" ref="O266">IF(SUMPRODUCT(OrderLines[UnitPrice],OrderLines[Qty],OrderLines[DiscountPct],--(OrderLines[OrderID] = OrderLines[[#This Row],[OrderID]]))&gt;40,"High Discount","Ok")</f>
        <v>High Discount</v>
      </c>
      <c r="P266">
        <f>OrderLines[[#This Row],[UnitCost]]*OrderLines[[#This Row],[Qty]]</f>
        <v>29.14</v>
      </c>
      <c r="Q266" s="8">
        <f>OrderLines[[#This Row],[LineNetAmount]]-OrderLines[[#This Row],[Food Cost]]</f>
        <v>23.935099999999998</v>
      </c>
    </row>
    <row r="267" spans="1:17" x14ac:dyDescent="0.3">
      <c r="A267" t="s">
        <v>147</v>
      </c>
      <c r="B267" t="s">
        <v>407</v>
      </c>
      <c r="C267">
        <v>1</v>
      </c>
      <c r="D267" cm="1">
        <f t="array" ref="D267">VLOOKUP(OrderLines[[#This Row],[SKU]:[SKU]],Menu[],MATCH(OrderLines[[#Headers],[UnitPrice]],Menu[#Headers],0),FALSE)</f>
        <v>246.09</v>
      </c>
      <c r="E267" cm="1">
        <f t="array" ref="E267">VLOOKUP(OrderLines[[#This Row],[SKU]:[SKU]],Menu[],MATCH(OrderLines[[#Headers],[UnitCost]],Menu[#Headers],0),FALSE)</f>
        <v>112.08</v>
      </c>
      <c r="F267" t="str" cm="1">
        <f t="array" ref="F267">VLOOKUP(OrderLines[[#This Row],[SKU]:[SKU]],Menu[],MATCH(OrderLines[[#Headers],[Category]],Menu[#Headers],0),FALSE)</f>
        <v>Hot Meal</v>
      </c>
      <c r="G267" t="str" cm="1">
        <f t="array" ref="G267">_xlfn.TEXTJOIN("+",TRUE,_xlfn._xlws.SORT(_xlfn.UNIQUE(_xlfn._xlws.FILTER(OrderLines[Category],OrderLines[OrderID]=OrderLines[[#This Row],[OrderID]]))))</f>
        <v>Beverage+Dessert+Hot Meal</v>
      </c>
      <c r="H267" s="2" cm="1">
        <f t="array" ref="H267">INT(VLOOKUP(OrderLines[[#This Row],[OrderID]:[OrderID]],Orders[],MATCH(OrderLines[[#Headers],[OrderDateTime]],Orders[#Headers],0),FALSE))</f>
        <v>45871</v>
      </c>
      <c r="I267" t="str" cm="1">
        <f t="array" ref="I267">VLOOKUP(OrderLines[[#This Row],[OrderID]:[OrderID]],Orders[],MATCH(OrderLines[[#Headers],[Branch]],Orders[#Headers],0),FALSE)</f>
        <v>Plant 1 Canteen</v>
      </c>
      <c r="J267" cm="1">
        <f t="array" ref="J267">VLOOKUP(OrderLines[[#This Row],[OrderID]:[OrderID]],Orders[],MATCH(OrderLines[[#Headers],[DiscountPct]],Orders[#Headers],0),FALSE)</f>
        <v>7.0000000000000007E-2</v>
      </c>
      <c r="K267" t="str" cm="1">
        <f t="array" ref="K267">VLOOKUP(OrderLines[[#This Row],[OrderID]:[OrderID]],Orders[],MATCH(OrderLines[[#Headers],[PaymentType]],Orders[#Headers],0),FALSE)</f>
        <v>Card</v>
      </c>
      <c r="L267" t="str" cm="1">
        <f t="array" ref="L267">VLOOKUP(OrderLines[[#This Row],[OrderID]:[OrderID]],Orders[],MATCH(OrderLines[[#Headers],[Shift]],Orders[#Headers],0),FALSE)</f>
        <v>Dinner</v>
      </c>
      <c r="M267" s="8">
        <f>(OrderLines[[#This Row],[Qty]]*OrderLines[[#This Row],[UnitPrice]])*(1-OrderLines[[#This Row],[DiscountPct]])</f>
        <v>228.86369999999999</v>
      </c>
      <c r="N267" t="str">
        <f>IF(AND(COUNTIFS(OrderLines[OrderID],OrderLines[[#This Row],[OrderID]],OrderLines[Category],"Hot Meal"),COUNTIFS(OrderLines[OrderID],OrderLines[[#This Row],[OrderID]],OrderLines[Category],"Beverage")),"Combo","Single")</f>
        <v>Combo</v>
      </c>
      <c r="O267" s="8" t="str" cm="1">
        <f t="array" ref="O267">IF(SUMPRODUCT(OrderLines[UnitPrice],OrderLines[Qty],OrderLines[DiscountPct],--(OrderLines[OrderID] = OrderLines[[#This Row],[OrderID]]))&gt;40,"High Discount","Ok")</f>
        <v>High Discount</v>
      </c>
      <c r="P267">
        <f>OrderLines[[#This Row],[UnitCost]]*OrderLines[[#This Row],[Qty]]</f>
        <v>112.08</v>
      </c>
      <c r="Q267" s="8">
        <f>OrderLines[[#This Row],[LineNetAmount]]-OrderLines[[#This Row],[Food Cost]]</f>
        <v>116.7837</v>
      </c>
    </row>
    <row r="268" spans="1:17" x14ac:dyDescent="0.3">
      <c r="A268" t="s">
        <v>148</v>
      </c>
      <c r="B268" t="s">
        <v>417</v>
      </c>
      <c r="C268">
        <v>2</v>
      </c>
      <c r="D268" cm="1">
        <f t="array" ref="D268">VLOOKUP(OrderLines[[#This Row],[SKU]:[SKU]],Menu[],MATCH(OrderLines[[#Headers],[UnitPrice]],Menu[#Headers],0),FALSE)</f>
        <v>146.4</v>
      </c>
      <c r="E268" cm="1">
        <f t="array" ref="E268">VLOOKUP(OrderLines[[#This Row],[SKU]:[SKU]],Menu[],MATCH(OrderLines[[#Headers],[UnitCost]],Menu[#Headers],0),FALSE)</f>
        <v>80.92</v>
      </c>
      <c r="F268" t="str" cm="1">
        <f t="array" ref="F268">VLOOKUP(OrderLines[[#This Row],[SKU]:[SKU]],Menu[],MATCH(OrderLines[[#Headers],[Category]],Menu[#Headers],0),FALSE)</f>
        <v>Hot Meal</v>
      </c>
      <c r="G268" t="str" cm="1">
        <f t="array" ref="G268">_xlfn.TEXTJOIN("+",TRUE,_xlfn._xlws.SORT(_xlfn.UNIQUE(_xlfn._xlws.FILTER(OrderLines[Category],OrderLines[OrderID]=OrderLines[[#This Row],[OrderID]]))))</f>
        <v>Beverage+Hot Meal</v>
      </c>
      <c r="H268" s="2" cm="1">
        <f t="array" ref="H268">INT(VLOOKUP(OrderLines[[#This Row],[OrderID]:[OrderID]],Orders[],MATCH(OrderLines[[#Headers],[OrderDateTime]],Orders[#Headers],0),FALSE))</f>
        <v>45886</v>
      </c>
      <c r="I268" t="str" cm="1">
        <f t="array" ref="I268">VLOOKUP(OrderLines[[#This Row],[OrderID]:[OrderID]],Orders[],MATCH(OrderLines[[#Headers],[Branch]],Orders[#Headers],0),FALSE)</f>
        <v>Plant 1 Canteen</v>
      </c>
      <c r="J268" cm="1">
        <f t="array" ref="J268">VLOOKUP(OrderLines[[#This Row],[OrderID]:[OrderID]],Orders[],MATCH(OrderLines[[#Headers],[DiscountPct]],Orders[#Headers],0),FALSE)</f>
        <v>0.03</v>
      </c>
      <c r="K268" t="str" cm="1">
        <f t="array" ref="K268">VLOOKUP(OrderLines[[#This Row],[OrderID]:[OrderID]],Orders[],MATCH(OrderLines[[#Headers],[PaymentType]],Orders[#Headers],0),FALSE)</f>
        <v>Card</v>
      </c>
      <c r="L268" t="str" cm="1">
        <f t="array" ref="L268">VLOOKUP(OrderLines[[#This Row],[OrderID]:[OrderID]],Orders[],MATCH(OrderLines[[#Headers],[Shift]],Orders[#Headers],0),FALSE)</f>
        <v>Lunch</v>
      </c>
      <c r="M268" s="8">
        <f>(OrderLines[[#This Row],[Qty]]*OrderLines[[#This Row],[UnitPrice]])*(1-OrderLines[[#This Row],[DiscountPct]])</f>
        <v>284.01600000000002</v>
      </c>
      <c r="N268" t="str">
        <f>IF(AND(COUNTIFS(OrderLines[OrderID],OrderLines[[#This Row],[OrderID]],OrderLines[Category],"Hot Meal"),COUNTIFS(OrderLines[OrderID],OrderLines[[#This Row],[OrderID]],OrderLines[Category],"Beverage")),"Combo","Single")</f>
        <v>Combo</v>
      </c>
      <c r="O268" s="8" t="str" cm="1">
        <f t="array" ref="O268">IF(SUMPRODUCT(OrderLines[UnitPrice],OrderLines[Qty],OrderLines[DiscountPct],--(OrderLines[OrderID] = OrderLines[[#This Row],[OrderID]]))&gt;40,"High Discount","Ok")</f>
        <v>Ok</v>
      </c>
      <c r="P268">
        <f>OrderLines[[#This Row],[UnitCost]]*OrderLines[[#This Row],[Qty]]</f>
        <v>161.84</v>
      </c>
      <c r="Q268" s="8">
        <f>OrderLines[[#This Row],[LineNetAmount]]-OrderLines[[#This Row],[Food Cost]]</f>
        <v>122.17600000000002</v>
      </c>
    </row>
    <row r="269" spans="1:17" x14ac:dyDescent="0.3">
      <c r="A269" t="s">
        <v>148</v>
      </c>
      <c r="B269" t="s">
        <v>404</v>
      </c>
      <c r="C269">
        <v>1</v>
      </c>
      <c r="D269" cm="1">
        <f t="array" ref="D269">VLOOKUP(OrderLines[[#This Row],[SKU]:[SKU]],Menu[],MATCH(OrderLines[[#Headers],[UnitPrice]],Menu[#Headers],0),FALSE)</f>
        <v>32.979999999999997</v>
      </c>
      <c r="E269" cm="1">
        <f t="array" ref="E269">VLOOKUP(OrderLines[[#This Row],[SKU]:[SKU]],Menu[],MATCH(OrderLines[[#Headers],[UnitCost]],Menu[#Headers],0),FALSE)</f>
        <v>11.84</v>
      </c>
      <c r="F269" t="str" cm="1">
        <f t="array" ref="F269">VLOOKUP(OrderLines[[#This Row],[SKU]:[SKU]],Menu[],MATCH(OrderLines[[#Headers],[Category]],Menu[#Headers],0),FALSE)</f>
        <v>Beverage</v>
      </c>
      <c r="G269" t="str" cm="1">
        <f t="array" ref="G269">_xlfn.TEXTJOIN("+",TRUE,_xlfn._xlws.SORT(_xlfn.UNIQUE(_xlfn._xlws.FILTER(OrderLines[Category],OrderLines[OrderID]=OrderLines[[#This Row],[OrderID]]))))</f>
        <v>Beverage+Hot Meal</v>
      </c>
      <c r="H269" s="2" cm="1">
        <f t="array" ref="H269">INT(VLOOKUP(OrderLines[[#This Row],[OrderID]:[OrderID]],Orders[],MATCH(OrderLines[[#Headers],[OrderDateTime]],Orders[#Headers],0),FALSE))</f>
        <v>45886</v>
      </c>
      <c r="I269" t="str" cm="1">
        <f t="array" ref="I269">VLOOKUP(OrderLines[[#This Row],[OrderID]:[OrderID]],Orders[],MATCH(OrderLines[[#Headers],[Branch]],Orders[#Headers],0),FALSE)</f>
        <v>Plant 1 Canteen</v>
      </c>
      <c r="J269" cm="1">
        <f t="array" ref="J269">VLOOKUP(OrderLines[[#This Row],[OrderID]:[OrderID]],Orders[],MATCH(OrderLines[[#Headers],[DiscountPct]],Orders[#Headers],0),FALSE)</f>
        <v>0.03</v>
      </c>
      <c r="K269" t="str" cm="1">
        <f t="array" ref="K269">VLOOKUP(OrderLines[[#This Row],[OrderID]:[OrderID]],Orders[],MATCH(OrderLines[[#Headers],[PaymentType]],Orders[#Headers],0),FALSE)</f>
        <v>Card</v>
      </c>
      <c r="L269" t="str" cm="1">
        <f t="array" ref="L269">VLOOKUP(OrderLines[[#This Row],[OrderID]:[OrderID]],Orders[],MATCH(OrderLines[[#Headers],[Shift]],Orders[#Headers],0),FALSE)</f>
        <v>Lunch</v>
      </c>
      <c r="M269" s="8">
        <f>(OrderLines[[#This Row],[Qty]]*OrderLines[[#This Row],[UnitPrice]])*(1-OrderLines[[#This Row],[DiscountPct]])</f>
        <v>31.990599999999997</v>
      </c>
      <c r="N269" t="str">
        <f>IF(AND(COUNTIFS(OrderLines[OrderID],OrderLines[[#This Row],[OrderID]],OrderLines[Category],"Hot Meal"),COUNTIFS(OrderLines[OrderID],OrderLines[[#This Row],[OrderID]],OrderLines[Category],"Beverage")),"Combo","Single")</f>
        <v>Combo</v>
      </c>
      <c r="O269" s="8" t="str" cm="1">
        <f t="array" ref="O269">IF(SUMPRODUCT(OrderLines[UnitPrice],OrderLines[Qty],OrderLines[DiscountPct],--(OrderLines[OrderID] = OrderLines[[#This Row],[OrderID]]))&gt;40,"High Discount","Ok")</f>
        <v>Ok</v>
      </c>
      <c r="P269">
        <f>OrderLines[[#This Row],[UnitCost]]*OrderLines[[#This Row],[Qty]]</f>
        <v>11.84</v>
      </c>
      <c r="Q269" s="8">
        <f>OrderLines[[#This Row],[LineNetAmount]]-OrderLines[[#This Row],[Food Cost]]</f>
        <v>20.150599999999997</v>
      </c>
    </row>
    <row r="270" spans="1:17" x14ac:dyDescent="0.3">
      <c r="A270" t="s">
        <v>148</v>
      </c>
      <c r="B270" t="s">
        <v>410</v>
      </c>
      <c r="C270">
        <v>1</v>
      </c>
      <c r="D270" cm="1">
        <f t="array" ref="D270">VLOOKUP(OrderLines[[#This Row],[SKU]:[SKU]],Menu[],MATCH(OrderLines[[#Headers],[UnitPrice]],Menu[#Headers],0),FALSE)</f>
        <v>20.11</v>
      </c>
      <c r="E270" cm="1">
        <f t="array" ref="E270">VLOOKUP(OrderLines[[#This Row],[SKU]:[SKU]],Menu[],MATCH(OrderLines[[#Headers],[UnitCost]],Menu[#Headers],0),FALSE)</f>
        <v>8</v>
      </c>
      <c r="F270" t="str" cm="1">
        <f t="array" ref="F270">VLOOKUP(OrderLines[[#This Row],[SKU]:[SKU]],Menu[],MATCH(OrderLines[[#Headers],[Category]],Menu[#Headers],0),FALSE)</f>
        <v>Beverage</v>
      </c>
      <c r="G270" t="str" cm="1">
        <f t="array" ref="G270">_xlfn.TEXTJOIN("+",TRUE,_xlfn._xlws.SORT(_xlfn.UNIQUE(_xlfn._xlws.FILTER(OrderLines[Category],OrderLines[OrderID]=OrderLines[[#This Row],[OrderID]]))))</f>
        <v>Beverage+Hot Meal</v>
      </c>
      <c r="H270" s="2" cm="1">
        <f t="array" ref="H270">INT(VLOOKUP(OrderLines[[#This Row],[OrderID]:[OrderID]],Orders[],MATCH(OrderLines[[#Headers],[OrderDateTime]],Orders[#Headers],0),FALSE))</f>
        <v>45886</v>
      </c>
      <c r="I270" t="str" cm="1">
        <f t="array" ref="I270">VLOOKUP(OrderLines[[#This Row],[OrderID]:[OrderID]],Orders[],MATCH(OrderLines[[#Headers],[Branch]],Orders[#Headers],0),FALSE)</f>
        <v>Plant 1 Canteen</v>
      </c>
      <c r="J270" cm="1">
        <f t="array" ref="J270">VLOOKUP(OrderLines[[#This Row],[OrderID]:[OrderID]],Orders[],MATCH(OrderLines[[#Headers],[DiscountPct]],Orders[#Headers],0),FALSE)</f>
        <v>0.03</v>
      </c>
      <c r="K270" t="str" cm="1">
        <f t="array" ref="K270">VLOOKUP(OrderLines[[#This Row],[OrderID]:[OrderID]],Orders[],MATCH(OrderLines[[#Headers],[PaymentType]],Orders[#Headers],0),FALSE)</f>
        <v>Card</v>
      </c>
      <c r="L270" t="str" cm="1">
        <f t="array" ref="L270">VLOOKUP(OrderLines[[#This Row],[OrderID]:[OrderID]],Orders[],MATCH(OrderLines[[#Headers],[Shift]],Orders[#Headers],0),FALSE)</f>
        <v>Lunch</v>
      </c>
      <c r="M270" s="8">
        <f>(OrderLines[[#This Row],[Qty]]*OrderLines[[#This Row],[UnitPrice]])*(1-OrderLines[[#This Row],[DiscountPct]])</f>
        <v>19.506699999999999</v>
      </c>
      <c r="N270" t="str">
        <f>IF(AND(COUNTIFS(OrderLines[OrderID],OrderLines[[#This Row],[OrderID]],OrderLines[Category],"Hot Meal"),COUNTIFS(OrderLines[OrderID],OrderLines[[#This Row],[OrderID]],OrderLines[Category],"Beverage")),"Combo","Single")</f>
        <v>Combo</v>
      </c>
      <c r="O270" s="8" t="str" cm="1">
        <f t="array" ref="O270">IF(SUMPRODUCT(OrderLines[UnitPrice],OrderLines[Qty],OrderLines[DiscountPct],--(OrderLines[OrderID] = OrderLines[[#This Row],[OrderID]]))&gt;40,"High Discount","Ok")</f>
        <v>Ok</v>
      </c>
      <c r="P270">
        <f>OrderLines[[#This Row],[UnitCost]]*OrderLines[[#This Row],[Qty]]</f>
        <v>8</v>
      </c>
      <c r="Q270" s="8">
        <f>OrderLines[[#This Row],[LineNetAmount]]-OrderLines[[#This Row],[Food Cost]]</f>
        <v>11.506699999999999</v>
      </c>
    </row>
    <row r="271" spans="1:17" x14ac:dyDescent="0.3">
      <c r="A271" t="s">
        <v>149</v>
      </c>
      <c r="B271" t="s">
        <v>414</v>
      </c>
      <c r="C271">
        <v>1</v>
      </c>
      <c r="D271" cm="1">
        <f t="array" ref="D271">VLOOKUP(OrderLines[[#This Row],[SKU]:[SKU]],Menu[],MATCH(OrderLines[[#Headers],[UnitPrice]],Menu[#Headers],0),FALSE)</f>
        <v>116.8</v>
      </c>
      <c r="E271" cm="1">
        <f t="array" ref="E271">VLOOKUP(OrderLines[[#This Row],[SKU]:[SKU]],Menu[],MATCH(OrderLines[[#Headers],[UnitCost]],Menu[#Headers],0),FALSE)</f>
        <v>48.97</v>
      </c>
      <c r="F271" t="str" cm="1">
        <f t="array" ref="F271">VLOOKUP(OrderLines[[#This Row],[SKU]:[SKU]],Menu[],MATCH(OrderLines[[#Headers],[Category]],Menu[#Headers],0),FALSE)</f>
        <v>Dessert</v>
      </c>
      <c r="G271" t="str" cm="1">
        <f t="array" ref="G271">_xlfn.TEXTJOIN("+",TRUE,_xlfn._xlws.SORT(_xlfn.UNIQUE(_xlfn._xlws.FILTER(OrderLines[Category],OrderLines[OrderID]=OrderLines[[#This Row],[OrderID]]))))</f>
        <v>Beverage+Dessert+Hot Meal</v>
      </c>
      <c r="H271" s="2" cm="1">
        <f t="array" ref="H271">INT(VLOOKUP(OrderLines[[#This Row],[OrderID]:[OrderID]],Orders[],MATCH(OrderLines[[#Headers],[OrderDateTime]],Orders[#Headers],0),FALSE))</f>
        <v>45866</v>
      </c>
      <c r="I271" t="str" cm="1">
        <f t="array" ref="I271">VLOOKUP(OrderLines[[#This Row],[OrderID]:[OrderID]],Orders[],MATCH(OrderLines[[#Headers],[Branch]],Orders[#Headers],0),FALSE)</f>
        <v>Head Office Café</v>
      </c>
      <c r="J271" cm="1">
        <f t="array" ref="J271">VLOOKUP(OrderLines[[#This Row],[OrderID]:[OrderID]],Orders[],MATCH(OrderLines[[#Headers],[DiscountPct]],Orders[#Headers],0),FALSE)</f>
        <v>7.0000000000000007E-2</v>
      </c>
      <c r="K271" t="str" cm="1">
        <f t="array" ref="K271">VLOOKUP(OrderLines[[#This Row],[OrderID]:[OrderID]],Orders[],MATCH(OrderLines[[#Headers],[PaymentType]],Orders[#Headers],0),FALSE)</f>
        <v>Card</v>
      </c>
      <c r="L271" t="str" cm="1">
        <f t="array" ref="L271">VLOOKUP(OrderLines[[#This Row],[OrderID]:[OrderID]],Orders[],MATCH(OrderLines[[#Headers],[Shift]],Orders[#Headers],0),FALSE)</f>
        <v>Breakfast</v>
      </c>
      <c r="M271" s="8">
        <f>(OrderLines[[#This Row],[Qty]]*OrderLines[[#This Row],[UnitPrice]])*(1-OrderLines[[#This Row],[DiscountPct]])</f>
        <v>108.624</v>
      </c>
      <c r="N271" t="str">
        <f>IF(AND(COUNTIFS(OrderLines[OrderID],OrderLines[[#This Row],[OrderID]],OrderLines[Category],"Hot Meal"),COUNTIFS(OrderLines[OrderID],OrderLines[[#This Row],[OrderID]],OrderLines[Category],"Beverage")),"Combo","Single")</f>
        <v>Combo</v>
      </c>
      <c r="O271" s="8" t="str" cm="1">
        <f t="array" ref="O271">IF(SUMPRODUCT(OrderLines[UnitPrice],OrderLines[Qty],OrderLines[DiscountPct],--(OrderLines[OrderID] = OrderLines[[#This Row],[OrderID]]))&gt;40,"High Discount","Ok")</f>
        <v>Ok</v>
      </c>
      <c r="P271">
        <f>OrderLines[[#This Row],[UnitCost]]*OrderLines[[#This Row],[Qty]]</f>
        <v>48.97</v>
      </c>
      <c r="Q271" s="8">
        <f>OrderLines[[#This Row],[LineNetAmount]]-OrderLines[[#This Row],[Food Cost]]</f>
        <v>59.653999999999996</v>
      </c>
    </row>
    <row r="272" spans="1:17" x14ac:dyDescent="0.3">
      <c r="A272" t="s">
        <v>149</v>
      </c>
      <c r="B272" t="s">
        <v>417</v>
      </c>
      <c r="C272">
        <v>2</v>
      </c>
      <c r="D272" cm="1">
        <f t="array" ref="D272">VLOOKUP(OrderLines[[#This Row],[SKU]:[SKU]],Menu[],MATCH(OrderLines[[#Headers],[UnitPrice]],Menu[#Headers],0),FALSE)</f>
        <v>146.4</v>
      </c>
      <c r="E272" cm="1">
        <f t="array" ref="E272">VLOOKUP(OrderLines[[#This Row],[SKU]:[SKU]],Menu[],MATCH(OrderLines[[#Headers],[UnitCost]],Menu[#Headers],0),FALSE)</f>
        <v>80.92</v>
      </c>
      <c r="F272" t="str" cm="1">
        <f t="array" ref="F272">VLOOKUP(OrderLines[[#This Row],[SKU]:[SKU]],Menu[],MATCH(OrderLines[[#Headers],[Category]],Menu[#Headers],0),FALSE)</f>
        <v>Hot Meal</v>
      </c>
      <c r="G272" t="str" cm="1">
        <f t="array" ref="G272">_xlfn.TEXTJOIN("+",TRUE,_xlfn._xlws.SORT(_xlfn.UNIQUE(_xlfn._xlws.FILTER(OrderLines[Category],OrderLines[OrderID]=OrderLines[[#This Row],[OrderID]]))))</f>
        <v>Beverage+Dessert+Hot Meal</v>
      </c>
      <c r="H272" s="2" cm="1">
        <f t="array" ref="H272">INT(VLOOKUP(OrderLines[[#This Row],[OrderID]:[OrderID]],Orders[],MATCH(OrderLines[[#Headers],[OrderDateTime]],Orders[#Headers],0),FALSE))</f>
        <v>45866</v>
      </c>
      <c r="I272" t="str" cm="1">
        <f t="array" ref="I272">VLOOKUP(OrderLines[[#This Row],[OrderID]:[OrderID]],Orders[],MATCH(OrderLines[[#Headers],[Branch]],Orders[#Headers],0),FALSE)</f>
        <v>Head Office Café</v>
      </c>
      <c r="J272" cm="1">
        <f t="array" ref="J272">VLOOKUP(OrderLines[[#This Row],[OrderID]:[OrderID]],Orders[],MATCH(OrderLines[[#Headers],[DiscountPct]],Orders[#Headers],0),FALSE)</f>
        <v>7.0000000000000007E-2</v>
      </c>
      <c r="K272" t="str" cm="1">
        <f t="array" ref="K272">VLOOKUP(OrderLines[[#This Row],[OrderID]:[OrderID]],Orders[],MATCH(OrderLines[[#Headers],[PaymentType]],Orders[#Headers],0),FALSE)</f>
        <v>Card</v>
      </c>
      <c r="L272" t="str" cm="1">
        <f t="array" ref="L272">VLOOKUP(OrderLines[[#This Row],[OrderID]:[OrderID]],Orders[],MATCH(OrderLines[[#Headers],[Shift]],Orders[#Headers],0),FALSE)</f>
        <v>Breakfast</v>
      </c>
      <c r="M272" s="8">
        <f>(OrderLines[[#This Row],[Qty]]*OrderLines[[#This Row],[UnitPrice]])*(1-OrderLines[[#This Row],[DiscountPct]])</f>
        <v>272.30399999999997</v>
      </c>
      <c r="N272" t="str">
        <f>IF(AND(COUNTIFS(OrderLines[OrderID],OrderLines[[#This Row],[OrderID]],OrderLines[Category],"Hot Meal"),COUNTIFS(OrderLines[OrderID],OrderLines[[#This Row],[OrderID]],OrderLines[Category],"Beverage")),"Combo","Single")</f>
        <v>Combo</v>
      </c>
      <c r="O272" s="8" t="str" cm="1">
        <f t="array" ref="O272">IF(SUMPRODUCT(OrderLines[UnitPrice],OrderLines[Qty],OrderLines[DiscountPct],--(OrderLines[OrderID] = OrderLines[[#This Row],[OrderID]]))&gt;40,"High Discount","Ok")</f>
        <v>Ok</v>
      </c>
      <c r="P272">
        <f>OrderLines[[#This Row],[UnitCost]]*OrderLines[[#This Row],[Qty]]</f>
        <v>161.84</v>
      </c>
      <c r="Q272" s="8">
        <f>OrderLines[[#This Row],[LineNetAmount]]-OrderLines[[#This Row],[Food Cost]]</f>
        <v>110.46399999999997</v>
      </c>
    </row>
    <row r="273" spans="1:17" x14ac:dyDescent="0.3">
      <c r="A273" t="s">
        <v>149</v>
      </c>
      <c r="B273" t="s">
        <v>402</v>
      </c>
      <c r="C273">
        <v>1</v>
      </c>
      <c r="D273" cm="1">
        <f t="array" ref="D273">VLOOKUP(OrderLines[[#This Row],[SKU]:[SKU]],Menu[],MATCH(OrderLines[[#Headers],[UnitPrice]],Menu[#Headers],0),FALSE)</f>
        <v>30.34</v>
      </c>
      <c r="E273" cm="1">
        <f t="array" ref="E273">VLOOKUP(OrderLines[[#This Row],[SKU]:[SKU]],Menu[],MATCH(OrderLines[[#Headers],[UnitCost]],Menu[#Headers],0),FALSE)</f>
        <v>14.18</v>
      </c>
      <c r="F273" t="str" cm="1">
        <f t="array" ref="F273">VLOOKUP(OrderLines[[#This Row],[SKU]:[SKU]],Menu[],MATCH(OrderLines[[#Headers],[Category]],Menu[#Headers],0),FALSE)</f>
        <v>Beverage</v>
      </c>
      <c r="G273" t="str" cm="1">
        <f t="array" ref="G273">_xlfn.TEXTJOIN("+",TRUE,_xlfn._xlws.SORT(_xlfn.UNIQUE(_xlfn._xlws.FILTER(OrderLines[Category],OrderLines[OrderID]=OrderLines[[#This Row],[OrderID]]))))</f>
        <v>Beverage+Dessert+Hot Meal</v>
      </c>
      <c r="H273" s="2" cm="1">
        <f t="array" ref="H273">INT(VLOOKUP(OrderLines[[#This Row],[OrderID]:[OrderID]],Orders[],MATCH(OrderLines[[#Headers],[OrderDateTime]],Orders[#Headers],0),FALSE))</f>
        <v>45866</v>
      </c>
      <c r="I273" t="str" cm="1">
        <f t="array" ref="I273">VLOOKUP(OrderLines[[#This Row],[OrderID]:[OrderID]],Orders[],MATCH(OrderLines[[#Headers],[Branch]],Orders[#Headers],0),FALSE)</f>
        <v>Head Office Café</v>
      </c>
      <c r="J273" cm="1">
        <f t="array" ref="J273">VLOOKUP(OrderLines[[#This Row],[OrderID]:[OrderID]],Orders[],MATCH(OrderLines[[#Headers],[DiscountPct]],Orders[#Headers],0),FALSE)</f>
        <v>7.0000000000000007E-2</v>
      </c>
      <c r="K273" t="str" cm="1">
        <f t="array" ref="K273">VLOOKUP(OrderLines[[#This Row],[OrderID]:[OrderID]],Orders[],MATCH(OrderLines[[#Headers],[PaymentType]],Orders[#Headers],0),FALSE)</f>
        <v>Card</v>
      </c>
      <c r="L273" t="str" cm="1">
        <f t="array" ref="L273">VLOOKUP(OrderLines[[#This Row],[OrderID]:[OrderID]],Orders[],MATCH(OrderLines[[#Headers],[Shift]],Orders[#Headers],0),FALSE)</f>
        <v>Breakfast</v>
      </c>
      <c r="M273" s="8">
        <f>(OrderLines[[#This Row],[Qty]]*OrderLines[[#This Row],[UnitPrice]])*(1-OrderLines[[#This Row],[DiscountPct]])</f>
        <v>28.216199999999997</v>
      </c>
      <c r="N273" t="str">
        <f>IF(AND(COUNTIFS(OrderLines[OrderID],OrderLines[[#This Row],[OrderID]],OrderLines[Category],"Hot Meal"),COUNTIFS(OrderLines[OrderID],OrderLines[[#This Row],[OrderID]],OrderLines[Category],"Beverage")),"Combo","Single")</f>
        <v>Combo</v>
      </c>
      <c r="O273" s="8" t="str" cm="1">
        <f t="array" ref="O273">IF(SUMPRODUCT(OrderLines[UnitPrice],OrderLines[Qty],OrderLines[DiscountPct],--(OrderLines[OrderID] = OrderLines[[#This Row],[OrderID]]))&gt;40,"High Discount","Ok")</f>
        <v>Ok</v>
      </c>
      <c r="P273">
        <f>OrderLines[[#This Row],[UnitCost]]*OrderLines[[#This Row],[Qty]]</f>
        <v>14.18</v>
      </c>
      <c r="Q273" s="8">
        <f>OrderLines[[#This Row],[LineNetAmount]]-OrderLines[[#This Row],[Food Cost]]</f>
        <v>14.036199999999997</v>
      </c>
    </row>
    <row r="274" spans="1:17" x14ac:dyDescent="0.3">
      <c r="A274" t="s">
        <v>150</v>
      </c>
      <c r="B274" t="s">
        <v>417</v>
      </c>
      <c r="C274">
        <v>1</v>
      </c>
      <c r="D274" cm="1">
        <f t="array" ref="D274">VLOOKUP(OrderLines[[#This Row],[SKU]:[SKU]],Menu[],MATCH(OrderLines[[#Headers],[UnitPrice]],Menu[#Headers],0),FALSE)</f>
        <v>146.4</v>
      </c>
      <c r="E274" cm="1">
        <f t="array" ref="E274">VLOOKUP(OrderLines[[#This Row],[SKU]:[SKU]],Menu[],MATCH(OrderLines[[#Headers],[UnitCost]],Menu[#Headers],0),FALSE)</f>
        <v>80.92</v>
      </c>
      <c r="F274" t="str" cm="1">
        <f t="array" ref="F274">VLOOKUP(OrderLines[[#This Row],[SKU]:[SKU]],Menu[],MATCH(OrderLines[[#Headers],[Category]],Menu[#Headers],0),FALSE)</f>
        <v>Hot Meal</v>
      </c>
      <c r="G274" t="str" cm="1">
        <f t="array" ref="G274">_xlfn.TEXTJOIN("+",TRUE,_xlfn._xlws.SORT(_xlfn.UNIQUE(_xlfn._xlws.FILTER(OrderLines[Category],OrderLines[OrderID]=OrderLines[[#This Row],[OrderID]]))))</f>
        <v>Dessert+Hot Meal</v>
      </c>
      <c r="H274" s="2" cm="1">
        <f t="array" ref="H274">INT(VLOOKUP(OrderLines[[#This Row],[OrderID]:[OrderID]],Orders[],MATCH(OrderLines[[#Headers],[OrderDateTime]],Orders[#Headers],0),FALSE))</f>
        <v>45840</v>
      </c>
      <c r="I274" t="str" cm="1">
        <f t="array" ref="I274">VLOOKUP(OrderLines[[#This Row],[OrderID]:[OrderID]],Orders[],MATCH(OrderLines[[#Headers],[Branch]],Orders[#Headers],0),FALSE)</f>
        <v>Head Office Café</v>
      </c>
      <c r="J274" cm="1">
        <f t="array" ref="J274">VLOOKUP(OrderLines[[#This Row],[OrderID]:[OrderID]],Orders[],MATCH(OrderLines[[#Headers],[DiscountPct]],Orders[#Headers],0),FALSE)</f>
        <v>7.0000000000000007E-2</v>
      </c>
      <c r="K274" t="str" cm="1">
        <f t="array" ref="K274">VLOOKUP(OrderLines[[#This Row],[OrderID]:[OrderID]],Orders[],MATCH(OrderLines[[#Headers],[PaymentType]],Orders[#Headers],0),FALSE)</f>
        <v>Cash</v>
      </c>
      <c r="L274" t="str" cm="1">
        <f t="array" ref="L274">VLOOKUP(OrderLines[[#This Row],[OrderID]:[OrderID]],Orders[],MATCH(OrderLines[[#Headers],[Shift]],Orders[#Headers],0),FALSE)</f>
        <v>Breakfast</v>
      </c>
      <c r="M274" s="8">
        <f>(OrderLines[[#This Row],[Qty]]*OrderLines[[#This Row],[UnitPrice]])*(1-OrderLines[[#This Row],[DiscountPct]])</f>
        <v>136.15199999999999</v>
      </c>
      <c r="N274" t="str">
        <f>IF(AND(COUNTIFS(OrderLines[OrderID],OrderLines[[#This Row],[OrderID]],OrderLines[Category],"Hot Meal"),COUNTIFS(OrderLines[OrderID],OrderLines[[#This Row],[OrderID]],OrderLines[Category],"Beverage")),"Combo","Single")</f>
        <v>Single</v>
      </c>
      <c r="O274" s="8" t="str" cm="1">
        <f t="array" ref="O274">IF(SUMPRODUCT(OrderLines[UnitPrice],OrderLines[Qty],OrderLines[DiscountPct],--(OrderLines[OrderID] = OrderLines[[#This Row],[OrderID]]))&gt;40,"High Discount","Ok")</f>
        <v>Ok</v>
      </c>
      <c r="P274">
        <f>OrderLines[[#This Row],[UnitCost]]*OrderLines[[#This Row],[Qty]]</f>
        <v>80.92</v>
      </c>
      <c r="Q274" s="8">
        <f>OrderLines[[#This Row],[LineNetAmount]]-OrderLines[[#This Row],[Food Cost]]</f>
        <v>55.231999999999985</v>
      </c>
    </row>
    <row r="275" spans="1:17" x14ac:dyDescent="0.3">
      <c r="A275" t="s">
        <v>150</v>
      </c>
      <c r="B275" t="s">
        <v>405</v>
      </c>
      <c r="C275">
        <v>1</v>
      </c>
      <c r="D275" cm="1">
        <f t="array" ref="D275">VLOOKUP(OrderLines[[#This Row],[SKU]:[SKU]],Menu[],MATCH(OrderLines[[#Headers],[UnitPrice]],Menu[#Headers],0),FALSE)</f>
        <v>170.83</v>
      </c>
      <c r="E275" cm="1">
        <f t="array" ref="E275">VLOOKUP(OrderLines[[#This Row],[SKU]:[SKU]],Menu[],MATCH(OrderLines[[#Headers],[UnitCost]],Menu[#Headers],0),FALSE)</f>
        <v>74.069999999999993</v>
      </c>
      <c r="F275" t="str" cm="1">
        <f t="array" ref="F275">VLOOKUP(OrderLines[[#This Row],[SKU]:[SKU]],Menu[],MATCH(OrderLines[[#Headers],[Category]],Menu[#Headers],0),FALSE)</f>
        <v>Hot Meal</v>
      </c>
      <c r="G275" t="str" cm="1">
        <f t="array" ref="G275">_xlfn.TEXTJOIN("+",TRUE,_xlfn._xlws.SORT(_xlfn.UNIQUE(_xlfn._xlws.FILTER(OrderLines[Category],OrderLines[OrderID]=OrderLines[[#This Row],[OrderID]]))))</f>
        <v>Dessert+Hot Meal</v>
      </c>
      <c r="H275" s="2" cm="1">
        <f t="array" ref="H275">INT(VLOOKUP(OrderLines[[#This Row],[OrderID]:[OrderID]],Orders[],MATCH(OrderLines[[#Headers],[OrderDateTime]],Orders[#Headers],0),FALSE))</f>
        <v>45840</v>
      </c>
      <c r="I275" t="str" cm="1">
        <f t="array" ref="I275">VLOOKUP(OrderLines[[#This Row],[OrderID]:[OrderID]],Orders[],MATCH(OrderLines[[#Headers],[Branch]],Orders[#Headers],0),FALSE)</f>
        <v>Head Office Café</v>
      </c>
      <c r="J275" cm="1">
        <f t="array" ref="J275">VLOOKUP(OrderLines[[#This Row],[OrderID]:[OrderID]],Orders[],MATCH(OrderLines[[#Headers],[DiscountPct]],Orders[#Headers],0),FALSE)</f>
        <v>7.0000000000000007E-2</v>
      </c>
      <c r="K275" t="str" cm="1">
        <f t="array" ref="K275">VLOOKUP(OrderLines[[#This Row],[OrderID]:[OrderID]],Orders[],MATCH(OrderLines[[#Headers],[PaymentType]],Orders[#Headers],0),FALSE)</f>
        <v>Cash</v>
      </c>
      <c r="L275" t="str" cm="1">
        <f t="array" ref="L275">VLOOKUP(OrderLines[[#This Row],[OrderID]:[OrderID]],Orders[],MATCH(OrderLines[[#Headers],[Shift]],Orders[#Headers],0),FALSE)</f>
        <v>Breakfast</v>
      </c>
      <c r="M275" s="8">
        <f>(OrderLines[[#This Row],[Qty]]*OrderLines[[#This Row],[UnitPrice]])*(1-OrderLines[[#This Row],[DiscountPct]])</f>
        <v>158.87190000000001</v>
      </c>
      <c r="N275" t="str">
        <f>IF(AND(COUNTIFS(OrderLines[OrderID],OrderLines[[#This Row],[OrderID]],OrderLines[Category],"Hot Meal"),COUNTIFS(OrderLines[OrderID],OrderLines[[#This Row],[OrderID]],OrderLines[Category],"Beverage")),"Combo","Single")</f>
        <v>Single</v>
      </c>
      <c r="O275" s="8" t="str" cm="1">
        <f t="array" ref="O275">IF(SUMPRODUCT(OrderLines[UnitPrice],OrderLines[Qty],OrderLines[DiscountPct],--(OrderLines[OrderID] = OrderLines[[#This Row],[OrderID]]))&gt;40,"High Discount","Ok")</f>
        <v>Ok</v>
      </c>
      <c r="P275">
        <f>OrderLines[[#This Row],[UnitCost]]*OrderLines[[#This Row],[Qty]]</f>
        <v>74.069999999999993</v>
      </c>
      <c r="Q275" s="8">
        <f>OrderLines[[#This Row],[LineNetAmount]]-OrderLines[[#This Row],[Food Cost]]</f>
        <v>84.801900000000018</v>
      </c>
    </row>
    <row r="276" spans="1:17" x14ac:dyDescent="0.3">
      <c r="A276" t="s">
        <v>150</v>
      </c>
      <c r="B276" t="s">
        <v>414</v>
      </c>
      <c r="C276">
        <v>1</v>
      </c>
      <c r="D276" cm="1">
        <f t="array" ref="D276">VLOOKUP(OrderLines[[#This Row],[SKU]:[SKU]],Menu[],MATCH(OrderLines[[#Headers],[UnitPrice]],Menu[#Headers],0),FALSE)</f>
        <v>116.8</v>
      </c>
      <c r="E276" cm="1">
        <f t="array" ref="E276">VLOOKUP(OrderLines[[#This Row],[SKU]:[SKU]],Menu[],MATCH(OrderLines[[#Headers],[UnitCost]],Menu[#Headers],0),FALSE)</f>
        <v>48.97</v>
      </c>
      <c r="F276" t="str" cm="1">
        <f t="array" ref="F276">VLOOKUP(OrderLines[[#This Row],[SKU]:[SKU]],Menu[],MATCH(OrderLines[[#Headers],[Category]],Menu[#Headers],0),FALSE)</f>
        <v>Dessert</v>
      </c>
      <c r="G276" t="str" cm="1">
        <f t="array" ref="G276">_xlfn.TEXTJOIN("+",TRUE,_xlfn._xlws.SORT(_xlfn.UNIQUE(_xlfn._xlws.FILTER(OrderLines[Category],OrderLines[OrderID]=OrderLines[[#This Row],[OrderID]]))))</f>
        <v>Dessert+Hot Meal</v>
      </c>
      <c r="H276" s="2" cm="1">
        <f t="array" ref="H276">INT(VLOOKUP(OrderLines[[#This Row],[OrderID]:[OrderID]],Orders[],MATCH(OrderLines[[#Headers],[OrderDateTime]],Orders[#Headers],0),FALSE))</f>
        <v>45840</v>
      </c>
      <c r="I276" t="str" cm="1">
        <f t="array" ref="I276">VLOOKUP(OrderLines[[#This Row],[OrderID]:[OrderID]],Orders[],MATCH(OrderLines[[#Headers],[Branch]],Orders[#Headers],0),FALSE)</f>
        <v>Head Office Café</v>
      </c>
      <c r="J276" cm="1">
        <f t="array" ref="J276">VLOOKUP(OrderLines[[#This Row],[OrderID]:[OrderID]],Orders[],MATCH(OrderLines[[#Headers],[DiscountPct]],Orders[#Headers],0),FALSE)</f>
        <v>7.0000000000000007E-2</v>
      </c>
      <c r="K276" t="str" cm="1">
        <f t="array" ref="K276">VLOOKUP(OrderLines[[#This Row],[OrderID]:[OrderID]],Orders[],MATCH(OrderLines[[#Headers],[PaymentType]],Orders[#Headers],0),FALSE)</f>
        <v>Cash</v>
      </c>
      <c r="L276" t="str" cm="1">
        <f t="array" ref="L276">VLOOKUP(OrderLines[[#This Row],[OrderID]:[OrderID]],Orders[],MATCH(OrderLines[[#Headers],[Shift]],Orders[#Headers],0),FALSE)</f>
        <v>Breakfast</v>
      </c>
      <c r="M276" s="8">
        <f>(OrderLines[[#This Row],[Qty]]*OrderLines[[#This Row],[UnitPrice]])*(1-OrderLines[[#This Row],[DiscountPct]])</f>
        <v>108.624</v>
      </c>
      <c r="N276" t="str">
        <f>IF(AND(COUNTIFS(OrderLines[OrderID],OrderLines[[#This Row],[OrderID]],OrderLines[Category],"Hot Meal"),COUNTIFS(OrderLines[OrderID],OrderLines[[#This Row],[OrderID]],OrderLines[Category],"Beverage")),"Combo","Single")</f>
        <v>Single</v>
      </c>
      <c r="O276" s="8" t="str" cm="1">
        <f t="array" ref="O276">IF(SUMPRODUCT(OrderLines[UnitPrice],OrderLines[Qty],OrderLines[DiscountPct],--(OrderLines[OrderID] = OrderLines[[#This Row],[OrderID]]))&gt;40,"High Discount","Ok")</f>
        <v>Ok</v>
      </c>
      <c r="P276">
        <f>OrderLines[[#This Row],[UnitCost]]*OrderLines[[#This Row],[Qty]]</f>
        <v>48.97</v>
      </c>
      <c r="Q276" s="8">
        <f>OrderLines[[#This Row],[LineNetAmount]]-OrderLines[[#This Row],[Food Cost]]</f>
        <v>59.653999999999996</v>
      </c>
    </row>
    <row r="277" spans="1:17" x14ac:dyDescent="0.3">
      <c r="A277" t="s">
        <v>150</v>
      </c>
      <c r="B277" t="s">
        <v>412</v>
      </c>
      <c r="C277">
        <v>2</v>
      </c>
      <c r="D277" cm="1">
        <f t="array" ref="D277">VLOOKUP(OrderLines[[#This Row],[SKU]:[SKU]],Menu[],MATCH(OrderLines[[#Headers],[UnitPrice]],Menu[#Headers],0),FALSE)</f>
        <v>57.07</v>
      </c>
      <c r="E277" cm="1">
        <f t="array" ref="E277">VLOOKUP(OrderLines[[#This Row],[SKU]:[SKU]],Menu[],MATCH(OrderLines[[#Headers],[UnitCost]],Menu[#Headers],0),FALSE)</f>
        <v>29.14</v>
      </c>
      <c r="F277" t="str" cm="1">
        <f t="array" ref="F277">VLOOKUP(OrderLines[[#This Row],[SKU]:[SKU]],Menu[],MATCH(OrderLines[[#Headers],[Category]],Menu[#Headers],0),FALSE)</f>
        <v>Dessert</v>
      </c>
      <c r="G277" t="str" cm="1">
        <f t="array" ref="G277">_xlfn.TEXTJOIN("+",TRUE,_xlfn._xlws.SORT(_xlfn.UNIQUE(_xlfn._xlws.FILTER(OrderLines[Category],OrderLines[OrderID]=OrderLines[[#This Row],[OrderID]]))))</f>
        <v>Dessert+Hot Meal</v>
      </c>
      <c r="H277" s="2" cm="1">
        <f t="array" ref="H277">INT(VLOOKUP(OrderLines[[#This Row],[OrderID]:[OrderID]],Orders[],MATCH(OrderLines[[#Headers],[OrderDateTime]],Orders[#Headers],0),FALSE))</f>
        <v>45840</v>
      </c>
      <c r="I277" t="str" cm="1">
        <f t="array" ref="I277">VLOOKUP(OrderLines[[#This Row],[OrderID]:[OrderID]],Orders[],MATCH(OrderLines[[#Headers],[Branch]],Orders[#Headers],0),FALSE)</f>
        <v>Head Office Café</v>
      </c>
      <c r="J277" cm="1">
        <f t="array" ref="J277">VLOOKUP(OrderLines[[#This Row],[OrderID]:[OrderID]],Orders[],MATCH(OrderLines[[#Headers],[DiscountPct]],Orders[#Headers],0),FALSE)</f>
        <v>7.0000000000000007E-2</v>
      </c>
      <c r="K277" t="str" cm="1">
        <f t="array" ref="K277">VLOOKUP(OrderLines[[#This Row],[OrderID]:[OrderID]],Orders[],MATCH(OrderLines[[#Headers],[PaymentType]],Orders[#Headers],0),FALSE)</f>
        <v>Cash</v>
      </c>
      <c r="L277" t="str" cm="1">
        <f t="array" ref="L277">VLOOKUP(OrderLines[[#This Row],[OrderID]:[OrderID]],Orders[],MATCH(OrderLines[[#Headers],[Shift]],Orders[#Headers],0),FALSE)</f>
        <v>Breakfast</v>
      </c>
      <c r="M277" s="8">
        <f>(OrderLines[[#This Row],[Qty]]*OrderLines[[#This Row],[UnitPrice]])*(1-OrderLines[[#This Row],[DiscountPct]])</f>
        <v>106.1502</v>
      </c>
      <c r="N277" t="str">
        <f>IF(AND(COUNTIFS(OrderLines[OrderID],OrderLines[[#This Row],[OrderID]],OrderLines[Category],"Hot Meal"),COUNTIFS(OrderLines[OrderID],OrderLines[[#This Row],[OrderID]],OrderLines[Category],"Beverage")),"Combo","Single")</f>
        <v>Single</v>
      </c>
      <c r="O277" s="8" t="str" cm="1">
        <f t="array" ref="O277">IF(SUMPRODUCT(OrderLines[UnitPrice],OrderLines[Qty],OrderLines[DiscountPct],--(OrderLines[OrderID] = OrderLines[[#This Row],[OrderID]]))&gt;40,"High Discount","Ok")</f>
        <v>Ok</v>
      </c>
      <c r="P277">
        <f>OrderLines[[#This Row],[UnitCost]]*OrderLines[[#This Row],[Qty]]</f>
        <v>58.28</v>
      </c>
      <c r="Q277" s="8">
        <f>OrderLines[[#This Row],[LineNetAmount]]-OrderLines[[#This Row],[Food Cost]]</f>
        <v>47.870199999999997</v>
      </c>
    </row>
    <row r="278" spans="1:17" x14ac:dyDescent="0.3">
      <c r="A278" t="s">
        <v>151</v>
      </c>
      <c r="B278" t="s">
        <v>419</v>
      </c>
      <c r="C278">
        <v>3</v>
      </c>
      <c r="D278" cm="1">
        <f t="array" ref="D278">VLOOKUP(OrderLines[[#This Row],[SKU]:[SKU]],Menu[],MATCH(OrderLines[[#Headers],[UnitPrice]],Menu[#Headers],0),FALSE)</f>
        <v>50.19</v>
      </c>
      <c r="E278" cm="1">
        <f t="array" ref="E278">VLOOKUP(OrderLines[[#This Row],[SKU]:[SKU]],Menu[],MATCH(OrderLines[[#Headers],[UnitCost]],Menu[#Headers],0),FALSE)</f>
        <v>22.61</v>
      </c>
      <c r="F278" t="str" cm="1">
        <f t="array" ref="F278">VLOOKUP(OrderLines[[#This Row],[SKU]:[SKU]],Menu[],MATCH(OrderLines[[#Headers],[Category]],Menu[#Headers],0),FALSE)</f>
        <v>Snack</v>
      </c>
      <c r="G278" t="str" cm="1">
        <f t="array" ref="G278">_xlfn.TEXTJOIN("+",TRUE,_xlfn._xlws.SORT(_xlfn.UNIQUE(_xlfn._xlws.FILTER(OrderLines[Category],OrderLines[OrderID]=OrderLines[[#This Row],[OrderID]]))))</f>
        <v>Dessert+Snack</v>
      </c>
      <c r="H278" s="2" cm="1">
        <f t="array" ref="H278">INT(VLOOKUP(OrderLines[[#This Row],[OrderID]:[OrderID]],Orders[],MATCH(OrderLines[[#Headers],[OrderDateTime]],Orders[#Headers],0),FALSE))</f>
        <v>45878</v>
      </c>
      <c r="I278" t="str" cm="1">
        <f t="array" ref="I278">VLOOKUP(OrderLines[[#This Row],[OrderID]:[OrderID]],Orders[],MATCH(OrderLines[[#Headers],[Branch]],Orders[#Headers],0),FALSE)</f>
        <v>Plant 2 Canteen</v>
      </c>
      <c r="J278" cm="1">
        <f t="array" ref="J278">VLOOKUP(OrderLines[[#This Row],[OrderID]:[OrderID]],Orders[],MATCH(OrderLines[[#Headers],[DiscountPct]],Orders[#Headers],0),FALSE)</f>
        <v>0.03</v>
      </c>
      <c r="K278" t="str" cm="1">
        <f t="array" ref="K278">VLOOKUP(OrderLines[[#This Row],[OrderID]:[OrderID]],Orders[],MATCH(OrderLines[[#Headers],[PaymentType]],Orders[#Headers],0),FALSE)</f>
        <v>Cash</v>
      </c>
      <c r="L278" t="str" cm="1">
        <f t="array" ref="L278">VLOOKUP(OrderLines[[#This Row],[OrderID]:[OrderID]],Orders[],MATCH(OrderLines[[#Headers],[Shift]],Orders[#Headers],0),FALSE)</f>
        <v>Dinner</v>
      </c>
      <c r="M278" s="8">
        <f>(OrderLines[[#This Row],[Qty]]*OrderLines[[#This Row],[UnitPrice]])*(1-OrderLines[[#This Row],[DiscountPct]])</f>
        <v>146.05289999999999</v>
      </c>
      <c r="N278" t="str">
        <f>IF(AND(COUNTIFS(OrderLines[OrderID],OrderLines[[#This Row],[OrderID]],OrderLines[Category],"Hot Meal"),COUNTIFS(OrderLines[OrderID],OrderLines[[#This Row],[OrderID]],OrderLines[Category],"Beverage")),"Combo","Single")</f>
        <v>Single</v>
      </c>
      <c r="O278" s="8" t="str" cm="1">
        <f t="array" ref="O278">IF(SUMPRODUCT(OrderLines[UnitPrice],OrderLines[Qty],OrderLines[DiscountPct],--(OrderLines[OrderID] = OrderLines[[#This Row],[OrderID]]))&gt;40,"High Discount","Ok")</f>
        <v>Ok</v>
      </c>
      <c r="P278">
        <f>OrderLines[[#This Row],[UnitCost]]*OrderLines[[#This Row],[Qty]]</f>
        <v>67.83</v>
      </c>
      <c r="Q278" s="8">
        <f>OrderLines[[#This Row],[LineNetAmount]]-OrderLines[[#This Row],[Food Cost]]</f>
        <v>78.222899999999996</v>
      </c>
    </row>
    <row r="279" spans="1:17" x14ac:dyDescent="0.3">
      <c r="A279" t="s">
        <v>151</v>
      </c>
      <c r="B279" t="s">
        <v>413</v>
      </c>
      <c r="C279">
        <v>2</v>
      </c>
      <c r="D279" cm="1">
        <f t="array" ref="D279">VLOOKUP(OrderLines[[#This Row],[SKU]:[SKU]],Menu[],MATCH(OrderLines[[#Headers],[UnitPrice]],Menu[#Headers],0),FALSE)</f>
        <v>54.2</v>
      </c>
      <c r="E279" cm="1">
        <f t="array" ref="E279">VLOOKUP(OrderLines[[#This Row],[SKU]:[SKU]],Menu[],MATCH(OrderLines[[#Headers],[UnitCost]],Menu[#Headers],0),FALSE)</f>
        <v>21.95</v>
      </c>
      <c r="F279" t="str" cm="1">
        <f t="array" ref="F279">VLOOKUP(OrderLines[[#This Row],[SKU]:[SKU]],Menu[],MATCH(OrderLines[[#Headers],[Category]],Menu[#Headers],0),FALSE)</f>
        <v>Dessert</v>
      </c>
      <c r="G279" t="str" cm="1">
        <f t="array" ref="G279">_xlfn.TEXTJOIN("+",TRUE,_xlfn._xlws.SORT(_xlfn.UNIQUE(_xlfn._xlws.FILTER(OrderLines[Category],OrderLines[OrderID]=OrderLines[[#This Row],[OrderID]]))))</f>
        <v>Dessert+Snack</v>
      </c>
      <c r="H279" s="2" cm="1">
        <f t="array" ref="H279">INT(VLOOKUP(OrderLines[[#This Row],[OrderID]:[OrderID]],Orders[],MATCH(OrderLines[[#Headers],[OrderDateTime]],Orders[#Headers],0),FALSE))</f>
        <v>45878</v>
      </c>
      <c r="I279" t="str" cm="1">
        <f t="array" ref="I279">VLOOKUP(OrderLines[[#This Row],[OrderID]:[OrderID]],Orders[],MATCH(OrderLines[[#Headers],[Branch]],Orders[#Headers],0),FALSE)</f>
        <v>Plant 2 Canteen</v>
      </c>
      <c r="J279" cm="1">
        <f t="array" ref="J279">VLOOKUP(OrderLines[[#This Row],[OrderID]:[OrderID]],Orders[],MATCH(OrderLines[[#Headers],[DiscountPct]],Orders[#Headers],0),FALSE)</f>
        <v>0.03</v>
      </c>
      <c r="K279" t="str" cm="1">
        <f t="array" ref="K279">VLOOKUP(OrderLines[[#This Row],[OrderID]:[OrderID]],Orders[],MATCH(OrderLines[[#Headers],[PaymentType]],Orders[#Headers],0),FALSE)</f>
        <v>Cash</v>
      </c>
      <c r="L279" t="str" cm="1">
        <f t="array" ref="L279">VLOOKUP(OrderLines[[#This Row],[OrderID]:[OrderID]],Orders[],MATCH(OrderLines[[#Headers],[Shift]],Orders[#Headers],0),FALSE)</f>
        <v>Dinner</v>
      </c>
      <c r="M279" s="8">
        <f>(OrderLines[[#This Row],[Qty]]*OrderLines[[#This Row],[UnitPrice]])*(1-OrderLines[[#This Row],[DiscountPct]])</f>
        <v>105.148</v>
      </c>
      <c r="N279" t="str">
        <f>IF(AND(COUNTIFS(OrderLines[OrderID],OrderLines[[#This Row],[OrderID]],OrderLines[Category],"Hot Meal"),COUNTIFS(OrderLines[OrderID],OrderLines[[#This Row],[OrderID]],OrderLines[Category],"Beverage")),"Combo","Single")</f>
        <v>Single</v>
      </c>
      <c r="O279" s="8" t="str" cm="1">
        <f t="array" ref="O279">IF(SUMPRODUCT(OrderLines[UnitPrice],OrderLines[Qty],OrderLines[DiscountPct],--(OrderLines[OrderID] = OrderLines[[#This Row],[OrderID]]))&gt;40,"High Discount","Ok")</f>
        <v>Ok</v>
      </c>
      <c r="P279">
        <f>OrderLines[[#This Row],[UnitCost]]*OrderLines[[#This Row],[Qty]]</f>
        <v>43.9</v>
      </c>
      <c r="Q279" s="8">
        <f>OrderLines[[#This Row],[LineNetAmount]]-OrderLines[[#This Row],[Food Cost]]</f>
        <v>61.247999999999998</v>
      </c>
    </row>
    <row r="280" spans="1:17" x14ac:dyDescent="0.3">
      <c r="A280" t="s">
        <v>152</v>
      </c>
      <c r="B280" t="s">
        <v>407</v>
      </c>
      <c r="C280">
        <v>2</v>
      </c>
      <c r="D280" cm="1">
        <f t="array" ref="D280">VLOOKUP(OrderLines[[#This Row],[SKU]:[SKU]],Menu[],MATCH(OrderLines[[#Headers],[UnitPrice]],Menu[#Headers],0),FALSE)</f>
        <v>246.09</v>
      </c>
      <c r="E280" cm="1">
        <f t="array" ref="E280">VLOOKUP(OrderLines[[#This Row],[SKU]:[SKU]],Menu[],MATCH(OrderLines[[#Headers],[UnitCost]],Menu[#Headers],0),FALSE)</f>
        <v>112.08</v>
      </c>
      <c r="F280" t="str" cm="1">
        <f t="array" ref="F280">VLOOKUP(OrderLines[[#This Row],[SKU]:[SKU]],Menu[],MATCH(OrderLines[[#Headers],[Category]],Menu[#Headers],0),FALSE)</f>
        <v>Hot Meal</v>
      </c>
      <c r="G280" t="str" cm="1">
        <f t="array" ref="G280">_xlfn.TEXTJOIN("+",TRUE,_xlfn._xlws.SORT(_xlfn.UNIQUE(_xlfn._xlws.FILTER(OrderLines[Category],OrderLines[OrderID]=OrderLines[[#This Row],[OrderID]]))))</f>
        <v>Beverage+Dessert+Hot Meal</v>
      </c>
      <c r="H280" s="2" cm="1">
        <f t="array" ref="H280">INT(VLOOKUP(OrderLines[[#This Row],[OrderID]:[OrderID]],Orders[],MATCH(OrderLines[[#Headers],[OrderDateTime]],Orders[#Headers],0),FALSE))</f>
        <v>45886</v>
      </c>
      <c r="I280" t="str" cm="1">
        <f t="array" ref="I280">VLOOKUP(OrderLines[[#This Row],[OrderID]:[OrderID]],Orders[],MATCH(OrderLines[[#Headers],[Branch]],Orders[#Headers],0),FALSE)</f>
        <v>Plant 2 Canteen</v>
      </c>
      <c r="J280" cm="1">
        <f t="array" ref="J280">VLOOKUP(OrderLines[[#This Row],[OrderID]:[OrderID]],Orders[],MATCH(OrderLines[[#Headers],[DiscountPct]],Orders[#Headers],0),FALSE)</f>
        <v>0.13</v>
      </c>
      <c r="K280" t="str" cm="1">
        <f t="array" ref="K280">VLOOKUP(OrderLines[[#This Row],[OrderID]:[OrderID]],Orders[],MATCH(OrderLines[[#Headers],[PaymentType]],Orders[#Headers],0),FALSE)</f>
        <v>Cash</v>
      </c>
      <c r="L280" t="str" cm="1">
        <f t="array" ref="L280">VLOOKUP(OrderLines[[#This Row],[OrderID]:[OrderID]],Orders[],MATCH(OrderLines[[#Headers],[Shift]],Orders[#Headers],0),FALSE)</f>
        <v>Dinner</v>
      </c>
      <c r="M280" s="8">
        <f>(OrderLines[[#This Row],[Qty]]*OrderLines[[#This Row],[UnitPrice]])*(1-OrderLines[[#This Row],[DiscountPct]])</f>
        <v>428.19659999999999</v>
      </c>
      <c r="N280" t="str">
        <f>IF(AND(COUNTIFS(OrderLines[OrderID],OrderLines[[#This Row],[OrderID]],OrderLines[Category],"Hot Meal"),COUNTIFS(OrderLines[OrderID],OrderLines[[#This Row],[OrderID]],OrderLines[Category],"Beverage")),"Combo","Single")</f>
        <v>Combo</v>
      </c>
      <c r="O280" s="8" t="str" cm="1">
        <f t="array" ref="O280">IF(SUMPRODUCT(OrderLines[UnitPrice],OrderLines[Qty],OrderLines[DiscountPct],--(OrderLines[OrderID] = OrderLines[[#This Row],[OrderID]]))&gt;40,"High Discount","Ok")</f>
        <v>High Discount</v>
      </c>
      <c r="P280">
        <f>OrderLines[[#This Row],[UnitCost]]*OrderLines[[#This Row],[Qty]]</f>
        <v>224.16</v>
      </c>
      <c r="Q280" s="8">
        <f>OrderLines[[#This Row],[LineNetAmount]]-OrderLines[[#This Row],[Food Cost]]</f>
        <v>204.03659999999999</v>
      </c>
    </row>
    <row r="281" spans="1:17" x14ac:dyDescent="0.3">
      <c r="A281" t="s">
        <v>152</v>
      </c>
      <c r="B281" t="s">
        <v>404</v>
      </c>
      <c r="C281">
        <v>1</v>
      </c>
      <c r="D281" cm="1">
        <f t="array" ref="D281">VLOOKUP(OrderLines[[#This Row],[SKU]:[SKU]],Menu[],MATCH(OrderLines[[#Headers],[UnitPrice]],Menu[#Headers],0),FALSE)</f>
        <v>32.979999999999997</v>
      </c>
      <c r="E281" cm="1">
        <f t="array" ref="E281">VLOOKUP(OrderLines[[#This Row],[SKU]:[SKU]],Menu[],MATCH(OrderLines[[#Headers],[UnitCost]],Menu[#Headers],0),FALSE)</f>
        <v>11.84</v>
      </c>
      <c r="F281" t="str" cm="1">
        <f t="array" ref="F281">VLOOKUP(OrderLines[[#This Row],[SKU]:[SKU]],Menu[],MATCH(OrderLines[[#Headers],[Category]],Menu[#Headers],0),FALSE)</f>
        <v>Beverage</v>
      </c>
      <c r="G281" t="str" cm="1">
        <f t="array" ref="G281">_xlfn.TEXTJOIN("+",TRUE,_xlfn._xlws.SORT(_xlfn.UNIQUE(_xlfn._xlws.FILTER(OrderLines[Category],OrderLines[OrderID]=OrderLines[[#This Row],[OrderID]]))))</f>
        <v>Beverage+Dessert+Hot Meal</v>
      </c>
      <c r="H281" s="2" cm="1">
        <f t="array" ref="H281">INT(VLOOKUP(OrderLines[[#This Row],[OrderID]:[OrderID]],Orders[],MATCH(OrderLines[[#Headers],[OrderDateTime]],Orders[#Headers],0),FALSE))</f>
        <v>45886</v>
      </c>
      <c r="I281" t="str" cm="1">
        <f t="array" ref="I281">VLOOKUP(OrderLines[[#This Row],[OrderID]:[OrderID]],Orders[],MATCH(OrderLines[[#Headers],[Branch]],Orders[#Headers],0),FALSE)</f>
        <v>Plant 2 Canteen</v>
      </c>
      <c r="J281" cm="1">
        <f t="array" ref="J281">VLOOKUP(OrderLines[[#This Row],[OrderID]:[OrderID]],Orders[],MATCH(OrderLines[[#Headers],[DiscountPct]],Orders[#Headers],0),FALSE)</f>
        <v>0.13</v>
      </c>
      <c r="K281" t="str" cm="1">
        <f t="array" ref="K281">VLOOKUP(OrderLines[[#This Row],[OrderID]:[OrderID]],Orders[],MATCH(OrderLines[[#Headers],[PaymentType]],Orders[#Headers],0),FALSE)</f>
        <v>Cash</v>
      </c>
      <c r="L281" t="str" cm="1">
        <f t="array" ref="L281">VLOOKUP(OrderLines[[#This Row],[OrderID]:[OrderID]],Orders[],MATCH(OrderLines[[#Headers],[Shift]],Orders[#Headers],0),FALSE)</f>
        <v>Dinner</v>
      </c>
      <c r="M281" s="8">
        <f>(OrderLines[[#This Row],[Qty]]*OrderLines[[#This Row],[UnitPrice]])*(1-OrderLines[[#This Row],[DiscountPct]])</f>
        <v>28.692599999999999</v>
      </c>
      <c r="N281" t="str">
        <f>IF(AND(COUNTIFS(OrderLines[OrderID],OrderLines[[#This Row],[OrderID]],OrderLines[Category],"Hot Meal"),COUNTIFS(OrderLines[OrderID],OrderLines[[#This Row],[OrderID]],OrderLines[Category],"Beverage")),"Combo","Single")</f>
        <v>Combo</v>
      </c>
      <c r="O281" s="8" t="str" cm="1">
        <f t="array" ref="O281">IF(SUMPRODUCT(OrderLines[UnitPrice],OrderLines[Qty],OrderLines[DiscountPct],--(OrderLines[OrderID] = OrderLines[[#This Row],[OrderID]]))&gt;40,"High Discount","Ok")</f>
        <v>High Discount</v>
      </c>
      <c r="P281">
        <f>OrderLines[[#This Row],[UnitCost]]*OrderLines[[#This Row],[Qty]]</f>
        <v>11.84</v>
      </c>
      <c r="Q281" s="8">
        <f>OrderLines[[#This Row],[LineNetAmount]]-OrderLines[[#This Row],[Food Cost]]</f>
        <v>16.852599999999999</v>
      </c>
    </row>
    <row r="282" spans="1:17" x14ac:dyDescent="0.3">
      <c r="A282" t="s">
        <v>152</v>
      </c>
      <c r="B282" t="s">
        <v>403</v>
      </c>
      <c r="C282">
        <v>3</v>
      </c>
      <c r="D282" cm="1">
        <f t="array" ref="D282">VLOOKUP(OrderLines[[#This Row],[SKU]:[SKU]],Menu[],MATCH(OrderLines[[#Headers],[UnitPrice]],Menu[#Headers],0),FALSE)</f>
        <v>76.55</v>
      </c>
      <c r="E282" cm="1">
        <f t="array" ref="E282">VLOOKUP(OrderLines[[#This Row],[SKU]:[SKU]],Menu[],MATCH(OrderLines[[#Headers],[UnitCost]],Menu[#Headers],0),FALSE)</f>
        <v>38.229999999999997</v>
      </c>
      <c r="F282" t="str" cm="1">
        <f t="array" ref="F282">VLOOKUP(OrderLines[[#This Row],[SKU]:[SKU]],Menu[],MATCH(OrderLines[[#Headers],[Category]],Menu[#Headers],0),FALSE)</f>
        <v>Dessert</v>
      </c>
      <c r="G282" t="str" cm="1">
        <f t="array" ref="G282">_xlfn.TEXTJOIN("+",TRUE,_xlfn._xlws.SORT(_xlfn.UNIQUE(_xlfn._xlws.FILTER(OrderLines[Category],OrderLines[OrderID]=OrderLines[[#This Row],[OrderID]]))))</f>
        <v>Beverage+Dessert+Hot Meal</v>
      </c>
      <c r="H282" s="2" cm="1">
        <f t="array" ref="H282">INT(VLOOKUP(OrderLines[[#This Row],[OrderID]:[OrderID]],Orders[],MATCH(OrderLines[[#Headers],[OrderDateTime]],Orders[#Headers],0),FALSE))</f>
        <v>45886</v>
      </c>
      <c r="I282" t="str" cm="1">
        <f t="array" ref="I282">VLOOKUP(OrderLines[[#This Row],[OrderID]:[OrderID]],Orders[],MATCH(OrderLines[[#Headers],[Branch]],Orders[#Headers],0),FALSE)</f>
        <v>Plant 2 Canteen</v>
      </c>
      <c r="J282" cm="1">
        <f t="array" ref="J282">VLOOKUP(OrderLines[[#This Row],[OrderID]:[OrderID]],Orders[],MATCH(OrderLines[[#Headers],[DiscountPct]],Orders[#Headers],0),FALSE)</f>
        <v>0.13</v>
      </c>
      <c r="K282" t="str" cm="1">
        <f t="array" ref="K282">VLOOKUP(OrderLines[[#This Row],[OrderID]:[OrderID]],Orders[],MATCH(OrderLines[[#Headers],[PaymentType]],Orders[#Headers],0),FALSE)</f>
        <v>Cash</v>
      </c>
      <c r="L282" t="str" cm="1">
        <f t="array" ref="L282">VLOOKUP(OrderLines[[#This Row],[OrderID]:[OrderID]],Orders[],MATCH(OrderLines[[#Headers],[Shift]],Orders[#Headers],0),FALSE)</f>
        <v>Dinner</v>
      </c>
      <c r="M282" s="8">
        <f>(OrderLines[[#This Row],[Qty]]*OrderLines[[#This Row],[UnitPrice]])*(1-OrderLines[[#This Row],[DiscountPct]])</f>
        <v>199.79549999999998</v>
      </c>
      <c r="N282" t="str">
        <f>IF(AND(COUNTIFS(OrderLines[OrderID],OrderLines[[#This Row],[OrderID]],OrderLines[Category],"Hot Meal"),COUNTIFS(OrderLines[OrderID],OrderLines[[#This Row],[OrderID]],OrderLines[Category],"Beverage")),"Combo","Single")</f>
        <v>Combo</v>
      </c>
      <c r="O282" s="8" t="str" cm="1">
        <f t="array" ref="O282">IF(SUMPRODUCT(OrderLines[UnitPrice],OrderLines[Qty],OrderLines[DiscountPct],--(OrderLines[OrderID] = OrderLines[[#This Row],[OrderID]]))&gt;40,"High Discount","Ok")</f>
        <v>High Discount</v>
      </c>
      <c r="P282">
        <f>OrderLines[[#This Row],[UnitCost]]*OrderLines[[#This Row],[Qty]]</f>
        <v>114.69</v>
      </c>
      <c r="Q282" s="8">
        <f>OrderLines[[#This Row],[LineNetAmount]]-OrderLines[[#This Row],[Food Cost]]</f>
        <v>85.105499999999978</v>
      </c>
    </row>
    <row r="283" spans="1:17" x14ac:dyDescent="0.3">
      <c r="A283" t="s">
        <v>152</v>
      </c>
      <c r="B283" t="s">
        <v>413</v>
      </c>
      <c r="C283">
        <v>2</v>
      </c>
      <c r="D283" cm="1">
        <f t="array" ref="D283">VLOOKUP(OrderLines[[#This Row],[SKU]:[SKU]],Menu[],MATCH(OrderLines[[#Headers],[UnitPrice]],Menu[#Headers],0),FALSE)</f>
        <v>54.2</v>
      </c>
      <c r="E283" cm="1">
        <f t="array" ref="E283">VLOOKUP(OrderLines[[#This Row],[SKU]:[SKU]],Menu[],MATCH(OrderLines[[#Headers],[UnitCost]],Menu[#Headers],0),FALSE)</f>
        <v>21.95</v>
      </c>
      <c r="F283" t="str" cm="1">
        <f t="array" ref="F283">VLOOKUP(OrderLines[[#This Row],[SKU]:[SKU]],Menu[],MATCH(OrderLines[[#Headers],[Category]],Menu[#Headers],0),FALSE)</f>
        <v>Dessert</v>
      </c>
      <c r="G283" t="str" cm="1">
        <f t="array" ref="G283">_xlfn.TEXTJOIN("+",TRUE,_xlfn._xlws.SORT(_xlfn.UNIQUE(_xlfn._xlws.FILTER(OrderLines[Category],OrderLines[OrderID]=OrderLines[[#This Row],[OrderID]]))))</f>
        <v>Beverage+Dessert+Hot Meal</v>
      </c>
      <c r="H283" s="2" cm="1">
        <f t="array" ref="H283">INT(VLOOKUP(OrderLines[[#This Row],[OrderID]:[OrderID]],Orders[],MATCH(OrderLines[[#Headers],[OrderDateTime]],Orders[#Headers],0),FALSE))</f>
        <v>45886</v>
      </c>
      <c r="I283" t="str" cm="1">
        <f t="array" ref="I283">VLOOKUP(OrderLines[[#This Row],[OrderID]:[OrderID]],Orders[],MATCH(OrderLines[[#Headers],[Branch]],Orders[#Headers],0),FALSE)</f>
        <v>Plant 2 Canteen</v>
      </c>
      <c r="J283" cm="1">
        <f t="array" ref="J283">VLOOKUP(OrderLines[[#This Row],[OrderID]:[OrderID]],Orders[],MATCH(OrderLines[[#Headers],[DiscountPct]],Orders[#Headers],0),FALSE)</f>
        <v>0.13</v>
      </c>
      <c r="K283" t="str" cm="1">
        <f t="array" ref="K283">VLOOKUP(OrderLines[[#This Row],[OrderID]:[OrderID]],Orders[],MATCH(OrderLines[[#Headers],[PaymentType]],Orders[#Headers],0),FALSE)</f>
        <v>Cash</v>
      </c>
      <c r="L283" t="str" cm="1">
        <f t="array" ref="L283">VLOOKUP(OrderLines[[#This Row],[OrderID]:[OrderID]],Orders[],MATCH(OrderLines[[#Headers],[Shift]],Orders[#Headers],0),FALSE)</f>
        <v>Dinner</v>
      </c>
      <c r="M283" s="8">
        <f>(OrderLines[[#This Row],[Qty]]*OrderLines[[#This Row],[UnitPrice]])*(1-OrderLines[[#This Row],[DiscountPct]])</f>
        <v>94.308000000000007</v>
      </c>
      <c r="N283" t="str">
        <f>IF(AND(COUNTIFS(OrderLines[OrderID],OrderLines[[#This Row],[OrderID]],OrderLines[Category],"Hot Meal"),COUNTIFS(OrderLines[OrderID],OrderLines[[#This Row],[OrderID]],OrderLines[Category],"Beverage")),"Combo","Single")</f>
        <v>Combo</v>
      </c>
      <c r="O283" s="8" t="str" cm="1">
        <f t="array" ref="O283">IF(SUMPRODUCT(OrderLines[UnitPrice],OrderLines[Qty],OrderLines[DiscountPct],--(OrderLines[OrderID] = OrderLines[[#This Row],[OrderID]]))&gt;40,"High Discount","Ok")</f>
        <v>High Discount</v>
      </c>
      <c r="P283">
        <f>OrderLines[[#This Row],[UnitCost]]*OrderLines[[#This Row],[Qty]]</f>
        <v>43.9</v>
      </c>
      <c r="Q283" s="8">
        <f>OrderLines[[#This Row],[LineNetAmount]]-OrderLines[[#This Row],[Food Cost]]</f>
        <v>50.408000000000008</v>
      </c>
    </row>
    <row r="284" spans="1:17" x14ac:dyDescent="0.3">
      <c r="A284" t="s">
        <v>153</v>
      </c>
      <c r="B284" t="s">
        <v>418</v>
      </c>
      <c r="C284">
        <v>3</v>
      </c>
      <c r="D284" cm="1">
        <f t="array" ref="D284">VLOOKUP(OrderLines[[#This Row],[SKU]:[SKU]],Menu[],MATCH(OrderLines[[#Headers],[UnitPrice]],Menu[#Headers],0),FALSE)</f>
        <v>39.950000000000003</v>
      </c>
      <c r="E284" cm="1">
        <f t="array" ref="E284">VLOOKUP(OrderLines[[#This Row],[SKU]:[SKU]],Menu[],MATCH(OrderLines[[#Headers],[UnitCost]],Menu[#Headers],0),FALSE)</f>
        <v>15.51</v>
      </c>
      <c r="F284" t="str" cm="1">
        <f t="array" ref="F284">VLOOKUP(OrderLines[[#This Row],[SKU]:[SKU]],Menu[],MATCH(OrderLines[[#Headers],[Category]],Menu[#Headers],0),FALSE)</f>
        <v>Snack</v>
      </c>
      <c r="G284" t="str" cm="1">
        <f t="array" ref="G284">_xlfn.TEXTJOIN("+",TRUE,_xlfn._xlws.SORT(_xlfn.UNIQUE(_xlfn._xlws.FILTER(OrderLines[Category],OrderLines[OrderID]=OrderLines[[#This Row],[OrderID]]))))</f>
        <v>Beverage+Hot Meal+Snack</v>
      </c>
      <c r="H284" s="2" cm="1">
        <f t="array" ref="H284">INT(VLOOKUP(OrderLines[[#This Row],[OrderID]:[OrderID]],Orders[],MATCH(OrderLines[[#Headers],[OrderDateTime]],Orders[#Headers],0),FALSE))</f>
        <v>45860</v>
      </c>
      <c r="I284" t="str" cm="1">
        <f t="array" ref="I284">VLOOKUP(OrderLines[[#This Row],[OrderID]:[OrderID]],Orders[],MATCH(OrderLines[[#Headers],[Branch]],Orders[#Headers],0),FALSE)</f>
        <v>Plant 2 Canteen</v>
      </c>
      <c r="J284" cm="1">
        <f t="array" ref="J284">VLOOKUP(OrderLines[[#This Row],[OrderID]:[OrderID]],Orders[],MATCH(OrderLines[[#Headers],[DiscountPct]],Orders[#Headers],0),FALSE)</f>
        <v>0.08</v>
      </c>
      <c r="K284" t="str" cm="1">
        <f t="array" ref="K284">VLOOKUP(OrderLines[[#This Row],[OrderID]:[OrderID]],Orders[],MATCH(OrderLines[[#Headers],[PaymentType]],Orders[#Headers],0),FALSE)</f>
        <v>Cash</v>
      </c>
      <c r="L284" t="str" cm="1">
        <f t="array" ref="L284">VLOOKUP(OrderLines[[#This Row],[OrderID]:[OrderID]],Orders[],MATCH(OrderLines[[#Headers],[Shift]],Orders[#Headers],0),FALSE)</f>
        <v>Dinner</v>
      </c>
      <c r="M284" s="8">
        <f>(OrderLines[[#This Row],[Qty]]*OrderLines[[#This Row],[UnitPrice]])*(1-OrderLines[[#This Row],[DiscountPct]])</f>
        <v>110.26200000000001</v>
      </c>
      <c r="N284" t="str">
        <f>IF(AND(COUNTIFS(OrderLines[OrderID],OrderLines[[#This Row],[OrderID]],OrderLines[Category],"Hot Meal"),COUNTIFS(OrderLines[OrderID],OrderLines[[#This Row],[OrderID]],OrderLines[Category],"Beverage")),"Combo","Single")</f>
        <v>Combo</v>
      </c>
      <c r="O284" s="8" t="str" cm="1">
        <f t="array" ref="O284">IF(SUMPRODUCT(OrderLines[UnitPrice],OrderLines[Qty],OrderLines[DiscountPct],--(OrderLines[OrderID] = OrderLines[[#This Row],[OrderID]]))&gt;40,"High Discount","Ok")</f>
        <v>Ok</v>
      </c>
      <c r="P284">
        <f>OrderLines[[#This Row],[UnitCost]]*OrderLines[[#This Row],[Qty]]</f>
        <v>46.53</v>
      </c>
      <c r="Q284" s="8">
        <f>OrderLines[[#This Row],[LineNetAmount]]-OrderLines[[#This Row],[Food Cost]]</f>
        <v>63.732000000000014</v>
      </c>
    </row>
    <row r="285" spans="1:17" x14ac:dyDescent="0.3">
      <c r="A285" t="s">
        <v>153</v>
      </c>
      <c r="B285" t="s">
        <v>415</v>
      </c>
      <c r="C285">
        <v>1</v>
      </c>
      <c r="D285" cm="1">
        <f t="array" ref="D285">VLOOKUP(OrderLines[[#This Row],[SKU]:[SKU]],Menu[],MATCH(OrderLines[[#Headers],[UnitPrice]],Menu[#Headers],0),FALSE)</f>
        <v>256.91000000000003</v>
      </c>
      <c r="E285" cm="1">
        <f t="array" ref="E285">VLOOKUP(OrderLines[[#This Row],[SKU]:[SKU]],Menu[],MATCH(OrderLines[[#Headers],[UnitCost]],Menu[#Headers],0),FALSE)</f>
        <v>121.24</v>
      </c>
      <c r="F285" t="str" cm="1">
        <f t="array" ref="F285">VLOOKUP(OrderLines[[#This Row],[SKU]:[SKU]],Menu[],MATCH(OrderLines[[#Headers],[Category]],Menu[#Headers],0),FALSE)</f>
        <v>Hot Meal</v>
      </c>
      <c r="G285" t="str" cm="1">
        <f t="array" ref="G285">_xlfn.TEXTJOIN("+",TRUE,_xlfn._xlws.SORT(_xlfn.UNIQUE(_xlfn._xlws.FILTER(OrderLines[Category],OrderLines[OrderID]=OrderLines[[#This Row],[OrderID]]))))</f>
        <v>Beverage+Hot Meal+Snack</v>
      </c>
      <c r="H285" s="2" cm="1">
        <f t="array" ref="H285">INT(VLOOKUP(OrderLines[[#This Row],[OrderID]:[OrderID]],Orders[],MATCH(OrderLines[[#Headers],[OrderDateTime]],Orders[#Headers],0),FALSE))</f>
        <v>45860</v>
      </c>
      <c r="I285" t="str" cm="1">
        <f t="array" ref="I285">VLOOKUP(OrderLines[[#This Row],[OrderID]:[OrderID]],Orders[],MATCH(OrderLines[[#Headers],[Branch]],Orders[#Headers],0),FALSE)</f>
        <v>Plant 2 Canteen</v>
      </c>
      <c r="J285" cm="1">
        <f t="array" ref="J285">VLOOKUP(OrderLines[[#This Row],[OrderID]:[OrderID]],Orders[],MATCH(OrderLines[[#Headers],[DiscountPct]],Orders[#Headers],0),FALSE)</f>
        <v>0.08</v>
      </c>
      <c r="K285" t="str" cm="1">
        <f t="array" ref="K285">VLOOKUP(OrderLines[[#This Row],[OrderID]:[OrderID]],Orders[],MATCH(OrderLines[[#Headers],[PaymentType]],Orders[#Headers],0),FALSE)</f>
        <v>Cash</v>
      </c>
      <c r="L285" t="str" cm="1">
        <f t="array" ref="L285">VLOOKUP(OrderLines[[#This Row],[OrderID]:[OrderID]],Orders[],MATCH(OrderLines[[#Headers],[Shift]],Orders[#Headers],0),FALSE)</f>
        <v>Dinner</v>
      </c>
      <c r="M285" s="8">
        <f>(OrderLines[[#This Row],[Qty]]*OrderLines[[#This Row],[UnitPrice]])*(1-OrderLines[[#This Row],[DiscountPct]])</f>
        <v>236.35720000000003</v>
      </c>
      <c r="N285" t="str">
        <f>IF(AND(COUNTIFS(OrderLines[OrderID],OrderLines[[#This Row],[OrderID]],OrderLines[Category],"Hot Meal"),COUNTIFS(OrderLines[OrderID],OrderLines[[#This Row],[OrderID]],OrderLines[Category],"Beverage")),"Combo","Single")</f>
        <v>Combo</v>
      </c>
      <c r="O285" s="8" t="str" cm="1">
        <f t="array" ref="O285">IF(SUMPRODUCT(OrderLines[UnitPrice],OrderLines[Qty],OrderLines[DiscountPct],--(OrderLines[OrderID] = OrderLines[[#This Row],[OrderID]]))&gt;40,"High Discount","Ok")</f>
        <v>Ok</v>
      </c>
      <c r="P285">
        <f>OrderLines[[#This Row],[UnitCost]]*OrderLines[[#This Row],[Qty]]</f>
        <v>121.24</v>
      </c>
      <c r="Q285" s="8">
        <f>OrderLines[[#This Row],[LineNetAmount]]-OrderLines[[#This Row],[Food Cost]]</f>
        <v>115.11720000000004</v>
      </c>
    </row>
    <row r="286" spans="1:17" x14ac:dyDescent="0.3">
      <c r="A286" t="s">
        <v>153</v>
      </c>
      <c r="B286" t="s">
        <v>404</v>
      </c>
      <c r="C286">
        <v>1</v>
      </c>
      <c r="D286" cm="1">
        <f t="array" ref="D286">VLOOKUP(OrderLines[[#This Row],[SKU]:[SKU]],Menu[],MATCH(OrderLines[[#Headers],[UnitPrice]],Menu[#Headers],0),FALSE)</f>
        <v>32.979999999999997</v>
      </c>
      <c r="E286" cm="1">
        <f t="array" ref="E286">VLOOKUP(OrderLines[[#This Row],[SKU]:[SKU]],Menu[],MATCH(OrderLines[[#Headers],[UnitCost]],Menu[#Headers],0),FALSE)</f>
        <v>11.84</v>
      </c>
      <c r="F286" t="str" cm="1">
        <f t="array" ref="F286">VLOOKUP(OrderLines[[#This Row],[SKU]:[SKU]],Menu[],MATCH(OrderLines[[#Headers],[Category]],Menu[#Headers],0),FALSE)</f>
        <v>Beverage</v>
      </c>
      <c r="G286" t="str" cm="1">
        <f t="array" ref="G286">_xlfn.TEXTJOIN("+",TRUE,_xlfn._xlws.SORT(_xlfn.UNIQUE(_xlfn._xlws.FILTER(OrderLines[Category],OrderLines[OrderID]=OrderLines[[#This Row],[OrderID]]))))</f>
        <v>Beverage+Hot Meal+Snack</v>
      </c>
      <c r="H286" s="2" cm="1">
        <f t="array" ref="H286">INT(VLOOKUP(OrderLines[[#This Row],[OrderID]:[OrderID]],Orders[],MATCH(OrderLines[[#Headers],[OrderDateTime]],Orders[#Headers],0),FALSE))</f>
        <v>45860</v>
      </c>
      <c r="I286" t="str" cm="1">
        <f t="array" ref="I286">VLOOKUP(OrderLines[[#This Row],[OrderID]:[OrderID]],Orders[],MATCH(OrderLines[[#Headers],[Branch]],Orders[#Headers],0),FALSE)</f>
        <v>Plant 2 Canteen</v>
      </c>
      <c r="J286" cm="1">
        <f t="array" ref="J286">VLOOKUP(OrderLines[[#This Row],[OrderID]:[OrderID]],Orders[],MATCH(OrderLines[[#Headers],[DiscountPct]],Orders[#Headers],0),FALSE)</f>
        <v>0.08</v>
      </c>
      <c r="K286" t="str" cm="1">
        <f t="array" ref="K286">VLOOKUP(OrderLines[[#This Row],[OrderID]:[OrderID]],Orders[],MATCH(OrderLines[[#Headers],[PaymentType]],Orders[#Headers],0),FALSE)</f>
        <v>Cash</v>
      </c>
      <c r="L286" t="str" cm="1">
        <f t="array" ref="L286">VLOOKUP(OrderLines[[#This Row],[OrderID]:[OrderID]],Orders[],MATCH(OrderLines[[#Headers],[Shift]],Orders[#Headers],0),FALSE)</f>
        <v>Dinner</v>
      </c>
      <c r="M286" s="8">
        <f>(OrderLines[[#This Row],[Qty]]*OrderLines[[#This Row],[UnitPrice]])*(1-OrderLines[[#This Row],[DiscountPct]])</f>
        <v>30.3416</v>
      </c>
      <c r="N286" t="str">
        <f>IF(AND(COUNTIFS(OrderLines[OrderID],OrderLines[[#This Row],[OrderID]],OrderLines[Category],"Hot Meal"),COUNTIFS(OrderLines[OrderID],OrderLines[[#This Row],[OrderID]],OrderLines[Category],"Beverage")),"Combo","Single")</f>
        <v>Combo</v>
      </c>
      <c r="O286" s="8" t="str" cm="1">
        <f t="array" ref="O286">IF(SUMPRODUCT(OrderLines[UnitPrice],OrderLines[Qty],OrderLines[DiscountPct],--(OrderLines[OrderID] = OrderLines[[#This Row],[OrderID]]))&gt;40,"High Discount","Ok")</f>
        <v>Ok</v>
      </c>
      <c r="P286">
        <f>OrderLines[[#This Row],[UnitCost]]*OrderLines[[#This Row],[Qty]]</f>
        <v>11.84</v>
      </c>
      <c r="Q286" s="8">
        <f>OrderLines[[#This Row],[LineNetAmount]]-OrderLines[[#This Row],[Food Cost]]</f>
        <v>18.5016</v>
      </c>
    </row>
    <row r="287" spans="1:17" x14ac:dyDescent="0.3">
      <c r="A287" t="s">
        <v>154</v>
      </c>
      <c r="B287" t="s">
        <v>414</v>
      </c>
      <c r="C287">
        <v>2</v>
      </c>
      <c r="D287" cm="1">
        <f t="array" ref="D287">VLOOKUP(OrderLines[[#This Row],[SKU]:[SKU]],Menu[],MATCH(OrderLines[[#Headers],[UnitPrice]],Menu[#Headers],0),FALSE)</f>
        <v>116.8</v>
      </c>
      <c r="E287" cm="1">
        <f t="array" ref="E287">VLOOKUP(OrderLines[[#This Row],[SKU]:[SKU]],Menu[],MATCH(OrderLines[[#Headers],[UnitCost]],Menu[#Headers],0),FALSE)</f>
        <v>48.97</v>
      </c>
      <c r="F287" t="str" cm="1">
        <f t="array" ref="F287">VLOOKUP(OrderLines[[#This Row],[SKU]:[SKU]],Menu[],MATCH(OrderLines[[#Headers],[Category]],Menu[#Headers],0),FALSE)</f>
        <v>Dessert</v>
      </c>
      <c r="G287" t="str" cm="1">
        <f t="array" ref="G287">_xlfn.TEXTJOIN("+",TRUE,_xlfn._xlws.SORT(_xlfn.UNIQUE(_xlfn._xlws.FILTER(OrderLines[Category],OrderLines[OrderID]=OrderLines[[#This Row],[OrderID]]))))</f>
        <v>Beverage+Dessert+Snack</v>
      </c>
      <c r="H287" s="2" cm="1">
        <f t="array" ref="H287">INT(VLOOKUP(OrderLines[[#This Row],[OrderID]:[OrderID]],Orders[],MATCH(OrderLines[[#Headers],[OrderDateTime]],Orders[#Headers],0),FALSE))</f>
        <v>45895</v>
      </c>
      <c r="I287" t="str" cm="1">
        <f t="array" ref="I287">VLOOKUP(OrderLines[[#This Row],[OrderID]:[OrderID]],Orders[],MATCH(OrderLines[[#Headers],[Branch]],Orders[#Headers],0),FALSE)</f>
        <v>Plant 2 Canteen</v>
      </c>
      <c r="J287" cm="1">
        <f t="array" ref="J287">VLOOKUP(OrderLines[[#This Row],[OrderID]:[OrderID]],Orders[],MATCH(OrderLines[[#Headers],[DiscountPct]],Orders[#Headers],0),FALSE)</f>
        <v>0.01</v>
      </c>
      <c r="K287" t="str" cm="1">
        <f t="array" ref="K287">VLOOKUP(OrderLines[[#This Row],[OrderID]:[OrderID]],Orders[],MATCH(OrderLines[[#Headers],[PaymentType]],Orders[#Headers],0),FALSE)</f>
        <v>UPI</v>
      </c>
      <c r="L287" t="str" cm="1">
        <f t="array" ref="L287">VLOOKUP(OrderLines[[#This Row],[OrderID]:[OrderID]],Orders[],MATCH(OrderLines[[#Headers],[Shift]],Orders[#Headers],0),FALSE)</f>
        <v>Dinner</v>
      </c>
      <c r="M287" s="8">
        <f>(OrderLines[[#This Row],[Qty]]*OrderLines[[#This Row],[UnitPrice]])*(1-OrderLines[[#This Row],[DiscountPct]])</f>
        <v>231.26399999999998</v>
      </c>
      <c r="N287" t="str">
        <f>IF(AND(COUNTIFS(OrderLines[OrderID],OrderLines[[#This Row],[OrderID]],OrderLines[Category],"Hot Meal"),COUNTIFS(OrderLines[OrderID],OrderLines[[#This Row],[OrderID]],OrderLines[Category],"Beverage")),"Combo","Single")</f>
        <v>Single</v>
      </c>
      <c r="O287" s="8" t="str" cm="1">
        <f t="array" ref="O287">IF(SUMPRODUCT(OrderLines[UnitPrice],OrderLines[Qty],OrderLines[DiscountPct],--(OrderLines[OrderID] = OrderLines[[#This Row],[OrderID]]))&gt;40,"High Discount","Ok")</f>
        <v>Ok</v>
      </c>
      <c r="P287">
        <f>OrderLines[[#This Row],[UnitCost]]*OrderLines[[#This Row],[Qty]]</f>
        <v>97.94</v>
      </c>
      <c r="Q287" s="8">
        <f>OrderLines[[#This Row],[LineNetAmount]]-OrderLines[[#This Row],[Food Cost]]</f>
        <v>133.32399999999998</v>
      </c>
    </row>
    <row r="288" spans="1:17" x14ac:dyDescent="0.3">
      <c r="A288" t="s">
        <v>154</v>
      </c>
      <c r="B288" t="s">
        <v>419</v>
      </c>
      <c r="C288">
        <v>3</v>
      </c>
      <c r="D288" cm="1">
        <f t="array" ref="D288">VLOOKUP(OrderLines[[#This Row],[SKU]:[SKU]],Menu[],MATCH(OrderLines[[#Headers],[UnitPrice]],Menu[#Headers],0),FALSE)</f>
        <v>50.19</v>
      </c>
      <c r="E288" cm="1">
        <f t="array" ref="E288">VLOOKUP(OrderLines[[#This Row],[SKU]:[SKU]],Menu[],MATCH(OrderLines[[#Headers],[UnitCost]],Menu[#Headers],0),FALSE)</f>
        <v>22.61</v>
      </c>
      <c r="F288" t="str" cm="1">
        <f t="array" ref="F288">VLOOKUP(OrderLines[[#This Row],[SKU]:[SKU]],Menu[],MATCH(OrderLines[[#Headers],[Category]],Menu[#Headers],0),FALSE)</f>
        <v>Snack</v>
      </c>
      <c r="G288" t="str" cm="1">
        <f t="array" ref="G288">_xlfn.TEXTJOIN("+",TRUE,_xlfn._xlws.SORT(_xlfn.UNIQUE(_xlfn._xlws.FILTER(OrderLines[Category],OrderLines[OrderID]=OrderLines[[#This Row],[OrderID]]))))</f>
        <v>Beverage+Dessert+Snack</v>
      </c>
      <c r="H288" s="2" cm="1">
        <f t="array" ref="H288">INT(VLOOKUP(OrderLines[[#This Row],[OrderID]:[OrderID]],Orders[],MATCH(OrderLines[[#Headers],[OrderDateTime]],Orders[#Headers],0),FALSE))</f>
        <v>45895</v>
      </c>
      <c r="I288" t="str" cm="1">
        <f t="array" ref="I288">VLOOKUP(OrderLines[[#This Row],[OrderID]:[OrderID]],Orders[],MATCH(OrderLines[[#Headers],[Branch]],Orders[#Headers],0),FALSE)</f>
        <v>Plant 2 Canteen</v>
      </c>
      <c r="J288" cm="1">
        <f t="array" ref="J288">VLOOKUP(OrderLines[[#This Row],[OrderID]:[OrderID]],Orders[],MATCH(OrderLines[[#Headers],[DiscountPct]],Orders[#Headers],0),FALSE)</f>
        <v>0.01</v>
      </c>
      <c r="K288" t="str" cm="1">
        <f t="array" ref="K288">VLOOKUP(OrderLines[[#This Row],[OrderID]:[OrderID]],Orders[],MATCH(OrderLines[[#Headers],[PaymentType]],Orders[#Headers],0),FALSE)</f>
        <v>UPI</v>
      </c>
      <c r="L288" t="str" cm="1">
        <f t="array" ref="L288">VLOOKUP(OrderLines[[#This Row],[OrderID]:[OrderID]],Orders[],MATCH(OrderLines[[#Headers],[Shift]],Orders[#Headers],0),FALSE)</f>
        <v>Dinner</v>
      </c>
      <c r="M288" s="8">
        <f>(OrderLines[[#This Row],[Qty]]*OrderLines[[#This Row],[UnitPrice]])*(1-OrderLines[[#This Row],[DiscountPct]])</f>
        <v>149.0643</v>
      </c>
      <c r="N288" t="str">
        <f>IF(AND(COUNTIFS(OrderLines[OrderID],OrderLines[[#This Row],[OrderID]],OrderLines[Category],"Hot Meal"),COUNTIFS(OrderLines[OrderID],OrderLines[[#This Row],[OrderID]],OrderLines[Category],"Beverage")),"Combo","Single")</f>
        <v>Single</v>
      </c>
      <c r="O288" s="8" t="str" cm="1">
        <f t="array" ref="O288">IF(SUMPRODUCT(OrderLines[UnitPrice],OrderLines[Qty],OrderLines[DiscountPct],--(OrderLines[OrderID] = OrderLines[[#This Row],[OrderID]]))&gt;40,"High Discount","Ok")</f>
        <v>Ok</v>
      </c>
      <c r="P288">
        <f>OrderLines[[#This Row],[UnitCost]]*OrderLines[[#This Row],[Qty]]</f>
        <v>67.83</v>
      </c>
      <c r="Q288" s="8">
        <f>OrderLines[[#This Row],[LineNetAmount]]-OrderLines[[#This Row],[Food Cost]]</f>
        <v>81.234300000000005</v>
      </c>
    </row>
    <row r="289" spans="1:17" x14ac:dyDescent="0.3">
      <c r="A289" t="s">
        <v>154</v>
      </c>
      <c r="B289" t="s">
        <v>410</v>
      </c>
      <c r="C289">
        <v>3</v>
      </c>
      <c r="D289" cm="1">
        <f t="array" ref="D289">VLOOKUP(OrderLines[[#This Row],[SKU]:[SKU]],Menu[],MATCH(OrderLines[[#Headers],[UnitPrice]],Menu[#Headers],0),FALSE)</f>
        <v>20.11</v>
      </c>
      <c r="E289" cm="1">
        <f t="array" ref="E289">VLOOKUP(OrderLines[[#This Row],[SKU]:[SKU]],Menu[],MATCH(OrderLines[[#Headers],[UnitCost]],Menu[#Headers],0),FALSE)</f>
        <v>8</v>
      </c>
      <c r="F289" t="str" cm="1">
        <f t="array" ref="F289">VLOOKUP(OrderLines[[#This Row],[SKU]:[SKU]],Menu[],MATCH(OrderLines[[#Headers],[Category]],Menu[#Headers],0),FALSE)</f>
        <v>Beverage</v>
      </c>
      <c r="G289" t="str" cm="1">
        <f t="array" ref="G289">_xlfn.TEXTJOIN("+",TRUE,_xlfn._xlws.SORT(_xlfn.UNIQUE(_xlfn._xlws.FILTER(OrderLines[Category],OrderLines[OrderID]=OrderLines[[#This Row],[OrderID]]))))</f>
        <v>Beverage+Dessert+Snack</v>
      </c>
      <c r="H289" s="2" cm="1">
        <f t="array" ref="H289">INT(VLOOKUP(OrderLines[[#This Row],[OrderID]:[OrderID]],Orders[],MATCH(OrderLines[[#Headers],[OrderDateTime]],Orders[#Headers],0),FALSE))</f>
        <v>45895</v>
      </c>
      <c r="I289" t="str" cm="1">
        <f t="array" ref="I289">VLOOKUP(OrderLines[[#This Row],[OrderID]:[OrderID]],Orders[],MATCH(OrderLines[[#Headers],[Branch]],Orders[#Headers],0),FALSE)</f>
        <v>Plant 2 Canteen</v>
      </c>
      <c r="J289" cm="1">
        <f t="array" ref="J289">VLOOKUP(OrderLines[[#This Row],[OrderID]:[OrderID]],Orders[],MATCH(OrderLines[[#Headers],[DiscountPct]],Orders[#Headers],0),FALSE)</f>
        <v>0.01</v>
      </c>
      <c r="K289" t="str" cm="1">
        <f t="array" ref="K289">VLOOKUP(OrderLines[[#This Row],[OrderID]:[OrderID]],Orders[],MATCH(OrderLines[[#Headers],[PaymentType]],Orders[#Headers],0),FALSE)</f>
        <v>UPI</v>
      </c>
      <c r="L289" t="str" cm="1">
        <f t="array" ref="L289">VLOOKUP(OrderLines[[#This Row],[OrderID]:[OrderID]],Orders[],MATCH(OrderLines[[#Headers],[Shift]],Orders[#Headers],0),FALSE)</f>
        <v>Dinner</v>
      </c>
      <c r="M289" s="8">
        <f>(OrderLines[[#This Row],[Qty]]*OrderLines[[#This Row],[UnitPrice]])*(1-OrderLines[[#This Row],[DiscountPct]])</f>
        <v>59.726700000000001</v>
      </c>
      <c r="N289" t="str">
        <f>IF(AND(COUNTIFS(OrderLines[OrderID],OrderLines[[#This Row],[OrderID]],OrderLines[Category],"Hot Meal"),COUNTIFS(OrderLines[OrderID],OrderLines[[#This Row],[OrderID]],OrderLines[Category],"Beverage")),"Combo","Single")</f>
        <v>Single</v>
      </c>
      <c r="O289" s="8" t="str" cm="1">
        <f t="array" ref="O289">IF(SUMPRODUCT(OrderLines[UnitPrice],OrderLines[Qty],OrderLines[DiscountPct],--(OrderLines[OrderID] = OrderLines[[#This Row],[OrderID]]))&gt;40,"High Discount","Ok")</f>
        <v>Ok</v>
      </c>
      <c r="P289">
        <f>OrderLines[[#This Row],[UnitCost]]*OrderLines[[#This Row],[Qty]]</f>
        <v>24</v>
      </c>
      <c r="Q289" s="8">
        <f>OrderLines[[#This Row],[LineNetAmount]]-OrderLines[[#This Row],[Food Cost]]</f>
        <v>35.726700000000001</v>
      </c>
    </row>
    <row r="290" spans="1:17" x14ac:dyDescent="0.3">
      <c r="A290" t="s">
        <v>154</v>
      </c>
      <c r="B290" t="s">
        <v>403</v>
      </c>
      <c r="C290">
        <v>3</v>
      </c>
      <c r="D290" cm="1">
        <f t="array" ref="D290">VLOOKUP(OrderLines[[#This Row],[SKU]:[SKU]],Menu[],MATCH(OrderLines[[#Headers],[UnitPrice]],Menu[#Headers],0),FALSE)</f>
        <v>76.55</v>
      </c>
      <c r="E290" cm="1">
        <f t="array" ref="E290">VLOOKUP(OrderLines[[#This Row],[SKU]:[SKU]],Menu[],MATCH(OrderLines[[#Headers],[UnitCost]],Menu[#Headers],0),FALSE)</f>
        <v>38.229999999999997</v>
      </c>
      <c r="F290" t="str" cm="1">
        <f t="array" ref="F290">VLOOKUP(OrderLines[[#This Row],[SKU]:[SKU]],Menu[],MATCH(OrderLines[[#Headers],[Category]],Menu[#Headers],0),FALSE)</f>
        <v>Dessert</v>
      </c>
      <c r="G290" t="str" cm="1">
        <f t="array" ref="G290">_xlfn.TEXTJOIN("+",TRUE,_xlfn._xlws.SORT(_xlfn.UNIQUE(_xlfn._xlws.FILTER(OrderLines[Category],OrderLines[OrderID]=OrderLines[[#This Row],[OrderID]]))))</f>
        <v>Beverage+Dessert+Snack</v>
      </c>
      <c r="H290" s="2" cm="1">
        <f t="array" ref="H290">INT(VLOOKUP(OrderLines[[#This Row],[OrderID]:[OrderID]],Orders[],MATCH(OrderLines[[#Headers],[OrderDateTime]],Orders[#Headers],0),FALSE))</f>
        <v>45895</v>
      </c>
      <c r="I290" t="str" cm="1">
        <f t="array" ref="I290">VLOOKUP(OrderLines[[#This Row],[OrderID]:[OrderID]],Orders[],MATCH(OrderLines[[#Headers],[Branch]],Orders[#Headers],0),FALSE)</f>
        <v>Plant 2 Canteen</v>
      </c>
      <c r="J290" cm="1">
        <f t="array" ref="J290">VLOOKUP(OrderLines[[#This Row],[OrderID]:[OrderID]],Orders[],MATCH(OrderLines[[#Headers],[DiscountPct]],Orders[#Headers],0),FALSE)</f>
        <v>0.01</v>
      </c>
      <c r="K290" t="str" cm="1">
        <f t="array" ref="K290">VLOOKUP(OrderLines[[#This Row],[OrderID]:[OrderID]],Orders[],MATCH(OrderLines[[#Headers],[PaymentType]],Orders[#Headers],0),FALSE)</f>
        <v>UPI</v>
      </c>
      <c r="L290" t="str" cm="1">
        <f t="array" ref="L290">VLOOKUP(OrderLines[[#This Row],[OrderID]:[OrderID]],Orders[],MATCH(OrderLines[[#Headers],[Shift]],Orders[#Headers],0),FALSE)</f>
        <v>Dinner</v>
      </c>
      <c r="M290" s="8">
        <f>(OrderLines[[#This Row],[Qty]]*OrderLines[[#This Row],[UnitPrice]])*(1-OrderLines[[#This Row],[DiscountPct]])</f>
        <v>227.35349999999997</v>
      </c>
      <c r="N290" t="str">
        <f>IF(AND(COUNTIFS(OrderLines[OrderID],OrderLines[[#This Row],[OrderID]],OrderLines[Category],"Hot Meal"),COUNTIFS(OrderLines[OrderID],OrderLines[[#This Row],[OrderID]],OrderLines[Category],"Beverage")),"Combo","Single")</f>
        <v>Single</v>
      </c>
      <c r="O290" s="8" t="str" cm="1">
        <f t="array" ref="O290">IF(SUMPRODUCT(OrderLines[UnitPrice],OrderLines[Qty],OrderLines[DiscountPct],--(OrderLines[OrderID] = OrderLines[[#This Row],[OrderID]]))&gt;40,"High Discount","Ok")</f>
        <v>Ok</v>
      </c>
      <c r="P290">
        <f>OrderLines[[#This Row],[UnitCost]]*OrderLines[[#This Row],[Qty]]</f>
        <v>114.69</v>
      </c>
      <c r="Q290" s="8">
        <f>OrderLines[[#This Row],[LineNetAmount]]-OrderLines[[#This Row],[Food Cost]]</f>
        <v>112.66349999999997</v>
      </c>
    </row>
    <row r="291" spans="1:17" x14ac:dyDescent="0.3">
      <c r="A291" t="s">
        <v>155</v>
      </c>
      <c r="B291" t="s">
        <v>401</v>
      </c>
      <c r="C291">
        <v>1</v>
      </c>
      <c r="D291" cm="1">
        <f t="array" ref="D291">VLOOKUP(OrderLines[[#This Row],[SKU]:[SKU]],Menu[],MATCH(OrderLines[[#Headers],[UnitPrice]],Menu[#Headers],0),FALSE)</f>
        <v>52.45</v>
      </c>
      <c r="E291" cm="1">
        <f t="array" ref="E291">VLOOKUP(OrderLines[[#This Row],[SKU]:[SKU]],Menu[],MATCH(OrderLines[[#Headers],[UnitCost]],Menu[#Headers],0),FALSE)</f>
        <v>25.8</v>
      </c>
      <c r="F291" t="str" cm="1">
        <f t="array" ref="F291">VLOOKUP(OrderLines[[#This Row],[SKU]:[SKU]],Menu[],MATCH(OrderLines[[#Headers],[Category]],Menu[#Headers],0),FALSE)</f>
        <v>Snack</v>
      </c>
      <c r="G291" t="str" cm="1">
        <f t="array" ref="G291">_xlfn.TEXTJOIN("+",TRUE,_xlfn._xlws.SORT(_xlfn.UNIQUE(_xlfn._xlws.FILTER(OrderLines[Category],OrderLines[OrderID]=OrderLines[[#This Row],[OrderID]]))))</f>
        <v>Snack</v>
      </c>
      <c r="H291" s="2" cm="1">
        <f t="array" ref="H291">INT(VLOOKUP(OrderLines[[#This Row],[OrderID]:[OrderID]],Orders[],MATCH(OrderLines[[#Headers],[OrderDateTime]],Orders[#Headers],0),FALSE))</f>
        <v>45872</v>
      </c>
      <c r="I291" t="str" cm="1">
        <f t="array" ref="I291">VLOOKUP(OrderLines[[#This Row],[OrderID]:[OrderID]],Orders[],MATCH(OrderLines[[#Headers],[Branch]],Orders[#Headers],0),FALSE)</f>
        <v>Plant 2 Canteen</v>
      </c>
      <c r="J291" cm="1">
        <f t="array" ref="J291">VLOOKUP(OrderLines[[#This Row],[OrderID]:[OrderID]],Orders[],MATCH(OrderLines[[#Headers],[DiscountPct]],Orders[#Headers],0),FALSE)</f>
        <v>0.09</v>
      </c>
      <c r="K291" t="str" cm="1">
        <f t="array" ref="K291">VLOOKUP(OrderLines[[#This Row],[OrderID]:[OrderID]],Orders[],MATCH(OrderLines[[#Headers],[PaymentType]],Orders[#Headers],0),FALSE)</f>
        <v>UPI</v>
      </c>
      <c r="L291" t="str" cm="1">
        <f t="array" ref="L291">VLOOKUP(OrderLines[[#This Row],[OrderID]:[OrderID]],Orders[],MATCH(OrderLines[[#Headers],[Shift]],Orders[#Headers],0),FALSE)</f>
        <v>Lunch</v>
      </c>
      <c r="M291" s="8">
        <f>(OrderLines[[#This Row],[Qty]]*OrderLines[[#This Row],[UnitPrice]])*(1-OrderLines[[#This Row],[DiscountPct]])</f>
        <v>47.729500000000002</v>
      </c>
      <c r="N291" t="str">
        <f>IF(AND(COUNTIFS(OrderLines[OrderID],OrderLines[[#This Row],[OrderID]],OrderLines[Category],"Hot Meal"),COUNTIFS(OrderLines[OrderID],OrderLines[[#This Row],[OrderID]],OrderLines[Category],"Beverage")),"Combo","Single")</f>
        <v>Single</v>
      </c>
      <c r="O291" s="8" t="str" cm="1">
        <f t="array" ref="O291">IF(SUMPRODUCT(OrderLines[UnitPrice],OrderLines[Qty],OrderLines[DiscountPct],--(OrderLines[OrderID] = OrderLines[[#This Row],[OrderID]]))&gt;40,"High Discount","Ok")</f>
        <v>Ok</v>
      </c>
      <c r="P291">
        <f>OrderLines[[#This Row],[UnitCost]]*OrderLines[[#This Row],[Qty]]</f>
        <v>25.8</v>
      </c>
      <c r="Q291" s="8">
        <f>OrderLines[[#This Row],[LineNetAmount]]-OrderLines[[#This Row],[Food Cost]]</f>
        <v>21.929500000000001</v>
      </c>
    </row>
    <row r="292" spans="1:17" x14ac:dyDescent="0.3">
      <c r="A292" t="s">
        <v>156</v>
      </c>
      <c r="B292" t="s">
        <v>408</v>
      </c>
      <c r="C292">
        <v>1</v>
      </c>
      <c r="D292" cm="1">
        <f t="array" ref="D292">VLOOKUP(OrderLines[[#This Row],[SKU]:[SKU]],Menu[],MATCH(OrderLines[[#Headers],[UnitPrice]],Menu[#Headers],0),FALSE)</f>
        <v>70.540000000000006</v>
      </c>
      <c r="E292" cm="1">
        <f t="array" ref="E292">VLOOKUP(OrderLines[[#This Row],[SKU]:[SKU]],Menu[],MATCH(OrderLines[[#Headers],[UnitCost]],Menu[#Headers],0),FALSE)</f>
        <v>35.81</v>
      </c>
      <c r="F292" t="str" cm="1">
        <f t="array" ref="F292">VLOOKUP(OrderLines[[#This Row],[SKU]:[SKU]],Menu[],MATCH(OrderLines[[#Headers],[Category]],Menu[#Headers],0),FALSE)</f>
        <v>Snack</v>
      </c>
      <c r="G292" t="str" cm="1">
        <f t="array" ref="G292">_xlfn.TEXTJOIN("+",TRUE,_xlfn._xlws.SORT(_xlfn.UNIQUE(_xlfn._xlws.FILTER(OrderLines[Category],OrderLines[OrderID]=OrderLines[[#This Row],[OrderID]]))))</f>
        <v>Snack</v>
      </c>
      <c r="H292" s="2" cm="1">
        <f t="array" ref="H292">INT(VLOOKUP(OrderLines[[#This Row],[OrderID]:[OrderID]],Orders[],MATCH(OrderLines[[#Headers],[OrderDateTime]],Orders[#Headers],0),FALSE))</f>
        <v>45873</v>
      </c>
      <c r="I292" t="str" cm="1">
        <f t="array" ref="I292">VLOOKUP(OrderLines[[#This Row],[OrderID]:[OrderID]],Orders[],MATCH(OrderLines[[#Headers],[Branch]],Orders[#Headers],0),FALSE)</f>
        <v>Head Office Café</v>
      </c>
      <c r="J292" cm="1">
        <f t="array" ref="J292">VLOOKUP(OrderLines[[#This Row],[OrderID]:[OrderID]],Orders[],MATCH(OrderLines[[#Headers],[DiscountPct]],Orders[#Headers],0),FALSE)</f>
        <v>0.02</v>
      </c>
      <c r="K292" t="str" cm="1">
        <f t="array" ref="K292">VLOOKUP(OrderLines[[#This Row],[OrderID]:[OrderID]],Orders[],MATCH(OrderLines[[#Headers],[PaymentType]],Orders[#Headers],0),FALSE)</f>
        <v>Card</v>
      </c>
      <c r="L292" t="str" cm="1">
        <f t="array" ref="L292">VLOOKUP(OrderLines[[#This Row],[OrderID]:[OrderID]],Orders[],MATCH(OrderLines[[#Headers],[Shift]],Orders[#Headers],0),FALSE)</f>
        <v>Breakfast</v>
      </c>
      <c r="M292" s="8">
        <f>(OrderLines[[#This Row],[Qty]]*OrderLines[[#This Row],[UnitPrice]])*(1-OrderLines[[#This Row],[DiscountPct]])</f>
        <v>69.129200000000012</v>
      </c>
      <c r="N292" t="str">
        <f>IF(AND(COUNTIFS(OrderLines[OrderID],OrderLines[[#This Row],[OrderID]],OrderLines[Category],"Hot Meal"),COUNTIFS(OrderLines[OrderID],OrderLines[[#This Row],[OrderID]],OrderLines[Category],"Beverage")),"Combo","Single")</f>
        <v>Single</v>
      </c>
      <c r="O292" s="8" t="str" cm="1">
        <f t="array" ref="O292">IF(SUMPRODUCT(OrderLines[UnitPrice],OrderLines[Qty],OrderLines[DiscountPct],--(OrderLines[OrderID] = OrderLines[[#This Row],[OrderID]]))&gt;40,"High Discount","Ok")</f>
        <v>Ok</v>
      </c>
      <c r="P292">
        <f>OrderLines[[#This Row],[UnitCost]]*OrderLines[[#This Row],[Qty]]</f>
        <v>35.81</v>
      </c>
      <c r="Q292" s="8">
        <f>OrderLines[[#This Row],[LineNetAmount]]-OrderLines[[#This Row],[Food Cost]]</f>
        <v>33.319200000000009</v>
      </c>
    </row>
    <row r="293" spans="1:17" x14ac:dyDescent="0.3">
      <c r="A293" t="s">
        <v>157</v>
      </c>
      <c r="B293" t="s">
        <v>410</v>
      </c>
      <c r="C293">
        <v>1</v>
      </c>
      <c r="D293" cm="1">
        <f t="array" ref="D293">VLOOKUP(OrderLines[[#This Row],[SKU]:[SKU]],Menu[],MATCH(OrderLines[[#Headers],[UnitPrice]],Menu[#Headers],0),FALSE)</f>
        <v>20.11</v>
      </c>
      <c r="E293" cm="1">
        <f t="array" ref="E293">VLOOKUP(OrderLines[[#This Row],[SKU]:[SKU]],Menu[],MATCH(OrderLines[[#Headers],[UnitCost]],Menu[#Headers],0),FALSE)</f>
        <v>8</v>
      </c>
      <c r="F293" t="str" cm="1">
        <f t="array" ref="F293">VLOOKUP(OrderLines[[#This Row],[SKU]:[SKU]],Menu[],MATCH(OrderLines[[#Headers],[Category]],Menu[#Headers],0),FALSE)</f>
        <v>Beverage</v>
      </c>
      <c r="G293" t="str" cm="1">
        <f t="array" ref="G293">_xlfn.TEXTJOIN("+",TRUE,_xlfn._xlws.SORT(_xlfn.UNIQUE(_xlfn._xlws.FILTER(OrderLines[Category],OrderLines[OrderID]=OrderLines[[#This Row],[OrderID]]))))</f>
        <v>Beverage+Snack</v>
      </c>
      <c r="H293" s="2" cm="1">
        <f t="array" ref="H293">INT(VLOOKUP(OrderLines[[#This Row],[OrderID]:[OrderID]],Orders[],MATCH(OrderLines[[#Headers],[OrderDateTime]],Orders[#Headers],0),FALSE))</f>
        <v>45863</v>
      </c>
      <c r="I293" t="str" cm="1">
        <f t="array" ref="I293">VLOOKUP(OrderLines[[#This Row],[OrderID]:[OrderID]],Orders[],MATCH(OrderLines[[#Headers],[Branch]],Orders[#Headers],0),FALSE)</f>
        <v>Plant 1 Canteen</v>
      </c>
      <c r="J293" cm="1">
        <f t="array" ref="J293">VLOOKUP(OrderLines[[#This Row],[OrderID]:[OrderID]],Orders[],MATCH(OrderLines[[#Headers],[DiscountPct]],Orders[#Headers],0),FALSE)</f>
        <v>0.09</v>
      </c>
      <c r="K293" t="str" cm="1">
        <f t="array" ref="K293">VLOOKUP(OrderLines[[#This Row],[OrderID]:[OrderID]],Orders[],MATCH(OrderLines[[#Headers],[PaymentType]],Orders[#Headers],0),FALSE)</f>
        <v>UPI</v>
      </c>
      <c r="L293" t="str" cm="1">
        <f t="array" ref="L293">VLOOKUP(OrderLines[[#This Row],[OrderID]:[OrderID]],Orders[],MATCH(OrderLines[[#Headers],[Shift]],Orders[#Headers],0),FALSE)</f>
        <v>Lunch</v>
      </c>
      <c r="M293" s="8">
        <f>(OrderLines[[#This Row],[Qty]]*OrderLines[[#This Row],[UnitPrice]])*(1-OrderLines[[#This Row],[DiscountPct]])</f>
        <v>18.3001</v>
      </c>
      <c r="N293" t="str">
        <f>IF(AND(COUNTIFS(OrderLines[OrderID],OrderLines[[#This Row],[OrderID]],OrderLines[Category],"Hot Meal"),COUNTIFS(OrderLines[OrderID],OrderLines[[#This Row],[OrderID]],OrderLines[Category],"Beverage")),"Combo","Single")</f>
        <v>Single</v>
      </c>
      <c r="O293" s="8" t="str" cm="1">
        <f t="array" ref="O293">IF(SUMPRODUCT(OrderLines[UnitPrice],OrderLines[Qty],OrderLines[DiscountPct],--(OrderLines[OrderID] = OrderLines[[#This Row],[OrderID]]))&gt;40,"High Discount","Ok")</f>
        <v>Ok</v>
      </c>
      <c r="P293">
        <f>OrderLines[[#This Row],[UnitCost]]*OrderLines[[#This Row],[Qty]]</f>
        <v>8</v>
      </c>
      <c r="Q293" s="8">
        <f>OrderLines[[#This Row],[LineNetAmount]]-OrderLines[[#This Row],[Food Cost]]</f>
        <v>10.3001</v>
      </c>
    </row>
    <row r="294" spans="1:17" x14ac:dyDescent="0.3">
      <c r="A294" t="s">
        <v>157</v>
      </c>
      <c r="B294" t="s">
        <v>408</v>
      </c>
      <c r="C294">
        <v>1</v>
      </c>
      <c r="D294" cm="1">
        <f t="array" ref="D294">VLOOKUP(OrderLines[[#This Row],[SKU]:[SKU]],Menu[],MATCH(OrderLines[[#Headers],[UnitPrice]],Menu[#Headers],0),FALSE)</f>
        <v>70.540000000000006</v>
      </c>
      <c r="E294" cm="1">
        <f t="array" ref="E294">VLOOKUP(OrderLines[[#This Row],[SKU]:[SKU]],Menu[],MATCH(OrderLines[[#Headers],[UnitCost]],Menu[#Headers],0),FALSE)</f>
        <v>35.81</v>
      </c>
      <c r="F294" t="str" cm="1">
        <f t="array" ref="F294">VLOOKUP(OrderLines[[#This Row],[SKU]:[SKU]],Menu[],MATCH(OrderLines[[#Headers],[Category]],Menu[#Headers],0),FALSE)</f>
        <v>Snack</v>
      </c>
      <c r="G294" t="str" cm="1">
        <f t="array" ref="G294">_xlfn.TEXTJOIN("+",TRUE,_xlfn._xlws.SORT(_xlfn.UNIQUE(_xlfn._xlws.FILTER(OrderLines[Category],OrderLines[OrderID]=OrderLines[[#This Row],[OrderID]]))))</f>
        <v>Beverage+Snack</v>
      </c>
      <c r="H294" s="2" cm="1">
        <f t="array" ref="H294">INT(VLOOKUP(OrderLines[[#This Row],[OrderID]:[OrderID]],Orders[],MATCH(OrderLines[[#Headers],[OrderDateTime]],Orders[#Headers],0),FALSE))</f>
        <v>45863</v>
      </c>
      <c r="I294" t="str" cm="1">
        <f t="array" ref="I294">VLOOKUP(OrderLines[[#This Row],[OrderID]:[OrderID]],Orders[],MATCH(OrderLines[[#Headers],[Branch]],Orders[#Headers],0),FALSE)</f>
        <v>Plant 1 Canteen</v>
      </c>
      <c r="J294" cm="1">
        <f t="array" ref="J294">VLOOKUP(OrderLines[[#This Row],[OrderID]:[OrderID]],Orders[],MATCH(OrderLines[[#Headers],[DiscountPct]],Orders[#Headers],0),FALSE)</f>
        <v>0.09</v>
      </c>
      <c r="K294" t="str" cm="1">
        <f t="array" ref="K294">VLOOKUP(OrderLines[[#This Row],[OrderID]:[OrderID]],Orders[],MATCH(OrderLines[[#Headers],[PaymentType]],Orders[#Headers],0),FALSE)</f>
        <v>UPI</v>
      </c>
      <c r="L294" t="str" cm="1">
        <f t="array" ref="L294">VLOOKUP(OrderLines[[#This Row],[OrderID]:[OrderID]],Orders[],MATCH(OrderLines[[#Headers],[Shift]],Orders[#Headers],0),FALSE)</f>
        <v>Lunch</v>
      </c>
      <c r="M294" s="8">
        <f>(OrderLines[[#This Row],[Qty]]*OrderLines[[#This Row],[UnitPrice]])*(1-OrderLines[[#This Row],[DiscountPct]])</f>
        <v>64.191400000000002</v>
      </c>
      <c r="N294" t="str">
        <f>IF(AND(COUNTIFS(OrderLines[OrderID],OrderLines[[#This Row],[OrderID]],OrderLines[Category],"Hot Meal"),COUNTIFS(OrderLines[OrderID],OrderLines[[#This Row],[OrderID]],OrderLines[Category],"Beverage")),"Combo","Single")</f>
        <v>Single</v>
      </c>
      <c r="O294" s="8" t="str" cm="1">
        <f t="array" ref="O294">IF(SUMPRODUCT(OrderLines[UnitPrice],OrderLines[Qty],OrderLines[DiscountPct],--(OrderLines[OrderID] = OrderLines[[#This Row],[OrderID]]))&gt;40,"High Discount","Ok")</f>
        <v>Ok</v>
      </c>
      <c r="P294">
        <f>OrderLines[[#This Row],[UnitCost]]*OrderLines[[#This Row],[Qty]]</f>
        <v>35.81</v>
      </c>
      <c r="Q294" s="8">
        <f>OrderLines[[#This Row],[LineNetAmount]]-OrderLines[[#This Row],[Food Cost]]</f>
        <v>28.381399999999999</v>
      </c>
    </row>
    <row r="295" spans="1:17" x14ac:dyDescent="0.3">
      <c r="A295" t="s">
        <v>158</v>
      </c>
      <c r="B295" t="s">
        <v>414</v>
      </c>
      <c r="C295">
        <v>3</v>
      </c>
      <c r="D295" cm="1">
        <f t="array" ref="D295">VLOOKUP(OrderLines[[#This Row],[SKU]:[SKU]],Menu[],MATCH(OrderLines[[#Headers],[UnitPrice]],Menu[#Headers],0),FALSE)</f>
        <v>116.8</v>
      </c>
      <c r="E295" cm="1">
        <f t="array" ref="E295">VLOOKUP(OrderLines[[#This Row],[SKU]:[SKU]],Menu[],MATCH(OrderLines[[#Headers],[UnitCost]],Menu[#Headers],0),FALSE)</f>
        <v>48.97</v>
      </c>
      <c r="F295" t="str" cm="1">
        <f t="array" ref="F295">VLOOKUP(OrderLines[[#This Row],[SKU]:[SKU]],Menu[],MATCH(OrderLines[[#Headers],[Category]],Menu[#Headers],0),FALSE)</f>
        <v>Dessert</v>
      </c>
      <c r="G295" t="str" cm="1">
        <f t="array" ref="G295">_xlfn.TEXTJOIN("+",TRUE,_xlfn._xlws.SORT(_xlfn.UNIQUE(_xlfn._xlws.FILTER(OrderLines[Category],OrderLines[OrderID]=OrderLines[[#This Row],[OrderID]]))))</f>
        <v>Dessert+Snack</v>
      </c>
      <c r="H295" s="2" cm="1">
        <f t="array" ref="H295">INT(VLOOKUP(OrderLines[[#This Row],[OrderID]:[OrderID]],Orders[],MATCH(OrderLines[[#Headers],[OrderDateTime]],Orders[#Headers],0),FALSE))</f>
        <v>45869</v>
      </c>
      <c r="I295" t="str" cm="1">
        <f t="array" ref="I295">VLOOKUP(OrderLines[[#This Row],[OrderID]:[OrderID]],Orders[],MATCH(OrderLines[[#Headers],[Branch]],Orders[#Headers],0),FALSE)</f>
        <v>Plant 1 Canteen</v>
      </c>
      <c r="J295" cm="1">
        <f t="array" ref="J295">VLOOKUP(OrderLines[[#This Row],[OrderID]:[OrderID]],Orders[],MATCH(OrderLines[[#Headers],[DiscountPct]],Orders[#Headers],0),FALSE)</f>
        <v>0.11</v>
      </c>
      <c r="K295" t="str" cm="1">
        <f t="array" ref="K295">VLOOKUP(OrderLines[[#This Row],[OrderID]:[OrderID]],Orders[],MATCH(OrderLines[[#Headers],[PaymentType]],Orders[#Headers],0),FALSE)</f>
        <v>UPI</v>
      </c>
      <c r="L295" t="str" cm="1">
        <f t="array" ref="L295">VLOOKUP(OrderLines[[#This Row],[OrderID]:[OrderID]],Orders[],MATCH(OrderLines[[#Headers],[Shift]],Orders[#Headers],0),FALSE)</f>
        <v>Dinner</v>
      </c>
      <c r="M295" s="8">
        <f>(OrderLines[[#This Row],[Qty]]*OrderLines[[#This Row],[UnitPrice]])*(1-OrderLines[[#This Row],[DiscountPct]])</f>
        <v>311.85599999999999</v>
      </c>
      <c r="N295" t="str">
        <f>IF(AND(COUNTIFS(OrderLines[OrderID],OrderLines[[#This Row],[OrderID]],OrderLines[Category],"Hot Meal"),COUNTIFS(OrderLines[OrderID],OrderLines[[#This Row],[OrderID]],OrderLines[Category],"Beverage")),"Combo","Single")</f>
        <v>Single</v>
      </c>
      <c r="O295" s="8" t="str" cm="1">
        <f t="array" ref="O295">IF(SUMPRODUCT(OrderLines[UnitPrice],OrderLines[Qty],OrderLines[DiscountPct],--(OrderLines[OrderID] = OrderLines[[#This Row],[OrderID]]))&gt;40,"High Discount","Ok")</f>
        <v>High Discount</v>
      </c>
      <c r="P295">
        <f>OrderLines[[#This Row],[UnitCost]]*OrderLines[[#This Row],[Qty]]</f>
        <v>146.91</v>
      </c>
      <c r="Q295" s="8">
        <f>OrderLines[[#This Row],[LineNetAmount]]-OrderLines[[#This Row],[Food Cost]]</f>
        <v>164.946</v>
      </c>
    </row>
    <row r="296" spans="1:17" x14ac:dyDescent="0.3">
      <c r="A296" t="s">
        <v>158</v>
      </c>
      <c r="B296" t="s">
        <v>403</v>
      </c>
      <c r="C296">
        <v>1</v>
      </c>
      <c r="D296" cm="1">
        <f t="array" ref="D296">VLOOKUP(OrderLines[[#This Row],[SKU]:[SKU]],Menu[],MATCH(OrderLines[[#Headers],[UnitPrice]],Menu[#Headers],0),FALSE)</f>
        <v>76.55</v>
      </c>
      <c r="E296" cm="1">
        <f t="array" ref="E296">VLOOKUP(OrderLines[[#This Row],[SKU]:[SKU]],Menu[],MATCH(OrderLines[[#Headers],[UnitCost]],Menu[#Headers],0),FALSE)</f>
        <v>38.229999999999997</v>
      </c>
      <c r="F296" t="str" cm="1">
        <f t="array" ref="F296">VLOOKUP(OrderLines[[#This Row],[SKU]:[SKU]],Menu[],MATCH(OrderLines[[#Headers],[Category]],Menu[#Headers],0),FALSE)</f>
        <v>Dessert</v>
      </c>
      <c r="G296" t="str" cm="1">
        <f t="array" ref="G296">_xlfn.TEXTJOIN("+",TRUE,_xlfn._xlws.SORT(_xlfn.UNIQUE(_xlfn._xlws.FILTER(OrderLines[Category],OrderLines[OrderID]=OrderLines[[#This Row],[OrderID]]))))</f>
        <v>Dessert+Snack</v>
      </c>
      <c r="H296" s="2" cm="1">
        <f t="array" ref="H296">INT(VLOOKUP(OrderLines[[#This Row],[OrderID]:[OrderID]],Orders[],MATCH(OrderLines[[#Headers],[OrderDateTime]],Orders[#Headers],0),FALSE))</f>
        <v>45869</v>
      </c>
      <c r="I296" t="str" cm="1">
        <f t="array" ref="I296">VLOOKUP(OrderLines[[#This Row],[OrderID]:[OrderID]],Orders[],MATCH(OrderLines[[#Headers],[Branch]],Orders[#Headers],0),FALSE)</f>
        <v>Plant 1 Canteen</v>
      </c>
      <c r="J296" cm="1">
        <f t="array" ref="J296">VLOOKUP(OrderLines[[#This Row],[OrderID]:[OrderID]],Orders[],MATCH(OrderLines[[#Headers],[DiscountPct]],Orders[#Headers],0),FALSE)</f>
        <v>0.11</v>
      </c>
      <c r="K296" t="str" cm="1">
        <f t="array" ref="K296">VLOOKUP(OrderLines[[#This Row],[OrderID]:[OrderID]],Orders[],MATCH(OrderLines[[#Headers],[PaymentType]],Orders[#Headers],0),FALSE)</f>
        <v>UPI</v>
      </c>
      <c r="L296" t="str" cm="1">
        <f t="array" ref="L296">VLOOKUP(OrderLines[[#This Row],[OrderID]:[OrderID]],Orders[],MATCH(OrderLines[[#Headers],[Shift]],Orders[#Headers],0),FALSE)</f>
        <v>Dinner</v>
      </c>
      <c r="M296" s="8">
        <f>(OrderLines[[#This Row],[Qty]]*OrderLines[[#This Row],[UnitPrice]])*(1-OrderLines[[#This Row],[DiscountPct]])</f>
        <v>68.129499999999993</v>
      </c>
      <c r="N296" t="str">
        <f>IF(AND(COUNTIFS(OrderLines[OrderID],OrderLines[[#This Row],[OrderID]],OrderLines[Category],"Hot Meal"),COUNTIFS(OrderLines[OrderID],OrderLines[[#This Row],[OrderID]],OrderLines[Category],"Beverage")),"Combo","Single")</f>
        <v>Single</v>
      </c>
      <c r="O296" s="8" t="str" cm="1">
        <f t="array" ref="O296">IF(SUMPRODUCT(OrderLines[UnitPrice],OrderLines[Qty],OrderLines[DiscountPct],--(OrderLines[OrderID] = OrderLines[[#This Row],[OrderID]]))&gt;40,"High Discount","Ok")</f>
        <v>High Discount</v>
      </c>
      <c r="P296">
        <f>OrderLines[[#This Row],[UnitCost]]*OrderLines[[#This Row],[Qty]]</f>
        <v>38.229999999999997</v>
      </c>
      <c r="Q296" s="8">
        <f>OrderLines[[#This Row],[LineNetAmount]]-OrderLines[[#This Row],[Food Cost]]</f>
        <v>29.899499999999996</v>
      </c>
    </row>
    <row r="297" spans="1:17" x14ac:dyDescent="0.3">
      <c r="A297" t="s">
        <v>158</v>
      </c>
      <c r="B297" t="s">
        <v>406</v>
      </c>
      <c r="C297">
        <v>2</v>
      </c>
      <c r="D297" cm="1">
        <f t="array" ref="D297">VLOOKUP(OrderLines[[#This Row],[SKU]:[SKU]],Menu[],MATCH(OrderLines[[#Headers],[UnitPrice]],Menu[#Headers],0),FALSE)</f>
        <v>38.06</v>
      </c>
      <c r="E297" cm="1">
        <f t="array" ref="E297">VLOOKUP(OrderLines[[#This Row],[SKU]:[SKU]],Menu[],MATCH(OrderLines[[#Headers],[UnitCost]],Menu[#Headers],0),FALSE)</f>
        <v>19.55</v>
      </c>
      <c r="F297" t="str" cm="1">
        <f t="array" ref="F297">VLOOKUP(OrderLines[[#This Row],[SKU]:[SKU]],Menu[],MATCH(OrderLines[[#Headers],[Category]],Menu[#Headers],0),FALSE)</f>
        <v>Snack</v>
      </c>
      <c r="G297" t="str" cm="1">
        <f t="array" ref="G297">_xlfn.TEXTJOIN("+",TRUE,_xlfn._xlws.SORT(_xlfn.UNIQUE(_xlfn._xlws.FILTER(OrderLines[Category],OrderLines[OrderID]=OrderLines[[#This Row],[OrderID]]))))</f>
        <v>Dessert+Snack</v>
      </c>
      <c r="H297" s="2" cm="1">
        <f t="array" ref="H297">INT(VLOOKUP(OrderLines[[#This Row],[OrderID]:[OrderID]],Orders[],MATCH(OrderLines[[#Headers],[OrderDateTime]],Orders[#Headers],0),FALSE))</f>
        <v>45869</v>
      </c>
      <c r="I297" t="str" cm="1">
        <f t="array" ref="I297">VLOOKUP(OrderLines[[#This Row],[OrderID]:[OrderID]],Orders[],MATCH(OrderLines[[#Headers],[Branch]],Orders[#Headers],0),FALSE)</f>
        <v>Plant 1 Canteen</v>
      </c>
      <c r="J297" cm="1">
        <f t="array" ref="J297">VLOOKUP(OrderLines[[#This Row],[OrderID]:[OrderID]],Orders[],MATCH(OrderLines[[#Headers],[DiscountPct]],Orders[#Headers],0),FALSE)</f>
        <v>0.11</v>
      </c>
      <c r="K297" t="str" cm="1">
        <f t="array" ref="K297">VLOOKUP(OrderLines[[#This Row],[OrderID]:[OrderID]],Orders[],MATCH(OrderLines[[#Headers],[PaymentType]],Orders[#Headers],0),FALSE)</f>
        <v>UPI</v>
      </c>
      <c r="L297" t="str" cm="1">
        <f t="array" ref="L297">VLOOKUP(OrderLines[[#This Row],[OrderID]:[OrderID]],Orders[],MATCH(OrderLines[[#Headers],[Shift]],Orders[#Headers],0),FALSE)</f>
        <v>Dinner</v>
      </c>
      <c r="M297" s="8">
        <f>(OrderLines[[#This Row],[Qty]]*OrderLines[[#This Row],[UnitPrice]])*(1-OrderLines[[#This Row],[DiscountPct]])</f>
        <v>67.746800000000007</v>
      </c>
      <c r="N297" t="str">
        <f>IF(AND(COUNTIFS(OrderLines[OrderID],OrderLines[[#This Row],[OrderID]],OrderLines[Category],"Hot Meal"),COUNTIFS(OrderLines[OrderID],OrderLines[[#This Row],[OrderID]],OrderLines[Category],"Beverage")),"Combo","Single")</f>
        <v>Single</v>
      </c>
      <c r="O297" s="8" t="str" cm="1">
        <f t="array" ref="O297">IF(SUMPRODUCT(OrderLines[UnitPrice],OrderLines[Qty],OrderLines[DiscountPct],--(OrderLines[OrderID] = OrderLines[[#This Row],[OrderID]]))&gt;40,"High Discount","Ok")</f>
        <v>High Discount</v>
      </c>
      <c r="P297">
        <f>OrderLines[[#This Row],[UnitCost]]*OrderLines[[#This Row],[Qty]]</f>
        <v>39.1</v>
      </c>
      <c r="Q297" s="8">
        <f>OrderLines[[#This Row],[LineNetAmount]]-OrderLines[[#This Row],[Food Cost]]</f>
        <v>28.646800000000006</v>
      </c>
    </row>
    <row r="298" spans="1:17" x14ac:dyDescent="0.3">
      <c r="A298" t="s">
        <v>158</v>
      </c>
      <c r="B298" t="s">
        <v>401</v>
      </c>
      <c r="C298">
        <v>2</v>
      </c>
      <c r="D298" cm="1">
        <f t="array" ref="D298">VLOOKUP(OrderLines[[#This Row],[SKU]:[SKU]],Menu[],MATCH(OrderLines[[#Headers],[UnitPrice]],Menu[#Headers],0),FALSE)</f>
        <v>52.45</v>
      </c>
      <c r="E298" cm="1">
        <f t="array" ref="E298">VLOOKUP(OrderLines[[#This Row],[SKU]:[SKU]],Menu[],MATCH(OrderLines[[#Headers],[UnitCost]],Menu[#Headers],0),FALSE)</f>
        <v>25.8</v>
      </c>
      <c r="F298" t="str" cm="1">
        <f t="array" ref="F298">VLOOKUP(OrderLines[[#This Row],[SKU]:[SKU]],Menu[],MATCH(OrderLines[[#Headers],[Category]],Menu[#Headers],0),FALSE)</f>
        <v>Snack</v>
      </c>
      <c r="G298" t="str" cm="1">
        <f t="array" ref="G298">_xlfn.TEXTJOIN("+",TRUE,_xlfn._xlws.SORT(_xlfn.UNIQUE(_xlfn._xlws.FILTER(OrderLines[Category],OrderLines[OrderID]=OrderLines[[#This Row],[OrderID]]))))</f>
        <v>Dessert+Snack</v>
      </c>
      <c r="H298" s="2" cm="1">
        <f t="array" ref="H298">INT(VLOOKUP(OrderLines[[#This Row],[OrderID]:[OrderID]],Orders[],MATCH(OrderLines[[#Headers],[OrderDateTime]],Orders[#Headers],0),FALSE))</f>
        <v>45869</v>
      </c>
      <c r="I298" t="str" cm="1">
        <f t="array" ref="I298">VLOOKUP(OrderLines[[#This Row],[OrderID]:[OrderID]],Orders[],MATCH(OrderLines[[#Headers],[Branch]],Orders[#Headers],0),FALSE)</f>
        <v>Plant 1 Canteen</v>
      </c>
      <c r="J298" cm="1">
        <f t="array" ref="J298">VLOOKUP(OrderLines[[#This Row],[OrderID]:[OrderID]],Orders[],MATCH(OrderLines[[#Headers],[DiscountPct]],Orders[#Headers],0),FALSE)</f>
        <v>0.11</v>
      </c>
      <c r="K298" t="str" cm="1">
        <f t="array" ref="K298">VLOOKUP(OrderLines[[#This Row],[OrderID]:[OrderID]],Orders[],MATCH(OrderLines[[#Headers],[PaymentType]],Orders[#Headers],0),FALSE)</f>
        <v>UPI</v>
      </c>
      <c r="L298" t="str" cm="1">
        <f t="array" ref="L298">VLOOKUP(OrderLines[[#This Row],[OrderID]:[OrderID]],Orders[],MATCH(OrderLines[[#Headers],[Shift]],Orders[#Headers],0),FALSE)</f>
        <v>Dinner</v>
      </c>
      <c r="M298" s="8">
        <f>(OrderLines[[#This Row],[Qty]]*OrderLines[[#This Row],[UnitPrice]])*(1-OrderLines[[#This Row],[DiscountPct]])</f>
        <v>93.361000000000004</v>
      </c>
      <c r="N298" t="str">
        <f>IF(AND(COUNTIFS(OrderLines[OrderID],OrderLines[[#This Row],[OrderID]],OrderLines[Category],"Hot Meal"),COUNTIFS(OrderLines[OrderID],OrderLines[[#This Row],[OrderID]],OrderLines[Category],"Beverage")),"Combo","Single")</f>
        <v>Single</v>
      </c>
      <c r="O298" s="8" t="str" cm="1">
        <f t="array" ref="O298">IF(SUMPRODUCT(OrderLines[UnitPrice],OrderLines[Qty],OrderLines[DiscountPct],--(OrderLines[OrderID] = OrderLines[[#This Row],[OrderID]]))&gt;40,"High Discount","Ok")</f>
        <v>High Discount</v>
      </c>
      <c r="P298">
        <f>OrderLines[[#This Row],[UnitCost]]*OrderLines[[#This Row],[Qty]]</f>
        <v>51.6</v>
      </c>
      <c r="Q298" s="8">
        <f>OrderLines[[#This Row],[LineNetAmount]]-OrderLines[[#This Row],[Food Cost]]</f>
        <v>41.761000000000003</v>
      </c>
    </row>
    <row r="299" spans="1:17" x14ac:dyDescent="0.3">
      <c r="A299" t="s">
        <v>159</v>
      </c>
      <c r="B299" t="s">
        <v>415</v>
      </c>
      <c r="C299">
        <v>1</v>
      </c>
      <c r="D299" cm="1">
        <f t="array" ref="D299">VLOOKUP(OrderLines[[#This Row],[SKU]:[SKU]],Menu[],MATCH(OrderLines[[#Headers],[UnitPrice]],Menu[#Headers],0),FALSE)</f>
        <v>256.91000000000003</v>
      </c>
      <c r="E299" cm="1">
        <f t="array" ref="E299">VLOOKUP(OrderLines[[#This Row],[SKU]:[SKU]],Menu[],MATCH(OrderLines[[#Headers],[UnitCost]],Menu[#Headers],0),FALSE)</f>
        <v>121.24</v>
      </c>
      <c r="F299" t="str" cm="1">
        <f t="array" ref="F299">VLOOKUP(OrderLines[[#This Row],[SKU]:[SKU]],Menu[],MATCH(OrderLines[[#Headers],[Category]],Menu[#Headers],0),FALSE)</f>
        <v>Hot Meal</v>
      </c>
      <c r="G299" t="str" cm="1">
        <f t="array" ref="G299">_xlfn.TEXTJOIN("+",TRUE,_xlfn._xlws.SORT(_xlfn.UNIQUE(_xlfn._xlws.FILTER(OrderLines[Category],OrderLines[OrderID]=OrderLines[[#This Row],[OrderID]]))))</f>
        <v>Beverage+Dessert+Hot Meal</v>
      </c>
      <c r="H299" s="2" cm="1">
        <f t="array" ref="H299">INT(VLOOKUP(OrderLines[[#This Row],[OrderID]:[OrderID]],Orders[],MATCH(OrderLines[[#Headers],[OrderDateTime]],Orders[#Headers],0),FALSE))</f>
        <v>45857</v>
      </c>
      <c r="I299" t="str" cm="1">
        <f t="array" ref="I299">VLOOKUP(OrderLines[[#This Row],[OrderID]:[OrderID]],Orders[],MATCH(OrderLines[[#Headers],[Branch]],Orders[#Headers],0),FALSE)</f>
        <v>Plant 1 Canteen</v>
      </c>
      <c r="J299" cm="1">
        <f t="array" ref="J299">VLOOKUP(OrderLines[[#This Row],[OrderID]:[OrderID]],Orders[],MATCH(OrderLines[[#Headers],[DiscountPct]],Orders[#Headers],0),FALSE)</f>
        <v>0.03</v>
      </c>
      <c r="K299" t="str" cm="1">
        <f t="array" ref="K299">VLOOKUP(OrderLines[[#This Row],[OrderID]:[OrderID]],Orders[],MATCH(OrderLines[[#Headers],[PaymentType]],Orders[#Headers],0),FALSE)</f>
        <v>Card</v>
      </c>
      <c r="L299" t="str" cm="1">
        <f t="array" ref="L299">VLOOKUP(OrderLines[[#This Row],[OrderID]:[OrderID]],Orders[],MATCH(OrderLines[[#Headers],[Shift]],Orders[#Headers],0),FALSE)</f>
        <v>Dinner</v>
      </c>
      <c r="M299" s="8">
        <f>(OrderLines[[#This Row],[Qty]]*OrderLines[[#This Row],[UnitPrice]])*(1-OrderLines[[#This Row],[DiscountPct]])</f>
        <v>249.20270000000002</v>
      </c>
      <c r="N299" t="str">
        <f>IF(AND(COUNTIFS(OrderLines[OrderID],OrderLines[[#This Row],[OrderID]],OrderLines[Category],"Hot Meal"),COUNTIFS(OrderLines[OrderID],OrderLines[[#This Row],[OrderID]],OrderLines[Category],"Beverage")),"Combo","Single")</f>
        <v>Combo</v>
      </c>
      <c r="O299" s="8" t="str" cm="1">
        <f t="array" ref="O299">IF(SUMPRODUCT(OrderLines[UnitPrice],OrderLines[Qty],OrderLines[DiscountPct],--(OrderLines[OrderID] = OrderLines[[#This Row],[OrderID]]))&gt;40,"High Discount","Ok")</f>
        <v>Ok</v>
      </c>
      <c r="P299">
        <f>OrderLines[[#This Row],[UnitCost]]*OrderLines[[#This Row],[Qty]]</f>
        <v>121.24</v>
      </c>
      <c r="Q299" s="8">
        <f>OrderLines[[#This Row],[LineNetAmount]]-OrderLines[[#This Row],[Food Cost]]</f>
        <v>127.96270000000003</v>
      </c>
    </row>
    <row r="300" spans="1:17" x14ac:dyDescent="0.3">
      <c r="A300" t="s">
        <v>159</v>
      </c>
      <c r="B300" t="s">
        <v>402</v>
      </c>
      <c r="C300">
        <v>1</v>
      </c>
      <c r="D300" cm="1">
        <f t="array" ref="D300">VLOOKUP(OrderLines[[#This Row],[SKU]:[SKU]],Menu[],MATCH(OrderLines[[#Headers],[UnitPrice]],Menu[#Headers],0),FALSE)</f>
        <v>30.34</v>
      </c>
      <c r="E300" cm="1">
        <f t="array" ref="E300">VLOOKUP(OrderLines[[#This Row],[SKU]:[SKU]],Menu[],MATCH(OrderLines[[#Headers],[UnitCost]],Menu[#Headers],0),FALSE)</f>
        <v>14.18</v>
      </c>
      <c r="F300" t="str" cm="1">
        <f t="array" ref="F300">VLOOKUP(OrderLines[[#This Row],[SKU]:[SKU]],Menu[],MATCH(OrderLines[[#Headers],[Category]],Menu[#Headers],0),FALSE)</f>
        <v>Beverage</v>
      </c>
      <c r="G300" t="str" cm="1">
        <f t="array" ref="G300">_xlfn.TEXTJOIN("+",TRUE,_xlfn._xlws.SORT(_xlfn.UNIQUE(_xlfn._xlws.FILTER(OrderLines[Category],OrderLines[OrderID]=OrderLines[[#This Row],[OrderID]]))))</f>
        <v>Beverage+Dessert+Hot Meal</v>
      </c>
      <c r="H300" s="2" cm="1">
        <f t="array" ref="H300">INT(VLOOKUP(OrderLines[[#This Row],[OrderID]:[OrderID]],Orders[],MATCH(OrderLines[[#Headers],[OrderDateTime]],Orders[#Headers],0),FALSE))</f>
        <v>45857</v>
      </c>
      <c r="I300" t="str" cm="1">
        <f t="array" ref="I300">VLOOKUP(OrderLines[[#This Row],[OrderID]:[OrderID]],Orders[],MATCH(OrderLines[[#Headers],[Branch]],Orders[#Headers],0),FALSE)</f>
        <v>Plant 1 Canteen</v>
      </c>
      <c r="J300" cm="1">
        <f t="array" ref="J300">VLOOKUP(OrderLines[[#This Row],[OrderID]:[OrderID]],Orders[],MATCH(OrderLines[[#Headers],[DiscountPct]],Orders[#Headers],0),FALSE)</f>
        <v>0.03</v>
      </c>
      <c r="K300" t="str" cm="1">
        <f t="array" ref="K300">VLOOKUP(OrderLines[[#This Row],[OrderID]:[OrderID]],Orders[],MATCH(OrderLines[[#Headers],[PaymentType]],Orders[#Headers],0),FALSE)</f>
        <v>Card</v>
      </c>
      <c r="L300" t="str" cm="1">
        <f t="array" ref="L300">VLOOKUP(OrderLines[[#This Row],[OrderID]:[OrderID]],Orders[],MATCH(OrderLines[[#Headers],[Shift]],Orders[#Headers],0),FALSE)</f>
        <v>Dinner</v>
      </c>
      <c r="M300" s="8">
        <f>(OrderLines[[#This Row],[Qty]]*OrderLines[[#This Row],[UnitPrice]])*(1-OrderLines[[#This Row],[DiscountPct]])</f>
        <v>29.4298</v>
      </c>
      <c r="N300" t="str">
        <f>IF(AND(COUNTIFS(OrderLines[OrderID],OrderLines[[#This Row],[OrderID]],OrderLines[Category],"Hot Meal"),COUNTIFS(OrderLines[OrderID],OrderLines[[#This Row],[OrderID]],OrderLines[Category],"Beverage")),"Combo","Single")</f>
        <v>Combo</v>
      </c>
      <c r="O300" s="8" t="str" cm="1">
        <f t="array" ref="O300">IF(SUMPRODUCT(OrderLines[UnitPrice],OrderLines[Qty],OrderLines[DiscountPct],--(OrderLines[OrderID] = OrderLines[[#This Row],[OrderID]]))&gt;40,"High Discount","Ok")</f>
        <v>Ok</v>
      </c>
      <c r="P300">
        <f>OrderLines[[#This Row],[UnitCost]]*OrderLines[[#This Row],[Qty]]</f>
        <v>14.18</v>
      </c>
      <c r="Q300" s="8">
        <f>OrderLines[[#This Row],[LineNetAmount]]-OrderLines[[#This Row],[Food Cost]]</f>
        <v>15.2498</v>
      </c>
    </row>
    <row r="301" spans="1:17" x14ac:dyDescent="0.3">
      <c r="A301" t="s">
        <v>159</v>
      </c>
      <c r="B301" t="s">
        <v>412</v>
      </c>
      <c r="C301">
        <v>2</v>
      </c>
      <c r="D301" cm="1">
        <f t="array" ref="D301">VLOOKUP(OrderLines[[#This Row],[SKU]:[SKU]],Menu[],MATCH(OrderLines[[#Headers],[UnitPrice]],Menu[#Headers],0),FALSE)</f>
        <v>57.07</v>
      </c>
      <c r="E301" cm="1">
        <f t="array" ref="E301">VLOOKUP(OrderLines[[#This Row],[SKU]:[SKU]],Menu[],MATCH(OrderLines[[#Headers],[UnitCost]],Menu[#Headers],0),FALSE)</f>
        <v>29.14</v>
      </c>
      <c r="F301" t="str" cm="1">
        <f t="array" ref="F301">VLOOKUP(OrderLines[[#This Row],[SKU]:[SKU]],Menu[],MATCH(OrderLines[[#Headers],[Category]],Menu[#Headers],0),FALSE)</f>
        <v>Dessert</v>
      </c>
      <c r="G301" t="str" cm="1">
        <f t="array" ref="G301">_xlfn.TEXTJOIN("+",TRUE,_xlfn._xlws.SORT(_xlfn.UNIQUE(_xlfn._xlws.FILTER(OrderLines[Category],OrderLines[OrderID]=OrderLines[[#This Row],[OrderID]]))))</f>
        <v>Beverage+Dessert+Hot Meal</v>
      </c>
      <c r="H301" s="2" cm="1">
        <f t="array" ref="H301">INT(VLOOKUP(OrderLines[[#This Row],[OrderID]:[OrderID]],Orders[],MATCH(OrderLines[[#Headers],[OrderDateTime]],Orders[#Headers],0),FALSE))</f>
        <v>45857</v>
      </c>
      <c r="I301" t="str" cm="1">
        <f t="array" ref="I301">VLOOKUP(OrderLines[[#This Row],[OrderID]:[OrderID]],Orders[],MATCH(OrderLines[[#Headers],[Branch]],Orders[#Headers],0),FALSE)</f>
        <v>Plant 1 Canteen</v>
      </c>
      <c r="J301" cm="1">
        <f t="array" ref="J301">VLOOKUP(OrderLines[[#This Row],[OrderID]:[OrderID]],Orders[],MATCH(OrderLines[[#Headers],[DiscountPct]],Orders[#Headers],0),FALSE)</f>
        <v>0.03</v>
      </c>
      <c r="K301" t="str" cm="1">
        <f t="array" ref="K301">VLOOKUP(OrderLines[[#This Row],[OrderID]:[OrderID]],Orders[],MATCH(OrderLines[[#Headers],[PaymentType]],Orders[#Headers],0),FALSE)</f>
        <v>Card</v>
      </c>
      <c r="L301" t="str" cm="1">
        <f t="array" ref="L301">VLOOKUP(OrderLines[[#This Row],[OrderID]:[OrderID]],Orders[],MATCH(OrderLines[[#Headers],[Shift]],Orders[#Headers],0),FALSE)</f>
        <v>Dinner</v>
      </c>
      <c r="M301" s="8">
        <f>(OrderLines[[#This Row],[Qty]]*OrderLines[[#This Row],[UnitPrice]])*(1-OrderLines[[#This Row],[DiscountPct]])</f>
        <v>110.7158</v>
      </c>
      <c r="N301" t="str">
        <f>IF(AND(COUNTIFS(OrderLines[OrderID],OrderLines[[#This Row],[OrderID]],OrderLines[Category],"Hot Meal"),COUNTIFS(OrderLines[OrderID],OrderLines[[#This Row],[OrderID]],OrderLines[Category],"Beverage")),"Combo","Single")</f>
        <v>Combo</v>
      </c>
      <c r="O301" s="8" t="str" cm="1">
        <f t="array" ref="O301">IF(SUMPRODUCT(OrderLines[UnitPrice],OrderLines[Qty],OrderLines[DiscountPct],--(OrderLines[OrderID] = OrderLines[[#This Row],[OrderID]]))&gt;40,"High Discount","Ok")</f>
        <v>Ok</v>
      </c>
      <c r="P301">
        <f>OrderLines[[#This Row],[UnitCost]]*OrderLines[[#This Row],[Qty]]</f>
        <v>58.28</v>
      </c>
      <c r="Q301" s="8">
        <f>OrderLines[[#This Row],[LineNetAmount]]-OrderLines[[#This Row],[Food Cost]]</f>
        <v>52.4358</v>
      </c>
    </row>
    <row r="302" spans="1:17" x14ac:dyDescent="0.3">
      <c r="A302" t="s">
        <v>159</v>
      </c>
      <c r="B302" t="s">
        <v>414</v>
      </c>
      <c r="C302">
        <v>2</v>
      </c>
      <c r="D302" cm="1">
        <f t="array" ref="D302">VLOOKUP(OrderLines[[#This Row],[SKU]:[SKU]],Menu[],MATCH(OrderLines[[#Headers],[UnitPrice]],Menu[#Headers],0),FALSE)</f>
        <v>116.8</v>
      </c>
      <c r="E302" cm="1">
        <f t="array" ref="E302">VLOOKUP(OrderLines[[#This Row],[SKU]:[SKU]],Menu[],MATCH(OrderLines[[#Headers],[UnitCost]],Menu[#Headers],0),FALSE)</f>
        <v>48.97</v>
      </c>
      <c r="F302" t="str" cm="1">
        <f t="array" ref="F302">VLOOKUP(OrderLines[[#This Row],[SKU]:[SKU]],Menu[],MATCH(OrderLines[[#Headers],[Category]],Menu[#Headers],0),FALSE)</f>
        <v>Dessert</v>
      </c>
      <c r="G302" t="str" cm="1">
        <f t="array" ref="G302">_xlfn.TEXTJOIN("+",TRUE,_xlfn._xlws.SORT(_xlfn.UNIQUE(_xlfn._xlws.FILTER(OrderLines[Category],OrderLines[OrderID]=OrderLines[[#This Row],[OrderID]]))))</f>
        <v>Beverage+Dessert+Hot Meal</v>
      </c>
      <c r="H302" s="2" cm="1">
        <f t="array" ref="H302">INT(VLOOKUP(OrderLines[[#This Row],[OrderID]:[OrderID]],Orders[],MATCH(OrderLines[[#Headers],[OrderDateTime]],Orders[#Headers],0),FALSE))</f>
        <v>45857</v>
      </c>
      <c r="I302" t="str" cm="1">
        <f t="array" ref="I302">VLOOKUP(OrderLines[[#This Row],[OrderID]:[OrderID]],Orders[],MATCH(OrderLines[[#Headers],[Branch]],Orders[#Headers],0),FALSE)</f>
        <v>Plant 1 Canteen</v>
      </c>
      <c r="J302" cm="1">
        <f t="array" ref="J302">VLOOKUP(OrderLines[[#This Row],[OrderID]:[OrderID]],Orders[],MATCH(OrderLines[[#Headers],[DiscountPct]],Orders[#Headers],0),FALSE)</f>
        <v>0.03</v>
      </c>
      <c r="K302" t="str" cm="1">
        <f t="array" ref="K302">VLOOKUP(OrderLines[[#This Row],[OrderID]:[OrderID]],Orders[],MATCH(OrderLines[[#Headers],[PaymentType]],Orders[#Headers],0),FALSE)</f>
        <v>Card</v>
      </c>
      <c r="L302" t="str" cm="1">
        <f t="array" ref="L302">VLOOKUP(OrderLines[[#This Row],[OrderID]:[OrderID]],Orders[],MATCH(OrderLines[[#Headers],[Shift]],Orders[#Headers],0),FALSE)</f>
        <v>Dinner</v>
      </c>
      <c r="M302" s="8">
        <f>(OrderLines[[#This Row],[Qty]]*OrderLines[[#This Row],[UnitPrice]])*(1-OrderLines[[#This Row],[DiscountPct]])</f>
        <v>226.59199999999998</v>
      </c>
      <c r="N302" t="str">
        <f>IF(AND(COUNTIFS(OrderLines[OrderID],OrderLines[[#This Row],[OrderID]],OrderLines[Category],"Hot Meal"),COUNTIFS(OrderLines[OrderID],OrderLines[[#This Row],[OrderID]],OrderLines[Category],"Beverage")),"Combo","Single")</f>
        <v>Combo</v>
      </c>
      <c r="O302" s="8" t="str" cm="1">
        <f t="array" ref="O302">IF(SUMPRODUCT(OrderLines[UnitPrice],OrderLines[Qty],OrderLines[DiscountPct],--(OrderLines[OrderID] = OrderLines[[#This Row],[OrderID]]))&gt;40,"High Discount","Ok")</f>
        <v>Ok</v>
      </c>
      <c r="P302">
        <f>OrderLines[[#This Row],[UnitCost]]*OrderLines[[#This Row],[Qty]]</f>
        <v>97.94</v>
      </c>
      <c r="Q302" s="8">
        <f>OrderLines[[#This Row],[LineNetAmount]]-OrderLines[[#This Row],[Food Cost]]</f>
        <v>128.65199999999999</v>
      </c>
    </row>
    <row r="303" spans="1:17" x14ac:dyDescent="0.3">
      <c r="A303" t="s">
        <v>160</v>
      </c>
      <c r="B303" t="s">
        <v>417</v>
      </c>
      <c r="C303">
        <v>1</v>
      </c>
      <c r="D303" cm="1">
        <f t="array" ref="D303">VLOOKUP(OrderLines[[#This Row],[SKU]:[SKU]],Menu[],MATCH(OrderLines[[#Headers],[UnitPrice]],Menu[#Headers],0),FALSE)</f>
        <v>146.4</v>
      </c>
      <c r="E303" cm="1">
        <f t="array" ref="E303">VLOOKUP(OrderLines[[#This Row],[SKU]:[SKU]],Menu[],MATCH(OrderLines[[#Headers],[UnitCost]],Menu[#Headers],0),FALSE)</f>
        <v>80.92</v>
      </c>
      <c r="F303" t="str" cm="1">
        <f t="array" ref="F303">VLOOKUP(OrderLines[[#This Row],[SKU]:[SKU]],Menu[],MATCH(OrderLines[[#Headers],[Category]],Menu[#Headers],0),FALSE)</f>
        <v>Hot Meal</v>
      </c>
      <c r="G303" t="str" cm="1">
        <f t="array" ref="G303">_xlfn.TEXTJOIN("+",TRUE,_xlfn._xlws.SORT(_xlfn.UNIQUE(_xlfn._xlws.FILTER(OrderLines[Category],OrderLines[OrderID]=OrderLines[[#This Row],[OrderID]]))))</f>
        <v>Dessert+Hot Meal+Snack</v>
      </c>
      <c r="H303" s="2" cm="1">
        <f t="array" ref="H303">INT(VLOOKUP(OrderLines[[#This Row],[OrderID]:[OrderID]],Orders[],MATCH(OrderLines[[#Headers],[OrderDateTime]],Orders[#Headers],0),FALSE))</f>
        <v>45896</v>
      </c>
      <c r="I303" t="str" cm="1">
        <f t="array" ref="I303">VLOOKUP(OrderLines[[#This Row],[OrderID]:[OrderID]],Orders[],MATCH(OrderLines[[#Headers],[Branch]],Orders[#Headers],0),FALSE)</f>
        <v>Head Office Café</v>
      </c>
      <c r="J303" cm="1">
        <f t="array" ref="J303">VLOOKUP(OrderLines[[#This Row],[OrderID]:[OrderID]],Orders[],MATCH(OrderLines[[#Headers],[DiscountPct]],Orders[#Headers],0),FALSE)</f>
        <v>0.1</v>
      </c>
      <c r="K303" t="str" cm="1">
        <f t="array" ref="K303">VLOOKUP(OrderLines[[#This Row],[OrderID]:[OrderID]],Orders[],MATCH(OrderLines[[#Headers],[PaymentType]],Orders[#Headers],0),FALSE)</f>
        <v>Card</v>
      </c>
      <c r="L303" t="str" cm="1">
        <f t="array" ref="L303">VLOOKUP(OrderLines[[#This Row],[OrderID]:[OrderID]],Orders[],MATCH(OrderLines[[#Headers],[Shift]],Orders[#Headers],0),FALSE)</f>
        <v>Lunch</v>
      </c>
      <c r="M303" s="8">
        <f>(OrderLines[[#This Row],[Qty]]*OrderLines[[#This Row],[UnitPrice]])*(1-OrderLines[[#This Row],[DiscountPct]])</f>
        <v>131.76000000000002</v>
      </c>
      <c r="N303" t="str">
        <f>IF(AND(COUNTIFS(OrderLines[OrderID],OrderLines[[#This Row],[OrderID]],OrderLines[Category],"Hot Meal"),COUNTIFS(OrderLines[OrderID],OrderLines[[#This Row],[OrderID]],OrderLines[Category],"Beverage")),"Combo","Single")</f>
        <v>Single</v>
      </c>
      <c r="O303" s="8" t="str" cm="1">
        <f t="array" ref="O303">IF(SUMPRODUCT(OrderLines[UnitPrice],OrderLines[Qty],OrderLines[DiscountPct],--(OrderLines[OrderID] = OrderLines[[#This Row],[OrderID]]))&gt;40,"High Discount","Ok")</f>
        <v>High Discount</v>
      </c>
      <c r="P303">
        <f>OrderLines[[#This Row],[UnitCost]]*OrderLines[[#This Row],[Qty]]</f>
        <v>80.92</v>
      </c>
      <c r="Q303" s="8">
        <f>OrderLines[[#This Row],[LineNetAmount]]-OrderLines[[#This Row],[Food Cost]]</f>
        <v>50.840000000000018</v>
      </c>
    </row>
    <row r="304" spans="1:17" x14ac:dyDescent="0.3">
      <c r="A304" t="s">
        <v>160</v>
      </c>
      <c r="B304" t="s">
        <v>407</v>
      </c>
      <c r="C304">
        <v>3</v>
      </c>
      <c r="D304" cm="1">
        <f t="array" ref="D304">VLOOKUP(OrderLines[[#This Row],[SKU]:[SKU]],Menu[],MATCH(OrderLines[[#Headers],[UnitPrice]],Menu[#Headers],0),FALSE)</f>
        <v>246.09</v>
      </c>
      <c r="E304" cm="1">
        <f t="array" ref="E304">VLOOKUP(OrderLines[[#This Row],[SKU]:[SKU]],Menu[],MATCH(OrderLines[[#Headers],[UnitCost]],Menu[#Headers],0),FALSE)</f>
        <v>112.08</v>
      </c>
      <c r="F304" t="str" cm="1">
        <f t="array" ref="F304">VLOOKUP(OrderLines[[#This Row],[SKU]:[SKU]],Menu[],MATCH(OrderLines[[#Headers],[Category]],Menu[#Headers],0),FALSE)</f>
        <v>Hot Meal</v>
      </c>
      <c r="G304" t="str" cm="1">
        <f t="array" ref="G304">_xlfn.TEXTJOIN("+",TRUE,_xlfn._xlws.SORT(_xlfn.UNIQUE(_xlfn._xlws.FILTER(OrderLines[Category],OrderLines[OrderID]=OrderLines[[#This Row],[OrderID]]))))</f>
        <v>Dessert+Hot Meal+Snack</v>
      </c>
      <c r="H304" s="2" cm="1">
        <f t="array" ref="H304">INT(VLOOKUP(OrderLines[[#This Row],[OrderID]:[OrderID]],Orders[],MATCH(OrderLines[[#Headers],[OrderDateTime]],Orders[#Headers],0),FALSE))</f>
        <v>45896</v>
      </c>
      <c r="I304" t="str" cm="1">
        <f t="array" ref="I304">VLOOKUP(OrderLines[[#This Row],[OrderID]:[OrderID]],Orders[],MATCH(OrderLines[[#Headers],[Branch]],Orders[#Headers],0),FALSE)</f>
        <v>Head Office Café</v>
      </c>
      <c r="J304" cm="1">
        <f t="array" ref="J304">VLOOKUP(OrderLines[[#This Row],[OrderID]:[OrderID]],Orders[],MATCH(OrderLines[[#Headers],[DiscountPct]],Orders[#Headers],0),FALSE)</f>
        <v>0.1</v>
      </c>
      <c r="K304" t="str" cm="1">
        <f t="array" ref="K304">VLOOKUP(OrderLines[[#This Row],[OrderID]:[OrderID]],Orders[],MATCH(OrderLines[[#Headers],[PaymentType]],Orders[#Headers],0),FALSE)</f>
        <v>Card</v>
      </c>
      <c r="L304" t="str" cm="1">
        <f t="array" ref="L304">VLOOKUP(OrderLines[[#This Row],[OrderID]:[OrderID]],Orders[],MATCH(OrderLines[[#Headers],[Shift]],Orders[#Headers],0),FALSE)</f>
        <v>Lunch</v>
      </c>
      <c r="M304" s="8">
        <f>(OrderLines[[#This Row],[Qty]]*OrderLines[[#This Row],[UnitPrice]])*(1-OrderLines[[#This Row],[DiscountPct]])</f>
        <v>664.44299999999998</v>
      </c>
      <c r="N304" t="str">
        <f>IF(AND(COUNTIFS(OrderLines[OrderID],OrderLines[[#This Row],[OrderID]],OrderLines[Category],"Hot Meal"),COUNTIFS(OrderLines[OrderID],OrderLines[[#This Row],[OrderID]],OrderLines[Category],"Beverage")),"Combo","Single")</f>
        <v>Single</v>
      </c>
      <c r="O304" s="8" t="str" cm="1">
        <f t="array" ref="O304">IF(SUMPRODUCT(OrderLines[UnitPrice],OrderLines[Qty],OrderLines[DiscountPct],--(OrderLines[OrderID] = OrderLines[[#This Row],[OrderID]]))&gt;40,"High Discount","Ok")</f>
        <v>High Discount</v>
      </c>
      <c r="P304">
        <f>OrderLines[[#This Row],[UnitCost]]*OrderLines[[#This Row],[Qty]]</f>
        <v>336.24</v>
      </c>
      <c r="Q304" s="8">
        <f>OrderLines[[#This Row],[LineNetAmount]]-OrderLines[[#This Row],[Food Cost]]</f>
        <v>328.20299999999997</v>
      </c>
    </row>
    <row r="305" spans="1:17" x14ac:dyDescent="0.3">
      <c r="A305" t="s">
        <v>160</v>
      </c>
      <c r="B305" t="s">
        <v>401</v>
      </c>
      <c r="C305">
        <v>3</v>
      </c>
      <c r="D305" cm="1">
        <f t="array" ref="D305">VLOOKUP(OrderLines[[#This Row],[SKU]:[SKU]],Menu[],MATCH(OrderLines[[#Headers],[UnitPrice]],Menu[#Headers],0),FALSE)</f>
        <v>52.45</v>
      </c>
      <c r="E305" cm="1">
        <f t="array" ref="E305">VLOOKUP(OrderLines[[#This Row],[SKU]:[SKU]],Menu[],MATCH(OrderLines[[#Headers],[UnitCost]],Menu[#Headers],0),FALSE)</f>
        <v>25.8</v>
      </c>
      <c r="F305" t="str" cm="1">
        <f t="array" ref="F305">VLOOKUP(OrderLines[[#This Row],[SKU]:[SKU]],Menu[],MATCH(OrderLines[[#Headers],[Category]],Menu[#Headers],0),FALSE)</f>
        <v>Snack</v>
      </c>
      <c r="G305" t="str" cm="1">
        <f t="array" ref="G305">_xlfn.TEXTJOIN("+",TRUE,_xlfn._xlws.SORT(_xlfn.UNIQUE(_xlfn._xlws.FILTER(OrderLines[Category],OrderLines[OrderID]=OrderLines[[#This Row],[OrderID]]))))</f>
        <v>Dessert+Hot Meal+Snack</v>
      </c>
      <c r="H305" s="2" cm="1">
        <f t="array" ref="H305">INT(VLOOKUP(OrderLines[[#This Row],[OrderID]:[OrderID]],Orders[],MATCH(OrderLines[[#Headers],[OrderDateTime]],Orders[#Headers],0),FALSE))</f>
        <v>45896</v>
      </c>
      <c r="I305" t="str" cm="1">
        <f t="array" ref="I305">VLOOKUP(OrderLines[[#This Row],[OrderID]:[OrderID]],Orders[],MATCH(OrderLines[[#Headers],[Branch]],Orders[#Headers],0),FALSE)</f>
        <v>Head Office Café</v>
      </c>
      <c r="J305" cm="1">
        <f t="array" ref="J305">VLOOKUP(OrderLines[[#This Row],[OrderID]:[OrderID]],Orders[],MATCH(OrderLines[[#Headers],[DiscountPct]],Orders[#Headers],0),FALSE)</f>
        <v>0.1</v>
      </c>
      <c r="K305" t="str" cm="1">
        <f t="array" ref="K305">VLOOKUP(OrderLines[[#This Row],[OrderID]:[OrderID]],Orders[],MATCH(OrderLines[[#Headers],[PaymentType]],Orders[#Headers],0),FALSE)</f>
        <v>Card</v>
      </c>
      <c r="L305" t="str" cm="1">
        <f t="array" ref="L305">VLOOKUP(OrderLines[[#This Row],[OrderID]:[OrderID]],Orders[],MATCH(OrderLines[[#Headers],[Shift]],Orders[#Headers],0),FALSE)</f>
        <v>Lunch</v>
      </c>
      <c r="M305" s="8">
        <f>(OrderLines[[#This Row],[Qty]]*OrderLines[[#This Row],[UnitPrice]])*(1-OrderLines[[#This Row],[DiscountPct]])</f>
        <v>141.61500000000004</v>
      </c>
      <c r="N305" t="str">
        <f>IF(AND(COUNTIFS(OrderLines[OrderID],OrderLines[[#This Row],[OrderID]],OrderLines[Category],"Hot Meal"),COUNTIFS(OrderLines[OrderID],OrderLines[[#This Row],[OrderID]],OrderLines[Category],"Beverage")),"Combo","Single")</f>
        <v>Single</v>
      </c>
      <c r="O305" s="8" t="str" cm="1">
        <f t="array" ref="O305">IF(SUMPRODUCT(OrderLines[UnitPrice],OrderLines[Qty],OrderLines[DiscountPct],--(OrderLines[OrderID] = OrderLines[[#This Row],[OrderID]]))&gt;40,"High Discount","Ok")</f>
        <v>High Discount</v>
      </c>
      <c r="P305">
        <f>OrderLines[[#This Row],[UnitCost]]*OrderLines[[#This Row],[Qty]]</f>
        <v>77.400000000000006</v>
      </c>
      <c r="Q305" s="8">
        <f>OrderLines[[#This Row],[LineNetAmount]]-OrderLines[[#This Row],[Food Cost]]</f>
        <v>64.215000000000032</v>
      </c>
    </row>
    <row r="306" spans="1:17" x14ac:dyDescent="0.3">
      <c r="A306" t="s">
        <v>160</v>
      </c>
      <c r="B306" t="s">
        <v>413</v>
      </c>
      <c r="C306">
        <v>1</v>
      </c>
      <c r="D306" cm="1">
        <f t="array" ref="D306">VLOOKUP(OrderLines[[#This Row],[SKU]:[SKU]],Menu[],MATCH(OrderLines[[#Headers],[UnitPrice]],Menu[#Headers],0),FALSE)</f>
        <v>54.2</v>
      </c>
      <c r="E306" cm="1">
        <f t="array" ref="E306">VLOOKUP(OrderLines[[#This Row],[SKU]:[SKU]],Menu[],MATCH(OrderLines[[#Headers],[UnitCost]],Menu[#Headers],0),FALSE)</f>
        <v>21.95</v>
      </c>
      <c r="F306" t="str" cm="1">
        <f t="array" ref="F306">VLOOKUP(OrderLines[[#This Row],[SKU]:[SKU]],Menu[],MATCH(OrderLines[[#Headers],[Category]],Menu[#Headers],0),FALSE)</f>
        <v>Dessert</v>
      </c>
      <c r="G306" t="str" cm="1">
        <f t="array" ref="G306">_xlfn.TEXTJOIN("+",TRUE,_xlfn._xlws.SORT(_xlfn.UNIQUE(_xlfn._xlws.FILTER(OrderLines[Category],OrderLines[OrderID]=OrderLines[[#This Row],[OrderID]]))))</f>
        <v>Dessert+Hot Meal+Snack</v>
      </c>
      <c r="H306" s="2" cm="1">
        <f t="array" ref="H306">INT(VLOOKUP(OrderLines[[#This Row],[OrderID]:[OrderID]],Orders[],MATCH(OrderLines[[#Headers],[OrderDateTime]],Orders[#Headers],0),FALSE))</f>
        <v>45896</v>
      </c>
      <c r="I306" t="str" cm="1">
        <f t="array" ref="I306">VLOOKUP(OrderLines[[#This Row],[OrderID]:[OrderID]],Orders[],MATCH(OrderLines[[#Headers],[Branch]],Orders[#Headers],0),FALSE)</f>
        <v>Head Office Café</v>
      </c>
      <c r="J306" cm="1">
        <f t="array" ref="J306">VLOOKUP(OrderLines[[#This Row],[OrderID]:[OrderID]],Orders[],MATCH(OrderLines[[#Headers],[DiscountPct]],Orders[#Headers],0),FALSE)</f>
        <v>0.1</v>
      </c>
      <c r="K306" t="str" cm="1">
        <f t="array" ref="K306">VLOOKUP(OrderLines[[#This Row],[OrderID]:[OrderID]],Orders[],MATCH(OrderLines[[#Headers],[PaymentType]],Orders[#Headers],0),FALSE)</f>
        <v>Card</v>
      </c>
      <c r="L306" t="str" cm="1">
        <f t="array" ref="L306">VLOOKUP(OrderLines[[#This Row],[OrderID]:[OrderID]],Orders[],MATCH(OrderLines[[#Headers],[Shift]],Orders[#Headers],0),FALSE)</f>
        <v>Lunch</v>
      </c>
      <c r="M306" s="8">
        <f>(OrderLines[[#This Row],[Qty]]*OrderLines[[#This Row],[UnitPrice]])*(1-OrderLines[[#This Row],[DiscountPct]])</f>
        <v>48.78</v>
      </c>
      <c r="N306" t="str">
        <f>IF(AND(COUNTIFS(OrderLines[OrderID],OrderLines[[#This Row],[OrderID]],OrderLines[Category],"Hot Meal"),COUNTIFS(OrderLines[OrderID],OrderLines[[#This Row],[OrderID]],OrderLines[Category],"Beverage")),"Combo","Single")</f>
        <v>Single</v>
      </c>
      <c r="O306" s="8" t="str" cm="1">
        <f t="array" ref="O306">IF(SUMPRODUCT(OrderLines[UnitPrice],OrderLines[Qty],OrderLines[DiscountPct],--(OrderLines[OrderID] = OrderLines[[#This Row],[OrderID]]))&gt;40,"High Discount","Ok")</f>
        <v>High Discount</v>
      </c>
      <c r="P306">
        <f>OrderLines[[#This Row],[UnitCost]]*OrderLines[[#This Row],[Qty]]</f>
        <v>21.95</v>
      </c>
      <c r="Q306" s="8">
        <f>OrderLines[[#This Row],[LineNetAmount]]-OrderLines[[#This Row],[Food Cost]]</f>
        <v>26.830000000000002</v>
      </c>
    </row>
    <row r="307" spans="1:17" x14ac:dyDescent="0.3">
      <c r="A307" t="s">
        <v>161</v>
      </c>
      <c r="B307" t="s">
        <v>414</v>
      </c>
      <c r="C307">
        <v>3</v>
      </c>
      <c r="D307" cm="1">
        <f t="array" ref="D307">VLOOKUP(OrderLines[[#This Row],[SKU]:[SKU]],Menu[],MATCH(OrderLines[[#Headers],[UnitPrice]],Menu[#Headers],0),FALSE)</f>
        <v>116.8</v>
      </c>
      <c r="E307" cm="1">
        <f t="array" ref="E307">VLOOKUP(OrderLines[[#This Row],[SKU]:[SKU]],Menu[],MATCH(OrderLines[[#Headers],[UnitCost]],Menu[#Headers],0),FALSE)</f>
        <v>48.97</v>
      </c>
      <c r="F307" t="str" cm="1">
        <f t="array" ref="F307">VLOOKUP(OrderLines[[#This Row],[SKU]:[SKU]],Menu[],MATCH(OrderLines[[#Headers],[Category]],Menu[#Headers],0),FALSE)</f>
        <v>Dessert</v>
      </c>
      <c r="G307" t="str" cm="1">
        <f t="array" ref="G307">_xlfn.TEXTJOIN("+",TRUE,_xlfn._xlws.SORT(_xlfn.UNIQUE(_xlfn._xlws.FILTER(OrderLines[Category],OrderLines[OrderID]=OrderLines[[#This Row],[OrderID]]))))</f>
        <v>Beverage+Dessert+Hot Meal</v>
      </c>
      <c r="H307" s="2" cm="1">
        <f t="array" ref="H307">INT(VLOOKUP(OrderLines[[#This Row],[OrderID]:[OrderID]],Orders[],MATCH(OrderLines[[#Headers],[OrderDateTime]],Orders[#Headers],0),FALSE))</f>
        <v>45858</v>
      </c>
      <c r="I307" t="str" cm="1">
        <f t="array" ref="I307">VLOOKUP(OrderLines[[#This Row],[OrderID]:[OrderID]],Orders[],MATCH(OrderLines[[#Headers],[Branch]],Orders[#Headers],0),FALSE)</f>
        <v>Plant 2 Canteen</v>
      </c>
      <c r="J307" cm="1">
        <f t="array" ref="J307">VLOOKUP(OrderLines[[#This Row],[OrderID]:[OrderID]],Orders[],MATCH(OrderLines[[#Headers],[DiscountPct]],Orders[#Headers],0),FALSE)</f>
        <v>0.08</v>
      </c>
      <c r="K307" t="str" cm="1">
        <f t="array" ref="K307">VLOOKUP(OrderLines[[#This Row],[OrderID]:[OrderID]],Orders[],MATCH(OrderLines[[#Headers],[PaymentType]],Orders[#Headers],0),FALSE)</f>
        <v>Card</v>
      </c>
      <c r="L307" t="str" cm="1">
        <f t="array" ref="L307">VLOOKUP(OrderLines[[#This Row],[OrderID]:[OrderID]],Orders[],MATCH(OrderLines[[#Headers],[Shift]],Orders[#Headers],0),FALSE)</f>
        <v>Breakfast</v>
      </c>
      <c r="M307" s="8">
        <f>(OrderLines[[#This Row],[Qty]]*OrderLines[[#This Row],[UnitPrice]])*(1-OrderLines[[#This Row],[DiscountPct]])</f>
        <v>322.36799999999999</v>
      </c>
      <c r="N307" t="str">
        <f>IF(AND(COUNTIFS(OrderLines[OrderID],OrderLines[[#This Row],[OrderID]],OrderLines[Category],"Hot Meal"),COUNTIFS(OrderLines[OrderID],OrderLines[[#This Row],[OrderID]],OrderLines[Category],"Beverage")),"Combo","Single")</f>
        <v>Combo</v>
      </c>
      <c r="O307" s="8" t="str" cm="1">
        <f t="array" ref="O307">IF(SUMPRODUCT(OrderLines[UnitPrice],OrderLines[Qty],OrderLines[DiscountPct],--(OrderLines[OrderID] = OrderLines[[#This Row],[OrderID]]))&gt;40,"High Discount","Ok")</f>
        <v>High Discount</v>
      </c>
      <c r="P307">
        <f>OrderLines[[#This Row],[UnitCost]]*OrderLines[[#This Row],[Qty]]</f>
        <v>146.91</v>
      </c>
      <c r="Q307" s="8">
        <f>OrderLines[[#This Row],[LineNetAmount]]-OrderLines[[#This Row],[Food Cost]]</f>
        <v>175.458</v>
      </c>
    </row>
    <row r="308" spans="1:17" x14ac:dyDescent="0.3">
      <c r="A308" t="s">
        <v>161</v>
      </c>
      <c r="B308" t="s">
        <v>412</v>
      </c>
      <c r="C308">
        <v>1</v>
      </c>
      <c r="D308" cm="1">
        <f t="array" ref="D308">VLOOKUP(OrderLines[[#This Row],[SKU]:[SKU]],Menu[],MATCH(OrderLines[[#Headers],[UnitPrice]],Menu[#Headers],0),FALSE)</f>
        <v>57.07</v>
      </c>
      <c r="E308" cm="1">
        <f t="array" ref="E308">VLOOKUP(OrderLines[[#This Row],[SKU]:[SKU]],Menu[],MATCH(OrderLines[[#Headers],[UnitCost]],Menu[#Headers],0),FALSE)</f>
        <v>29.14</v>
      </c>
      <c r="F308" t="str" cm="1">
        <f t="array" ref="F308">VLOOKUP(OrderLines[[#This Row],[SKU]:[SKU]],Menu[],MATCH(OrderLines[[#Headers],[Category]],Menu[#Headers],0),FALSE)</f>
        <v>Dessert</v>
      </c>
      <c r="G308" t="str" cm="1">
        <f t="array" ref="G308">_xlfn.TEXTJOIN("+",TRUE,_xlfn._xlws.SORT(_xlfn.UNIQUE(_xlfn._xlws.FILTER(OrderLines[Category],OrderLines[OrderID]=OrderLines[[#This Row],[OrderID]]))))</f>
        <v>Beverage+Dessert+Hot Meal</v>
      </c>
      <c r="H308" s="2" cm="1">
        <f t="array" ref="H308">INT(VLOOKUP(OrderLines[[#This Row],[OrderID]:[OrderID]],Orders[],MATCH(OrderLines[[#Headers],[OrderDateTime]],Orders[#Headers],0),FALSE))</f>
        <v>45858</v>
      </c>
      <c r="I308" t="str" cm="1">
        <f t="array" ref="I308">VLOOKUP(OrderLines[[#This Row],[OrderID]:[OrderID]],Orders[],MATCH(OrderLines[[#Headers],[Branch]],Orders[#Headers],0),FALSE)</f>
        <v>Plant 2 Canteen</v>
      </c>
      <c r="J308" cm="1">
        <f t="array" ref="J308">VLOOKUP(OrderLines[[#This Row],[OrderID]:[OrderID]],Orders[],MATCH(OrderLines[[#Headers],[DiscountPct]],Orders[#Headers],0),FALSE)</f>
        <v>0.08</v>
      </c>
      <c r="K308" t="str" cm="1">
        <f t="array" ref="K308">VLOOKUP(OrderLines[[#This Row],[OrderID]:[OrderID]],Orders[],MATCH(OrderLines[[#Headers],[PaymentType]],Orders[#Headers],0),FALSE)</f>
        <v>Card</v>
      </c>
      <c r="L308" t="str" cm="1">
        <f t="array" ref="L308">VLOOKUP(OrderLines[[#This Row],[OrderID]:[OrderID]],Orders[],MATCH(OrderLines[[#Headers],[Shift]],Orders[#Headers],0),FALSE)</f>
        <v>Breakfast</v>
      </c>
      <c r="M308" s="8">
        <f>(OrderLines[[#This Row],[Qty]]*OrderLines[[#This Row],[UnitPrice]])*(1-OrderLines[[#This Row],[DiscountPct]])</f>
        <v>52.504400000000004</v>
      </c>
      <c r="N308" t="str">
        <f>IF(AND(COUNTIFS(OrderLines[OrderID],OrderLines[[#This Row],[OrderID]],OrderLines[Category],"Hot Meal"),COUNTIFS(OrderLines[OrderID],OrderLines[[#This Row],[OrderID]],OrderLines[Category],"Beverage")),"Combo","Single")</f>
        <v>Combo</v>
      </c>
      <c r="O308" s="8" t="str" cm="1">
        <f t="array" ref="O308">IF(SUMPRODUCT(OrderLines[UnitPrice],OrderLines[Qty],OrderLines[DiscountPct],--(OrderLines[OrderID] = OrderLines[[#This Row],[OrderID]]))&gt;40,"High Discount","Ok")</f>
        <v>High Discount</v>
      </c>
      <c r="P308">
        <f>OrderLines[[#This Row],[UnitCost]]*OrderLines[[#This Row],[Qty]]</f>
        <v>29.14</v>
      </c>
      <c r="Q308" s="8">
        <f>OrderLines[[#This Row],[LineNetAmount]]-OrderLines[[#This Row],[Food Cost]]</f>
        <v>23.364400000000003</v>
      </c>
    </row>
    <row r="309" spans="1:17" x14ac:dyDescent="0.3">
      <c r="A309" t="s">
        <v>161</v>
      </c>
      <c r="B309" t="s">
        <v>404</v>
      </c>
      <c r="C309">
        <v>1</v>
      </c>
      <c r="D309" cm="1">
        <f t="array" ref="D309">VLOOKUP(OrderLines[[#This Row],[SKU]:[SKU]],Menu[],MATCH(OrderLines[[#Headers],[UnitPrice]],Menu[#Headers],0),FALSE)</f>
        <v>32.979999999999997</v>
      </c>
      <c r="E309" cm="1">
        <f t="array" ref="E309">VLOOKUP(OrderLines[[#This Row],[SKU]:[SKU]],Menu[],MATCH(OrderLines[[#Headers],[UnitCost]],Menu[#Headers],0),FALSE)</f>
        <v>11.84</v>
      </c>
      <c r="F309" t="str" cm="1">
        <f t="array" ref="F309">VLOOKUP(OrderLines[[#This Row],[SKU]:[SKU]],Menu[],MATCH(OrderLines[[#Headers],[Category]],Menu[#Headers],0),FALSE)</f>
        <v>Beverage</v>
      </c>
      <c r="G309" t="str" cm="1">
        <f t="array" ref="G309">_xlfn.TEXTJOIN("+",TRUE,_xlfn._xlws.SORT(_xlfn.UNIQUE(_xlfn._xlws.FILTER(OrderLines[Category],OrderLines[OrderID]=OrderLines[[#This Row],[OrderID]]))))</f>
        <v>Beverage+Dessert+Hot Meal</v>
      </c>
      <c r="H309" s="2" cm="1">
        <f t="array" ref="H309">INT(VLOOKUP(OrderLines[[#This Row],[OrderID]:[OrderID]],Orders[],MATCH(OrderLines[[#Headers],[OrderDateTime]],Orders[#Headers],0),FALSE))</f>
        <v>45858</v>
      </c>
      <c r="I309" t="str" cm="1">
        <f t="array" ref="I309">VLOOKUP(OrderLines[[#This Row],[OrderID]:[OrderID]],Orders[],MATCH(OrderLines[[#Headers],[Branch]],Orders[#Headers],0),FALSE)</f>
        <v>Plant 2 Canteen</v>
      </c>
      <c r="J309" cm="1">
        <f t="array" ref="J309">VLOOKUP(OrderLines[[#This Row],[OrderID]:[OrderID]],Orders[],MATCH(OrderLines[[#Headers],[DiscountPct]],Orders[#Headers],0),FALSE)</f>
        <v>0.08</v>
      </c>
      <c r="K309" t="str" cm="1">
        <f t="array" ref="K309">VLOOKUP(OrderLines[[#This Row],[OrderID]:[OrderID]],Orders[],MATCH(OrderLines[[#Headers],[PaymentType]],Orders[#Headers],0),FALSE)</f>
        <v>Card</v>
      </c>
      <c r="L309" t="str" cm="1">
        <f t="array" ref="L309">VLOOKUP(OrderLines[[#This Row],[OrderID]:[OrderID]],Orders[],MATCH(OrderLines[[#Headers],[Shift]],Orders[#Headers],0),FALSE)</f>
        <v>Breakfast</v>
      </c>
      <c r="M309" s="8">
        <f>(OrderLines[[#This Row],[Qty]]*OrderLines[[#This Row],[UnitPrice]])*(1-OrderLines[[#This Row],[DiscountPct]])</f>
        <v>30.3416</v>
      </c>
      <c r="N309" t="str">
        <f>IF(AND(COUNTIFS(OrderLines[OrderID],OrderLines[[#This Row],[OrderID]],OrderLines[Category],"Hot Meal"),COUNTIFS(OrderLines[OrderID],OrderLines[[#This Row],[OrderID]],OrderLines[Category],"Beverage")),"Combo","Single")</f>
        <v>Combo</v>
      </c>
      <c r="O309" s="8" t="str" cm="1">
        <f t="array" ref="O309">IF(SUMPRODUCT(OrderLines[UnitPrice],OrderLines[Qty],OrderLines[DiscountPct],--(OrderLines[OrderID] = OrderLines[[#This Row],[OrderID]]))&gt;40,"High Discount","Ok")</f>
        <v>High Discount</v>
      </c>
      <c r="P309">
        <f>OrderLines[[#This Row],[UnitCost]]*OrderLines[[#This Row],[Qty]]</f>
        <v>11.84</v>
      </c>
      <c r="Q309" s="8">
        <f>OrderLines[[#This Row],[LineNetAmount]]-OrderLines[[#This Row],[Food Cost]]</f>
        <v>18.5016</v>
      </c>
    </row>
    <row r="310" spans="1:17" x14ac:dyDescent="0.3">
      <c r="A310" t="s">
        <v>161</v>
      </c>
      <c r="B310" t="s">
        <v>407</v>
      </c>
      <c r="C310">
        <v>2</v>
      </c>
      <c r="D310" cm="1">
        <f t="array" ref="D310">VLOOKUP(OrderLines[[#This Row],[SKU]:[SKU]],Menu[],MATCH(OrderLines[[#Headers],[UnitPrice]],Menu[#Headers],0),FALSE)</f>
        <v>246.09</v>
      </c>
      <c r="E310" cm="1">
        <f t="array" ref="E310">VLOOKUP(OrderLines[[#This Row],[SKU]:[SKU]],Menu[],MATCH(OrderLines[[#Headers],[UnitCost]],Menu[#Headers],0),FALSE)</f>
        <v>112.08</v>
      </c>
      <c r="F310" t="str" cm="1">
        <f t="array" ref="F310">VLOOKUP(OrderLines[[#This Row],[SKU]:[SKU]],Menu[],MATCH(OrderLines[[#Headers],[Category]],Menu[#Headers],0),FALSE)</f>
        <v>Hot Meal</v>
      </c>
      <c r="G310" t="str" cm="1">
        <f t="array" ref="G310">_xlfn.TEXTJOIN("+",TRUE,_xlfn._xlws.SORT(_xlfn.UNIQUE(_xlfn._xlws.FILTER(OrderLines[Category],OrderLines[OrderID]=OrderLines[[#This Row],[OrderID]]))))</f>
        <v>Beverage+Dessert+Hot Meal</v>
      </c>
      <c r="H310" s="2" cm="1">
        <f t="array" ref="H310">INT(VLOOKUP(OrderLines[[#This Row],[OrderID]:[OrderID]],Orders[],MATCH(OrderLines[[#Headers],[OrderDateTime]],Orders[#Headers],0),FALSE))</f>
        <v>45858</v>
      </c>
      <c r="I310" t="str" cm="1">
        <f t="array" ref="I310">VLOOKUP(OrderLines[[#This Row],[OrderID]:[OrderID]],Orders[],MATCH(OrderLines[[#Headers],[Branch]],Orders[#Headers],0),FALSE)</f>
        <v>Plant 2 Canteen</v>
      </c>
      <c r="J310" cm="1">
        <f t="array" ref="J310">VLOOKUP(OrderLines[[#This Row],[OrderID]:[OrderID]],Orders[],MATCH(OrderLines[[#Headers],[DiscountPct]],Orders[#Headers],0),FALSE)</f>
        <v>0.08</v>
      </c>
      <c r="K310" t="str" cm="1">
        <f t="array" ref="K310">VLOOKUP(OrderLines[[#This Row],[OrderID]:[OrderID]],Orders[],MATCH(OrderLines[[#Headers],[PaymentType]],Orders[#Headers],0),FALSE)</f>
        <v>Card</v>
      </c>
      <c r="L310" t="str" cm="1">
        <f t="array" ref="L310">VLOOKUP(OrderLines[[#This Row],[OrderID]:[OrderID]],Orders[],MATCH(OrderLines[[#Headers],[Shift]],Orders[#Headers],0),FALSE)</f>
        <v>Breakfast</v>
      </c>
      <c r="M310" s="8">
        <f>(OrderLines[[#This Row],[Qty]]*OrderLines[[#This Row],[UnitPrice]])*(1-OrderLines[[#This Row],[DiscountPct]])</f>
        <v>452.80560000000003</v>
      </c>
      <c r="N310" t="str">
        <f>IF(AND(COUNTIFS(OrderLines[OrderID],OrderLines[[#This Row],[OrderID]],OrderLines[Category],"Hot Meal"),COUNTIFS(OrderLines[OrderID],OrderLines[[#This Row],[OrderID]],OrderLines[Category],"Beverage")),"Combo","Single")</f>
        <v>Combo</v>
      </c>
      <c r="O310" s="8" t="str" cm="1">
        <f t="array" ref="O310">IF(SUMPRODUCT(OrderLines[UnitPrice],OrderLines[Qty],OrderLines[DiscountPct],--(OrderLines[OrderID] = OrderLines[[#This Row],[OrderID]]))&gt;40,"High Discount","Ok")</f>
        <v>High Discount</v>
      </c>
      <c r="P310">
        <f>OrderLines[[#This Row],[UnitCost]]*OrderLines[[#This Row],[Qty]]</f>
        <v>224.16</v>
      </c>
      <c r="Q310" s="8">
        <f>OrderLines[[#This Row],[LineNetAmount]]-OrderLines[[#This Row],[Food Cost]]</f>
        <v>228.64560000000003</v>
      </c>
    </row>
    <row r="311" spans="1:17" x14ac:dyDescent="0.3">
      <c r="A311" t="s">
        <v>162</v>
      </c>
      <c r="B311" t="s">
        <v>414</v>
      </c>
      <c r="C311">
        <v>1</v>
      </c>
      <c r="D311" cm="1">
        <f t="array" ref="D311">VLOOKUP(OrderLines[[#This Row],[SKU]:[SKU]],Menu[],MATCH(OrderLines[[#Headers],[UnitPrice]],Menu[#Headers],0),FALSE)</f>
        <v>116.8</v>
      </c>
      <c r="E311" cm="1">
        <f t="array" ref="E311">VLOOKUP(OrderLines[[#This Row],[SKU]:[SKU]],Menu[],MATCH(OrderLines[[#Headers],[UnitCost]],Menu[#Headers],0),FALSE)</f>
        <v>48.97</v>
      </c>
      <c r="F311" t="str" cm="1">
        <f t="array" ref="F311">VLOOKUP(OrderLines[[#This Row],[SKU]:[SKU]],Menu[],MATCH(OrderLines[[#Headers],[Category]],Menu[#Headers],0),FALSE)</f>
        <v>Dessert</v>
      </c>
      <c r="G311" t="str" cm="1">
        <f t="array" ref="G311">_xlfn.TEXTJOIN("+",TRUE,_xlfn._xlws.SORT(_xlfn.UNIQUE(_xlfn._xlws.FILTER(OrderLines[Category],OrderLines[OrderID]=OrderLines[[#This Row],[OrderID]]))))</f>
        <v>Dessert</v>
      </c>
      <c r="H311" s="2" cm="1">
        <f t="array" ref="H311">INT(VLOOKUP(OrderLines[[#This Row],[OrderID]:[OrderID]],Orders[],MATCH(OrderLines[[#Headers],[OrderDateTime]],Orders[#Headers],0),FALSE))</f>
        <v>45868</v>
      </c>
      <c r="I311" t="str" cm="1">
        <f t="array" ref="I311">VLOOKUP(OrderLines[[#This Row],[OrderID]:[OrderID]],Orders[],MATCH(OrderLines[[#Headers],[Branch]],Orders[#Headers],0),FALSE)</f>
        <v>Plant 1 Canteen</v>
      </c>
      <c r="J311" cm="1">
        <f t="array" ref="J311">VLOOKUP(OrderLines[[#This Row],[OrderID]:[OrderID]],Orders[],MATCH(OrderLines[[#Headers],[DiscountPct]],Orders[#Headers],0),FALSE)</f>
        <v>0.09</v>
      </c>
      <c r="K311" t="str" cm="1">
        <f t="array" ref="K311">VLOOKUP(OrderLines[[#This Row],[OrderID]:[OrderID]],Orders[],MATCH(OrderLines[[#Headers],[PaymentType]],Orders[#Headers],0),FALSE)</f>
        <v>UPI</v>
      </c>
      <c r="L311" t="str" cm="1">
        <f t="array" ref="L311">VLOOKUP(OrderLines[[#This Row],[OrderID]:[OrderID]],Orders[],MATCH(OrderLines[[#Headers],[Shift]],Orders[#Headers],0),FALSE)</f>
        <v>Lunch</v>
      </c>
      <c r="M311" s="8">
        <f>(OrderLines[[#This Row],[Qty]]*OrderLines[[#This Row],[UnitPrice]])*(1-OrderLines[[#This Row],[DiscountPct]])</f>
        <v>106.288</v>
      </c>
      <c r="N311" t="str">
        <f>IF(AND(COUNTIFS(OrderLines[OrderID],OrderLines[[#This Row],[OrderID]],OrderLines[Category],"Hot Meal"),COUNTIFS(OrderLines[OrderID],OrderLines[[#This Row],[OrderID]],OrderLines[Category],"Beverage")),"Combo","Single")</f>
        <v>Single</v>
      </c>
      <c r="O311" s="8" t="str" cm="1">
        <f t="array" ref="O311">IF(SUMPRODUCT(OrderLines[UnitPrice],OrderLines[Qty],OrderLines[DiscountPct],--(OrderLines[OrderID] = OrderLines[[#This Row],[OrderID]]))&gt;40,"High Discount","Ok")</f>
        <v>Ok</v>
      </c>
      <c r="P311">
        <f>OrderLines[[#This Row],[UnitCost]]*OrderLines[[#This Row],[Qty]]</f>
        <v>48.97</v>
      </c>
      <c r="Q311" s="8">
        <f>OrderLines[[#This Row],[LineNetAmount]]-OrderLines[[#This Row],[Food Cost]]</f>
        <v>57.317999999999998</v>
      </c>
    </row>
    <row r="312" spans="1:17" x14ac:dyDescent="0.3">
      <c r="A312" t="s">
        <v>162</v>
      </c>
      <c r="B312" t="s">
        <v>413</v>
      </c>
      <c r="C312">
        <v>1</v>
      </c>
      <c r="D312" cm="1">
        <f t="array" ref="D312">VLOOKUP(OrderLines[[#This Row],[SKU]:[SKU]],Menu[],MATCH(OrderLines[[#Headers],[UnitPrice]],Menu[#Headers],0),FALSE)</f>
        <v>54.2</v>
      </c>
      <c r="E312" cm="1">
        <f t="array" ref="E312">VLOOKUP(OrderLines[[#This Row],[SKU]:[SKU]],Menu[],MATCH(OrderLines[[#Headers],[UnitCost]],Menu[#Headers],0),FALSE)</f>
        <v>21.95</v>
      </c>
      <c r="F312" t="str" cm="1">
        <f t="array" ref="F312">VLOOKUP(OrderLines[[#This Row],[SKU]:[SKU]],Menu[],MATCH(OrderLines[[#Headers],[Category]],Menu[#Headers],0),FALSE)</f>
        <v>Dessert</v>
      </c>
      <c r="G312" t="str" cm="1">
        <f t="array" ref="G312">_xlfn.TEXTJOIN("+",TRUE,_xlfn._xlws.SORT(_xlfn.UNIQUE(_xlfn._xlws.FILTER(OrderLines[Category],OrderLines[OrderID]=OrderLines[[#This Row],[OrderID]]))))</f>
        <v>Dessert</v>
      </c>
      <c r="H312" s="2" cm="1">
        <f t="array" ref="H312">INT(VLOOKUP(OrderLines[[#This Row],[OrderID]:[OrderID]],Orders[],MATCH(OrderLines[[#Headers],[OrderDateTime]],Orders[#Headers],0),FALSE))</f>
        <v>45868</v>
      </c>
      <c r="I312" t="str" cm="1">
        <f t="array" ref="I312">VLOOKUP(OrderLines[[#This Row],[OrderID]:[OrderID]],Orders[],MATCH(OrderLines[[#Headers],[Branch]],Orders[#Headers],0),FALSE)</f>
        <v>Plant 1 Canteen</v>
      </c>
      <c r="J312" cm="1">
        <f t="array" ref="J312">VLOOKUP(OrderLines[[#This Row],[OrderID]:[OrderID]],Orders[],MATCH(OrderLines[[#Headers],[DiscountPct]],Orders[#Headers],0),FALSE)</f>
        <v>0.09</v>
      </c>
      <c r="K312" t="str" cm="1">
        <f t="array" ref="K312">VLOOKUP(OrderLines[[#This Row],[OrderID]:[OrderID]],Orders[],MATCH(OrderLines[[#Headers],[PaymentType]],Orders[#Headers],0),FALSE)</f>
        <v>UPI</v>
      </c>
      <c r="L312" t="str" cm="1">
        <f t="array" ref="L312">VLOOKUP(OrderLines[[#This Row],[OrderID]:[OrderID]],Orders[],MATCH(OrderLines[[#Headers],[Shift]],Orders[#Headers],0),FALSE)</f>
        <v>Lunch</v>
      </c>
      <c r="M312" s="8">
        <f>(OrderLines[[#This Row],[Qty]]*OrderLines[[#This Row],[UnitPrice]])*(1-OrderLines[[#This Row],[DiscountPct]])</f>
        <v>49.322000000000003</v>
      </c>
      <c r="N312" t="str">
        <f>IF(AND(COUNTIFS(OrderLines[OrderID],OrderLines[[#This Row],[OrderID]],OrderLines[Category],"Hot Meal"),COUNTIFS(OrderLines[OrderID],OrderLines[[#This Row],[OrderID]],OrderLines[Category],"Beverage")),"Combo","Single")</f>
        <v>Single</v>
      </c>
      <c r="O312" s="8" t="str" cm="1">
        <f t="array" ref="O312">IF(SUMPRODUCT(OrderLines[UnitPrice],OrderLines[Qty],OrderLines[DiscountPct],--(OrderLines[OrderID] = OrderLines[[#This Row],[OrderID]]))&gt;40,"High Discount","Ok")</f>
        <v>Ok</v>
      </c>
      <c r="P312">
        <f>OrderLines[[#This Row],[UnitCost]]*OrderLines[[#This Row],[Qty]]</f>
        <v>21.95</v>
      </c>
      <c r="Q312" s="8">
        <f>OrderLines[[#This Row],[LineNetAmount]]-OrderLines[[#This Row],[Food Cost]]</f>
        <v>27.372000000000003</v>
      </c>
    </row>
    <row r="313" spans="1:17" x14ac:dyDescent="0.3">
      <c r="A313" t="s">
        <v>163</v>
      </c>
      <c r="B313" t="s">
        <v>401</v>
      </c>
      <c r="C313">
        <v>1</v>
      </c>
      <c r="D313" cm="1">
        <f t="array" ref="D313">VLOOKUP(OrderLines[[#This Row],[SKU]:[SKU]],Menu[],MATCH(OrderLines[[#Headers],[UnitPrice]],Menu[#Headers],0),FALSE)</f>
        <v>52.45</v>
      </c>
      <c r="E313" cm="1">
        <f t="array" ref="E313">VLOOKUP(OrderLines[[#This Row],[SKU]:[SKU]],Menu[],MATCH(OrderLines[[#Headers],[UnitCost]],Menu[#Headers],0),FALSE)</f>
        <v>25.8</v>
      </c>
      <c r="F313" t="str" cm="1">
        <f t="array" ref="F313">VLOOKUP(OrderLines[[#This Row],[SKU]:[SKU]],Menu[],MATCH(OrderLines[[#Headers],[Category]],Menu[#Headers],0),FALSE)</f>
        <v>Snack</v>
      </c>
      <c r="G313" t="str" cm="1">
        <f t="array" ref="G313">_xlfn.TEXTJOIN("+",TRUE,_xlfn._xlws.SORT(_xlfn.UNIQUE(_xlfn._xlws.FILTER(OrderLines[Category],OrderLines[OrderID]=OrderLines[[#This Row],[OrderID]]))))</f>
        <v>Dessert+Hot Meal+Snack</v>
      </c>
      <c r="H313" s="2" cm="1">
        <f t="array" ref="H313">INT(VLOOKUP(OrderLines[[#This Row],[OrderID]:[OrderID]],Orders[],MATCH(OrderLines[[#Headers],[OrderDateTime]],Orders[#Headers],0),FALSE))</f>
        <v>45865</v>
      </c>
      <c r="I313" t="str" cm="1">
        <f t="array" ref="I313">VLOOKUP(OrderLines[[#This Row],[OrderID]:[OrderID]],Orders[],MATCH(OrderLines[[#Headers],[Branch]],Orders[#Headers],0),FALSE)</f>
        <v>Plant 1 Canteen</v>
      </c>
      <c r="J313" cm="1">
        <f t="array" ref="J313">VLOOKUP(OrderLines[[#This Row],[OrderID]:[OrderID]],Orders[],MATCH(OrderLines[[#Headers],[DiscountPct]],Orders[#Headers],0),FALSE)</f>
        <v>0.14000000000000001</v>
      </c>
      <c r="K313" t="str" cm="1">
        <f t="array" ref="K313">VLOOKUP(OrderLines[[#This Row],[OrderID]:[OrderID]],Orders[],MATCH(OrderLines[[#Headers],[PaymentType]],Orders[#Headers],0),FALSE)</f>
        <v>UPI</v>
      </c>
      <c r="L313" t="str" cm="1">
        <f t="array" ref="L313">VLOOKUP(OrderLines[[#This Row],[OrderID]:[OrderID]],Orders[],MATCH(OrderLines[[#Headers],[Shift]],Orders[#Headers],0),FALSE)</f>
        <v>Dinner</v>
      </c>
      <c r="M313" s="8">
        <f>(OrderLines[[#This Row],[Qty]]*OrderLines[[#This Row],[UnitPrice]])*(1-OrderLines[[#This Row],[DiscountPct]])</f>
        <v>45.106999999999999</v>
      </c>
      <c r="N313" t="str">
        <f>IF(AND(COUNTIFS(OrderLines[OrderID],OrderLines[[#This Row],[OrderID]],OrderLines[Category],"Hot Meal"),COUNTIFS(OrderLines[OrderID],OrderLines[[#This Row],[OrderID]],OrderLines[Category],"Beverage")),"Combo","Single")</f>
        <v>Single</v>
      </c>
      <c r="O313" s="8" t="str" cm="1">
        <f t="array" ref="O313">IF(SUMPRODUCT(OrderLines[UnitPrice],OrderLines[Qty],OrderLines[DiscountPct],--(OrderLines[OrderID] = OrderLines[[#This Row],[OrderID]]))&gt;40,"High Discount","Ok")</f>
        <v>High Discount</v>
      </c>
      <c r="P313">
        <f>OrderLines[[#This Row],[UnitCost]]*OrderLines[[#This Row],[Qty]]</f>
        <v>25.8</v>
      </c>
      <c r="Q313" s="8">
        <f>OrderLines[[#This Row],[LineNetAmount]]-OrderLines[[#This Row],[Food Cost]]</f>
        <v>19.306999999999999</v>
      </c>
    </row>
    <row r="314" spans="1:17" x14ac:dyDescent="0.3">
      <c r="A314" t="s">
        <v>163</v>
      </c>
      <c r="B314" t="s">
        <v>417</v>
      </c>
      <c r="C314">
        <v>1</v>
      </c>
      <c r="D314" cm="1">
        <f t="array" ref="D314">VLOOKUP(OrderLines[[#This Row],[SKU]:[SKU]],Menu[],MATCH(OrderLines[[#Headers],[UnitPrice]],Menu[#Headers],0),FALSE)</f>
        <v>146.4</v>
      </c>
      <c r="E314" cm="1">
        <f t="array" ref="E314">VLOOKUP(OrderLines[[#This Row],[SKU]:[SKU]],Menu[],MATCH(OrderLines[[#Headers],[UnitCost]],Menu[#Headers],0),FALSE)</f>
        <v>80.92</v>
      </c>
      <c r="F314" t="str" cm="1">
        <f t="array" ref="F314">VLOOKUP(OrderLines[[#This Row],[SKU]:[SKU]],Menu[],MATCH(OrderLines[[#Headers],[Category]],Menu[#Headers],0),FALSE)</f>
        <v>Hot Meal</v>
      </c>
      <c r="G314" t="str" cm="1">
        <f t="array" ref="G314">_xlfn.TEXTJOIN("+",TRUE,_xlfn._xlws.SORT(_xlfn.UNIQUE(_xlfn._xlws.FILTER(OrderLines[Category],OrderLines[OrderID]=OrderLines[[#This Row],[OrderID]]))))</f>
        <v>Dessert+Hot Meal+Snack</v>
      </c>
      <c r="H314" s="2" cm="1">
        <f t="array" ref="H314">INT(VLOOKUP(OrderLines[[#This Row],[OrderID]:[OrderID]],Orders[],MATCH(OrderLines[[#Headers],[OrderDateTime]],Orders[#Headers],0),FALSE))</f>
        <v>45865</v>
      </c>
      <c r="I314" t="str" cm="1">
        <f t="array" ref="I314">VLOOKUP(OrderLines[[#This Row],[OrderID]:[OrderID]],Orders[],MATCH(OrderLines[[#Headers],[Branch]],Orders[#Headers],0),FALSE)</f>
        <v>Plant 1 Canteen</v>
      </c>
      <c r="J314" cm="1">
        <f t="array" ref="J314">VLOOKUP(OrderLines[[#This Row],[OrderID]:[OrderID]],Orders[],MATCH(OrderLines[[#Headers],[DiscountPct]],Orders[#Headers],0),FALSE)</f>
        <v>0.14000000000000001</v>
      </c>
      <c r="K314" t="str" cm="1">
        <f t="array" ref="K314">VLOOKUP(OrderLines[[#This Row],[OrderID]:[OrderID]],Orders[],MATCH(OrderLines[[#Headers],[PaymentType]],Orders[#Headers],0),FALSE)</f>
        <v>UPI</v>
      </c>
      <c r="L314" t="str" cm="1">
        <f t="array" ref="L314">VLOOKUP(OrderLines[[#This Row],[OrderID]:[OrderID]],Orders[],MATCH(OrderLines[[#Headers],[Shift]],Orders[#Headers],0),FALSE)</f>
        <v>Dinner</v>
      </c>
      <c r="M314" s="8">
        <f>(OrderLines[[#This Row],[Qty]]*OrderLines[[#This Row],[UnitPrice]])*(1-OrderLines[[#This Row],[DiscountPct]])</f>
        <v>125.904</v>
      </c>
      <c r="N314" t="str">
        <f>IF(AND(COUNTIFS(OrderLines[OrderID],OrderLines[[#This Row],[OrderID]],OrderLines[Category],"Hot Meal"),COUNTIFS(OrderLines[OrderID],OrderLines[[#This Row],[OrderID]],OrderLines[Category],"Beverage")),"Combo","Single")</f>
        <v>Single</v>
      </c>
      <c r="O314" s="8" t="str" cm="1">
        <f t="array" ref="O314">IF(SUMPRODUCT(OrderLines[UnitPrice],OrderLines[Qty],OrderLines[DiscountPct],--(OrderLines[OrderID] = OrderLines[[#This Row],[OrderID]]))&gt;40,"High Discount","Ok")</f>
        <v>High Discount</v>
      </c>
      <c r="P314">
        <f>OrderLines[[#This Row],[UnitCost]]*OrderLines[[#This Row],[Qty]]</f>
        <v>80.92</v>
      </c>
      <c r="Q314" s="8">
        <f>OrderLines[[#This Row],[LineNetAmount]]-OrderLines[[#This Row],[Food Cost]]</f>
        <v>44.983999999999995</v>
      </c>
    </row>
    <row r="315" spans="1:17" x14ac:dyDescent="0.3">
      <c r="A315" t="s">
        <v>163</v>
      </c>
      <c r="B315" t="s">
        <v>412</v>
      </c>
      <c r="C315">
        <v>3</v>
      </c>
      <c r="D315" cm="1">
        <f t="array" ref="D315">VLOOKUP(OrderLines[[#This Row],[SKU]:[SKU]],Menu[],MATCH(OrderLines[[#Headers],[UnitPrice]],Menu[#Headers],0),FALSE)</f>
        <v>57.07</v>
      </c>
      <c r="E315" cm="1">
        <f t="array" ref="E315">VLOOKUP(OrderLines[[#This Row],[SKU]:[SKU]],Menu[],MATCH(OrderLines[[#Headers],[UnitCost]],Menu[#Headers],0),FALSE)</f>
        <v>29.14</v>
      </c>
      <c r="F315" t="str" cm="1">
        <f t="array" ref="F315">VLOOKUP(OrderLines[[#This Row],[SKU]:[SKU]],Menu[],MATCH(OrderLines[[#Headers],[Category]],Menu[#Headers],0),FALSE)</f>
        <v>Dessert</v>
      </c>
      <c r="G315" t="str" cm="1">
        <f t="array" ref="G315">_xlfn.TEXTJOIN("+",TRUE,_xlfn._xlws.SORT(_xlfn.UNIQUE(_xlfn._xlws.FILTER(OrderLines[Category],OrderLines[OrderID]=OrderLines[[#This Row],[OrderID]]))))</f>
        <v>Dessert+Hot Meal+Snack</v>
      </c>
      <c r="H315" s="2" cm="1">
        <f t="array" ref="H315">INT(VLOOKUP(OrderLines[[#This Row],[OrderID]:[OrderID]],Orders[],MATCH(OrderLines[[#Headers],[OrderDateTime]],Orders[#Headers],0),FALSE))</f>
        <v>45865</v>
      </c>
      <c r="I315" t="str" cm="1">
        <f t="array" ref="I315">VLOOKUP(OrderLines[[#This Row],[OrderID]:[OrderID]],Orders[],MATCH(OrderLines[[#Headers],[Branch]],Orders[#Headers],0),FALSE)</f>
        <v>Plant 1 Canteen</v>
      </c>
      <c r="J315" cm="1">
        <f t="array" ref="J315">VLOOKUP(OrderLines[[#This Row],[OrderID]:[OrderID]],Orders[],MATCH(OrderLines[[#Headers],[DiscountPct]],Orders[#Headers],0),FALSE)</f>
        <v>0.14000000000000001</v>
      </c>
      <c r="K315" t="str" cm="1">
        <f t="array" ref="K315">VLOOKUP(OrderLines[[#This Row],[OrderID]:[OrderID]],Orders[],MATCH(OrderLines[[#Headers],[PaymentType]],Orders[#Headers],0),FALSE)</f>
        <v>UPI</v>
      </c>
      <c r="L315" t="str" cm="1">
        <f t="array" ref="L315">VLOOKUP(OrderLines[[#This Row],[OrderID]:[OrderID]],Orders[],MATCH(OrderLines[[#Headers],[Shift]],Orders[#Headers],0),FALSE)</f>
        <v>Dinner</v>
      </c>
      <c r="M315" s="8">
        <f>(OrderLines[[#This Row],[Qty]]*OrderLines[[#This Row],[UnitPrice]])*(1-OrderLines[[#This Row],[DiscountPct]])</f>
        <v>147.2406</v>
      </c>
      <c r="N315" t="str">
        <f>IF(AND(COUNTIFS(OrderLines[OrderID],OrderLines[[#This Row],[OrderID]],OrderLines[Category],"Hot Meal"),COUNTIFS(OrderLines[OrderID],OrderLines[[#This Row],[OrderID]],OrderLines[Category],"Beverage")),"Combo","Single")</f>
        <v>Single</v>
      </c>
      <c r="O315" s="8" t="str" cm="1">
        <f t="array" ref="O315">IF(SUMPRODUCT(OrderLines[UnitPrice],OrderLines[Qty],OrderLines[DiscountPct],--(OrderLines[OrderID] = OrderLines[[#This Row],[OrderID]]))&gt;40,"High Discount","Ok")</f>
        <v>High Discount</v>
      </c>
      <c r="P315">
        <f>OrderLines[[#This Row],[UnitCost]]*OrderLines[[#This Row],[Qty]]</f>
        <v>87.42</v>
      </c>
      <c r="Q315" s="8">
        <f>OrderLines[[#This Row],[LineNetAmount]]-OrderLines[[#This Row],[Food Cost]]</f>
        <v>59.820599999999999</v>
      </c>
    </row>
    <row r="316" spans="1:17" x14ac:dyDescent="0.3">
      <c r="A316" t="s">
        <v>164</v>
      </c>
      <c r="B316" t="s">
        <v>408</v>
      </c>
      <c r="C316">
        <v>2</v>
      </c>
      <c r="D316" cm="1">
        <f t="array" ref="D316">VLOOKUP(OrderLines[[#This Row],[SKU]:[SKU]],Menu[],MATCH(OrderLines[[#Headers],[UnitPrice]],Menu[#Headers],0),FALSE)</f>
        <v>70.540000000000006</v>
      </c>
      <c r="E316" cm="1">
        <f t="array" ref="E316">VLOOKUP(OrderLines[[#This Row],[SKU]:[SKU]],Menu[],MATCH(OrderLines[[#Headers],[UnitCost]],Menu[#Headers],0),FALSE)</f>
        <v>35.81</v>
      </c>
      <c r="F316" t="str" cm="1">
        <f t="array" ref="F316">VLOOKUP(OrderLines[[#This Row],[SKU]:[SKU]],Menu[],MATCH(OrderLines[[#Headers],[Category]],Menu[#Headers],0),FALSE)</f>
        <v>Snack</v>
      </c>
      <c r="G316" t="str" cm="1">
        <f t="array" ref="G316">_xlfn.TEXTJOIN("+",TRUE,_xlfn._xlws.SORT(_xlfn.UNIQUE(_xlfn._xlws.FILTER(OrderLines[Category],OrderLines[OrderID]=OrderLines[[#This Row],[OrderID]]))))</f>
        <v>Beverage+Snack</v>
      </c>
      <c r="H316" s="2" cm="1">
        <f t="array" ref="H316">INT(VLOOKUP(OrderLines[[#This Row],[OrderID]:[OrderID]],Orders[],MATCH(OrderLines[[#Headers],[OrderDateTime]],Orders[#Headers],0),FALSE))</f>
        <v>45851</v>
      </c>
      <c r="I316" t="str" cm="1">
        <f t="array" ref="I316">VLOOKUP(OrderLines[[#This Row],[OrderID]:[OrderID]],Orders[],MATCH(OrderLines[[#Headers],[Branch]],Orders[#Headers],0),FALSE)</f>
        <v>Head Office Café</v>
      </c>
      <c r="J316" cm="1">
        <f t="array" ref="J316">VLOOKUP(OrderLines[[#This Row],[OrderID]:[OrderID]],Orders[],MATCH(OrderLines[[#Headers],[DiscountPct]],Orders[#Headers],0),FALSE)</f>
        <v>0.05</v>
      </c>
      <c r="K316" t="str" cm="1">
        <f t="array" ref="K316">VLOOKUP(OrderLines[[#This Row],[OrderID]:[OrderID]],Orders[],MATCH(OrderLines[[#Headers],[PaymentType]],Orders[#Headers],0),FALSE)</f>
        <v>Cash</v>
      </c>
      <c r="L316" t="str" cm="1">
        <f t="array" ref="L316">VLOOKUP(OrderLines[[#This Row],[OrderID]:[OrderID]],Orders[],MATCH(OrderLines[[#Headers],[Shift]],Orders[#Headers],0),FALSE)</f>
        <v>Lunch</v>
      </c>
      <c r="M316" s="8">
        <f>(OrderLines[[#This Row],[Qty]]*OrderLines[[#This Row],[UnitPrice]])*(1-OrderLines[[#This Row],[DiscountPct]])</f>
        <v>134.02600000000001</v>
      </c>
      <c r="N316" t="str">
        <f>IF(AND(COUNTIFS(OrderLines[OrderID],OrderLines[[#This Row],[OrderID]],OrderLines[Category],"Hot Meal"),COUNTIFS(OrderLines[OrderID],OrderLines[[#This Row],[OrderID]],OrderLines[Category],"Beverage")),"Combo","Single")</f>
        <v>Single</v>
      </c>
      <c r="O316" s="8" t="str" cm="1">
        <f t="array" ref="O316">IF(SUMPRODUCT(OrderLines[UnitPrice],OrderLines[Qty],OrderLines[DiscountPct],--(OrderLines[OrderID] = OrderLines[[#This Row],[OrderID]]))&gt;40,"High Discount","Ok")</f>
        <v>Ok</v>
      </c>
      <c r="P316">
        <f>OrderLines[[#This Row],[UnitCost]]*OrderLines[[#This Row],[Qty]]</f>
        <v>71.62</v>
      </c>
      <c r="Q316" s="8">
        <f>OrderLines[[#This Row],[LineNetAmount]]-OrderLines[[#This Row],[Food Cost]]</f>
        <v>62.406000000000006</v>
      </c>
    </row>
    <row r="317" spans="1:17" x14ac:dyDescent="0.3">
      <c r="A317" t="s">
        <v>164</v>
      </c>
      <c r="B317" t="s">
        <v>402</v>
      </c>
      <c r="C317">
        <v>2</v>
      </c>
      <c r="D317" cm="1">
        <f t="array" ref="D317">VLOOKUP(OrderLines[[#This Row],[SKU]:[SKU]],Menu[],MATCH(OrderLines[[#Headers],[UnitPrice]],Menu[#Headers],0),FALSE)</f>
        <v>30.34</v>
      </c>
      <c r="E317" cm="1">
        <f t="array" ref="E317">VLOOKUP(OrderLines[[#This Row],[SKU]:[SKU]],Menu[],MATCH(OrderLines[[#Headers],[UnitCost]],Menu[#Headers],0),FALSE)</f>
        <v>14.18</v>
      </c>
      <c r="F317" t="str" cm="1">
        <f t="array" ref="F317">VLOOKUP(OrderLines[[#This Row],[SKU]:[SKU]],Menu[],MATCH(OrderLines[[#Headers],[Category]],Menu[#Headers],0),FALSE)</f>
        <v>Beverage</v>
      </c>
      <c r="G317" t="str" cm="1">
        <f t="array" ref="G317">_xlfn.TEXTJOIN("+",TRUE,_xlfn._xlws.SORT(_xlfn.UNIQUE(_xlfn._xlws.FILTER(OrderLines[Category],OrderLines[OrderID]=OrderLines[[#This Row],[OrderID]]))))</f>
        <v>Beverage+Snack</v>
      </c>
      <c r="H317" s="2" cm="1">
        <f t="array" ref="H317">INT(VLOOKUP(OrderLines[[#This Row],[OrderID]:[OrderID]],Orders[],MATCH(OrderLines[[#Headers],[OrderDateTime]],Orders[#Headers],0),FALSE))</f>
        <v>45851</v>
      </c>
      <c r="I317" t="str" cm="1">
        <f t="array" ref="I317">VLOOKUP(OrderLines[[#This Row],[OrderID]:[OrderID]],Orders[],MATCH(OrderLines[[#Headers],[Branch]],Orders[#Headers],0),FALSE)</f>
        <v>Head Office Café</v>
      </c>
      <c r="J317" cm="1">
        <f t="array" ref="J317">VLOOKUP(OrderLines[[#This Row],[OrderID]:[OrderID]],Orders[],MATCH(OrderLines[[#Headers],[DiscountPct]],Orders[#Headers],0),FALSE)</f>
        <v>0.05</v>
      </c>
      <c r="K317" t="str" cm="1">
        <f t="array" ref="K317">VLOOKUP(OrderLines[[#This Row],[OrderID]:[OrderID]],Orders[],MATCH(OrderLines[[#Headers],[PaymentType]],Orders[#Headers],0),FALSE)</f>
        <v>Cash</v>
      </c>
      <c r="L317" t="str" cm="1">
        <f t="array" ref="L317">VLOOKUP(OrderLines[[#This Row],[OrderID]:[OrderID]],Orders[],MATCH(OrderLines[[#Headers],[Shift]],Orders[#Headers],0),FALSE)</f>
        <v>Lunch</v>
      </c>
      <c r="M317" s="8">
        <f>(OrderLines[[#This Row],[Qty]]*OrderLines[[#This Row],[UnitPrice]])*(1-OrderLines[[#This Row],[DiscountPct]])</f>
        <v>57.645999999999994</v>
      </c>
      <c r="N317" t="str">
        <f>IF(AND(COUNTIFS(OrderLines[OrderID],OrderLines[[#This Row],[OrderID]],OrderLines[Category],"Hot Meal"),COUNTIFS(OrderLines[OrderID],OrderLines[[#This Row],[OrderID]],OrderLines[Category],"Beverage")),"Combo","Single")</f>
        <v>Single</v>
      </c>
      <c r="O317" s="8" t="str" cm="1">
        <f t="array" ref="O317">IF(SUMPRODUCT(OrderLines[UnitPrice],OrderLines[Qty],OrderLines[DiscountPct],--(OrderLines[OrderID] = OrderLines[[#This Row],[OrderID]]))&gt;40,"High Discount","Ok")</f>
        <v>Ok</v>
      </c>
      <c r="P317">
        <f>OrderLines[[#This Row],[UnitCost]]*OrderLines[[#This Row],[Qty]]</f>
        <v>28.36</v>
      </c>
      <c r="Q317" s="8">
        <f>OrderLines[[#This Row],[LineNetAmount]]-OrderLines[[#This Row],[Food Cost]]</f>
        <v>29.285999999999994</v>
      </c>
    </row>
    <row r="318" spans="1:17" x14ac:dyDescent="0.3">
      <c r="A318" t="s">
        <v>165</v>
      </c>
      <c r="B318" t="s">
        <v>408</v>
      </c>
      <c r="C318">
        <v>2</v>
      </c>
      <c r="D318" cm="1">
        <f t="array" ref="D318">VLOOKUP(OrderLines[[#This Row],[SKU]:[SKU]],Menu[],MATCH(OrderLines[[#Headers],[UnitPrice]],Menu[#Headers],0),FALSE)</f>
        <v>70.540000000000006</v>
      </c>
      <c r="E318" cm="1">
        <f t="array" ref="E318">VLOOKUP(OrderLines[[#This Row],[SKU]:[SKU]],Menu[],MATCH(OrderLines[[#Headers],[UnitCost]],Menu[#Headers],0),FALSE)</f>
        <v>35.81</v>
      </c>
      <c r="F318" t="str" cm="1">
        <f t="array" ref="F318">VLOOKUP(OrderLines[[#This Row],[SKU]:[SKU]],Menu[],MATCH(OrderLines[[#Headers],[Category]],Menu[#Headers],0),FALSE)</f>
        <v>Snack</v>
      </c>
      <c r="G318" t="str" cm="1">
        <f t="array" ref="G318">_xlfn.TEXTJOIN("+",TRUE,_xlfn._xlws.SORT(_xlfn.UNIQUE(_xlfn._xlws.FILTER(OrderLines[Category],OrderLines[OrderID]=OrderLines[[#This Row],[OrderID]]))))</f>
        <v>Beverage+Hot Meal+Snack</v>
      </c>
      <c r="H318" s="2" cm="1">
        <f t="array" ref="H318">INT(VLOOKUP(OrderLines[[#This Row],[OrderID]:[OrderID]],Orders[],MATCH(OrderLines[[#Headers],[OrderDateTime]],Orders[#Headers],0),FALSE))</f>
        <v>45894</v>
      </c>
      <c r="I318" t="str" cm="1">
        <f t="array" ref="I318">VLOOKUP(OrderLines[[#This Row],[OrderID]:[OrderID]],Orders[],MATCH(OrderLines[[#Headers],[Branch]],Orders[#Headers],0),FALSE)</f>
        <v>Plant 2 Canteen</v>
      </c>
      <c r="J318" cm="1">
        <f t="array" ref="J318">VLOOKUP(OrderLines[[#This Row],[OrderID]:[OrderID]],Orders[],MATCH(OrderLines[[#Headers],[DiscountPct]],Orders[#Headers],0),FALSE)</f>
        <v>0.03</v>
      </c>
      <c r="K318" t="str" cm="1">
        <f t="array" ref="K318">VLOOKUP(OrderLines[[#This Row],[OrderID]:[OrderID]],Orders[],MATCH(OrderLines[[#Headers],[PaymentType]],Orders[#Headers],0),FALSE)</f>
        <v>Card</v>
      </c>
      <c r="L318" t="str" cm="1">
        <f t="array" ref="L318">VLOOKUP(OrderLines[[#This Row],[OrderID]:[OrderID]],Orders[],MATCH(OrderLines[[#Headers],[Shift]],Orders[#Headers],0),FALSE)</f>
        <v>Dinner</v>
      </c>
      <c r="M318" s="8">
        <f>(OrderLines[[#This Row],[Qty]]*OrderLines[[#This Row],[UnitPrice]])*(1-OrderLines[[#This Row],[DiscountPct]])</f>
        <v>136.8476</v>
      </c>
      <c r="N318" t="str">
        <f>IF(AND(COUNTIFS(OrderLines[OrderID],OrderLines[[#This Row],[OrderID]],OrderLines[Category],"Hot Meal"),COUNTIFS(OrderLines[OrderID],OrderLines[[#This Row],[OrderID]],OrderLines[Category],"Beverage")),"Combo","Single")</f>
        <v>Combo</v>
      </c>
      <c r="O318" s="8" t="str" cm="1">
        <f t="array" ref="O318">IF(SUMPRODUCT(OrderLines[UnitPrice],OrderLines[Qty],OrderLines[DiscountPct],--(OrderLines[OrderID] = OrderLines[[#This Row],[OrderID]]))&gt;40,"High Discount","Ok")</f>
        <v>Ok</v>
      </c>
      <c r="P318">
        <f>OrderLines[[#This Row],[UnitCost]]*OrderLines[[#This Row],[Qty]]</f>
        <v>71.62</v>
      </c>
      <c r="Q318" s="8">
        <f>OrderLines[[#This Row],[LineNetAmount]]-OrderLines[[#This Row],[Food Cost]]</f>
        <v>65.227599999999995</v>
      </c>
    </row>
    <row r="319" spans="1:17" x14ac:dyDescent="0.3">
      <c r="A319" t="s">
        <v>165</v>
      </c>
      <c r="B319" t="s">
        <v>415</v>
      </c>
      <c r="C319">
        <v>2</v>
      </c>
      <c r="D319" cm="1">
        <f t="array" ref="D319">VLOOKUP(OrderLines[[#This Row],[SKU]:[SKU]],Menu[],MATCH(OrderLines[[#Headers],[UnitPrice]],Menu[#Headers],0),FALSE)</f>
        <v>256.91000000000003</v>
      </c>
      <c r="E319" cm="1">
        <f t="array" ref="E319">VLOOKUP(OrderLines[[#This Row],[SKU]:[SKU]],Menu[],MATCH(OrderLines[[#Headers],[UnitCost]],Menu[#Headers],0),FALSE)</f>
        <v>121.24</v>
      </c>
      <c r="F319" t="str" cm="1">
        <f t="array" ref="F319">VLOOKUP(OrderLines[[#This Row],[SKU]:[SKU]],Menu[],MATCH(OrderLines[[#Headers],[Category]],Menu[#Headers],0),FALSE)</f>
        <v>Hot Meal</v>
      </c>
      <c r="G319" t="str" cm="1">
        <f t="array" ref="G319">_xlfn.TEXTJOIN("+",TRUE,_xlfn._xlws.SORT(_xlfn.UNIQUE(_xlfn._xlws.FILTER(OrderLines[Category],OrderLines[OrderID]=OrderLines[[#This Row],[OrderID]]))))</f>
        <v>Beverage+Hot Meal+Snack</v>
      </c>
      <c r="H319" s="2" cm="1">
        <f t="array" ref="H319">INT(VLOOKUP(OrderLines[[#This Row],[OrderID]:[OrderID]],Orders[],MATCH(OrderLines[[#Headers],[OrderDateTime]],Orders[#Headers],0),FALSE))</f>
        <v>45894</v>
      </c>
      <c r="I319" t="str" cm="1">
        <f t="array" ref="I319">VLOOKUP(OrderLines[[#This Row],[OrderID]:[OrderID]],Orders[],MATCH(OrderLines[[#Headers],[Branch]],Orders[#Headers],0),FALSE)</f>
        <v>Plant 2 Canteen</v>
      </c>
      <c r="J319" cm="1">
        <f t="array" ref="J319">VLOOKUP(OrderLines[[#This Row],[OrderID]:[OrderID]],Orders[],MATCH(OrderLines[[#Headers],[DiscountPct]],Orders[#Headers],0),FALSE)</f>
        <v>0.03</v>
      </c>
      <c r="K319" t="str" cm="1">
        <f t="array" ref="K319">VLOOKUP(OrderLines[[#This Row],[OrderID]:[OrderID]],Orders[],MATCH(OrderLines[[#Headers],[PaymentType]],Orders[#Headers],0),FALSE)</f>
        <v>Card</v>
      </c>
      <c r="L319" t="str" cm="1">
        <f t="array" ref="L319">VLOOKUP(OrderLines[[#This Row],[OrderID]:[OrderID]],Orders[],MATCH(OrderLines[[#Headers],[Shift]],Orders[#Headers],0),FALSE)</f>
        <v>Dinner</v>
      </c>
      <c r="M319" s="8">
        <f>(OrderLines[[#This Row],[Qty]]*OrderLines[[#This Row],[UnitPrice]])*(1-OrderLines[[#This Row],[DiscountPct]])</f>
        <v>498.40540000000004</v>
      </c>
      <c r="N319" t="str">
        <f>IF(AND(COUNTIFS(OrderLines[OrderID],OrderLines[[#This Row],[OrderID]],OrderLines[Category],"Hot Meal"),COUNTIFS(OrderLines[OrderID],OrderLines[[#This Row],[OrderID]],OrderLines[Category],"Beverage")),"Combo","Single")</f>
        <v>Combo</v>
      </c>
      <c r="O319" s="8" t="str" cm="1">
        <f t="array" ref="O319">IF(SUMPRODUCT(OrderLines[UnitPrice],OrderLines[Qty],OrderLines[DiscountPct],--(OrderLines[OrderID] = OrderLines[[#This Row],[OrderID]]))&gt;40,"High Discount","Ok")</f>
        <v>Ok</v>
      </c>
      <c r="P319">
        <f>OrderLines[[#This Row],[UnitCost]]*OrderLines[[#This Row],[Qty]]</f>
        <v>242.48</v>
      </c>
      <c r="Q319" s="8">
        <f>OrderLines[[#This Row],[LineNetAmount]]-OrderLines[[#This Row],[Food Cost]]</f>
        <v>255.92540000000005</v>
      </c>
    </row>
    <row r="320" spans="1:17" x14ac:dyDescent="0.3">
      <c r="A320" t="s">
        <v>165</v>
      </c>
      <c r="B320" t="s">
        <v>404</v>
      </c>
      <c r="C320">
        <v>2</v>
      </c>
      <c r="D320" cm="1">
        <f t="array" ref="D320">VLOOKUP(OrderLines[[#This Row],[SKU]:[SKU]],Menu[],MATCH(OrderLines[[#Headers],[UnitPrice]],Menu[#Headers],0),FALSE)</f>
        <v>32.979999999999997</v>
      </c>
      <c r="E320" cm="1">
        <f t="array" ref="E320">VLOOKUP(OrderLines[[#This Row],[SKU]:[SKU]],Menu[],MATCH(OrderLines[[#Headers],[UnitCost]],Menu[#Headers],0),FALSE)</f>
        <v>11.84</v>
      </c>
      <c r="F320" t="str" cm="1">
        <f t="array" ref="F320">VLOOKUP(OrderLines[[#This Row],[SKU]:[SKU]],Menu[],MATCH(OrderLines[[#Headers],[Category]],Menu[#Headers],0),FALSE)</f>
        <v>Beverage</v>
      </c>
      <c r="G320" t="str" cm="1">
        <f t="array" ref="G320">_xlfn.TEXTJOIN("+",TRUE,_xlfn._xlws.SORT(_xlfn.UNIQUE(_xlfn._xlws.FILTER(OrderLines[Category],OrderLines[OrderID]=OrderLines[[#This Row],[OrderID]]))))</f>
        <v>Beverage+Hot Meal+Snack</v>
      </c>
      <c r="H320" s="2" cm="1">
        <f t="array" ref="H320">INT(VLOOKUP(OrderLines[[#This Row],[OrderID]:[OrderID]],Orders[],MATCH(OrderLines[[#Headers],[OrderDateTime]],Orders[#Headers],0),FALSE))</f>
        <v>45894</v>
      </c>
      <c r="I320" t="str" cm="1">
        <f t="array" ref="I320">VLOOKUP(OrderLines[[#This Row],[OrderID]:[OrderID]],Orders[],MATCH(OrderLines[[#Headers],[Branch]],Orders[#Headers],0),FALSE)</f>
        <v>Plant 2 Canteen</v>
      </c>
      <c r="J320" cm="1">
        <f t="array" ref="J320">VLOOKUP(OrderLines[[#This Row],[OrderID]:[OrderID]],Orders[],MATCH(OrderLines[[#Headers],[DiscountPct]],Orders[#Headers],0),FALSE)</f>
        <v>0.03</v>
      </c>
      <c r="K320" t="str" cm="1">
        <f t="array" ref="K320">VLOOKUP(OrderLines[[#This Row],[OrderID]:[OrderID]],Orders[],MATCH(OrderLines[[#Headers],[PaymentType]],Orders[#Headers],0),FALSE)</f>
        <v>Card</v>
      </c>
      <c r="L320" t="str" cm="1">
        <f t="array" ref="L320">VLOOKUP(OrderLines[[#This Row],[OrderID]:[OrderID]],Orders[],MATCH(OrderLines[[#Headers],[Shift]],Orders[#Headers],0),FALSE)</f>
        <v>Dinner</v>
      </c>
      <c r="M320" s="8">
        <f>(OrderLines[[#This Row],[Qty]]*OrderLines[[#This Row],[UnitPrice]])*(1-OrderLines[[#This Row],[DiscountPct]])</f>
        <v>63.981199999999994</v>
      </c>
      <c r="N320" t="str">
        <f>IF(AND(COUNTIFS(OrderLines[OrderID],OrderLines[[#This Row],[OrderID]],OrderLines[Category],"Hot Meal"),COUNTIFS(OrderLines[OrderID],OrderLines[[#This Row],[OrderID]],OrderLines[Category],"Beverage")),"Combo","Single")</f>
        <v>Combo</v>
      </c>
      <c r="O320" s="8" t="str" cm="1">
        <f t="array" ref="O320">IF(SUMPRODUCT(OrderLines[UnitPrice],OrderLines[Qty],OrderLines[DiscountPct],--(OrderLines[OrderID] = OrderLines[[#This Row],[OrderID]]))&gt;40,"High Discount","Ok")</f>
        <v>Ok</v>
      </c>
      <c r="P320">
        <f>OrderLines[[#This Row],[UnitCost]]*OrderLines[[#This Row],[Qty]]</f>
        <v>23.68</v>
      </c>
      <c r="Q320" s="8">
        <f>OrderLines[[#This Row],[LineNetAmount]]-OrderLines[[#This Row],[Food Cost]]</f>
        <v>40.301199999999994</v>
      </c>
    </row>
    <row r="321" spans="1:17" x14ac:dyDescent="0.3">
      <c r="A321" t="s">
        <v>166</v>
      </c>
      <c r="B321" t="s">
        <v>405</v>
      </c>
      <c r="C321">
        <v>2</v>
      </c>
      <c r="D321" cm="1">
        <f t="array" ref="D321">VLOOKUP(OrderLines[[#This Row],[SKU]:[SKU]],Menu[],MATCH(OrderLines[[#Headers],[UnitPrice]],Menu[#Headers],0),FALSE)</f>
        <v>170.83</v>
      </c>
      <c r="E321" cm="1">
        <f t="array" ref="E321">VLOOKUP(OrderLines[[#This Row],[SKU]:[SKU]],Menu[],MATCH(OrderLines[[#Headers],[UnitCost]],Menu[#Headers],0),FALSE)</f>
        <v>74.069999999999993</v>
      </c>
      <c r="F321" t="str" cm="1">
        <f t="array" ref="F321">VLOOKUP(OrderLines[[#This Row],[SKU]:[SKU]],Menu[],MATCH(OrderLines[[#Headers],[Category]],Menu[#Headers],0),FALSE)</f>
        <v>Hot Meal</v>
      </c>
      <c r="G321" t="str" cm="1">
        <f t="array" ref="G321">_xlfn.TEXTJOIN("+",TRUE,_xlfn._xlws.SORT(_xlfn.UNIQUE(_xlfn._xlws.FILTER(OrderLines[Category],OrderLines[OrderID]=OrderLines[[#This Row],[OrderID]]))))</f>
        <v>Dessert+Hot Meal</v>
      </c>
      <c r="H321" s="2" cm="1">
        <f t="array" ref="H321">INT(VLOOKUP(OrderLines[[#This Row],[OrderID]:[OrderID]],Orders[],MATCH(OrderLines[[#Headers],[OrderDateTime]],Orders[#Headers],0),FALSE))</f>
        <v>45872</v>
      </c>
      <c r="I321" t="str" cm="1">
        <f t="array" ref="I321">VLOOKUP(OrderLines[[#This Row],[OrderID]:[OrderID]],Orders[],MATCH(OrderLines[[#Headers],[Branch]],Orders[#Headers],0),FALSE)</f>
        <v>Plant 1 Canteen</v>
      </c>
      <c r="J321" cm="1">
        <f t="array" ref="J321">VLOOKUP(OrderLines[[#This Row],[OrderID]:[OrderID]],Orders[],MATCH(OrderLines[[#Headers],[DiscountPct]],Orders[#Headers],0),FALSE)</f>
        <v>0.02</v>
      </c>
      <c r="K321" t="str" cm="1">
        <f t="array" ref="K321">VLOOKUP(OrderLines[[#This Row],[OrderID]:[OrderID]],Orders[],MATCH(OrderLines[[#Headers],[PaymentType]],Orders[#Headers],0),FALSE)</f>
        <v>Card</v>
      </c>
      <c r="L321" t="str" cm="1">
        <f t="array" ref="L321">VLOOKUP(OrderLines[[#This Row],[OrderID]:[OrderID]],Orders[],MATCH(OrderLines[[#Headers],[Shift]],Orders[#Headers],0),FALSE)</f>
        <v>Breakfast</v>
      </c>
      <c r="M321" s="8">
        <f>(OrderLines[[#This Row],[Qty]]*OrderLines[[#This Row],[UnitPrice]])*(1-OrderLines[[#This Row],[DiscountPct]])</f>
        <v>334.82679999999999</v>
      </c>
      <c r="N321" t="str">
        <f>IF(AND(COUNTIFS(OrderLines[OrderID],OrderLines[[#This Row],[OrderID]],OrderLines[Category],"Hot Meal"),COUNTIFS(OrderLines[OrderID],OrderLines[[#This Row],[OrderID]],OrderLines[Category],"Beverage")),"Combo","Single")</f>
        <v>Single</v>
      </c>
      <c r="O321" s="8" t="str" cm="1">
        <f t="array" ref="O321">IF(SUMPRODUCT(OrderLines[UnitPrice],OrderLines[Qty],OrderLines[DiscountPct],--(OrderLines[OrderID] = OrderLines[[#This Row],[OrderID]]))&gt;40,"High Discount","Ok")</f>
        <v>Ok</v>
      </c>
      <c r="P321">
        <f>OrderLines[[#This Row],[UnitCost]]*OrderLines[[#This Row],[Qty]]</f>
        <v>148.13999999999999</v>
      </c>
      <c r="Q321" s="8">
        <f>OrderLines[[#This Row],[LineNetAmount]]-OrderLines[[#This Row],[Food Cost]]</f>
        <v>186.68680000000001</v>
      </c>
    </row>
    <row r="322" spans="1:17" x14ac:dyDescent="0.3">
      <c r="A322" t="s">
        <v>166</v>
      </c>
      <c r="B322" t="s">
        <v>413</v>
      </c>
      <c r="C322">
        <v>3</v>
      </c>
      <c r="D322" cm="1">
        <f t="array" ref="D322">VLOOKUP(OrderLines[[#This Row],[SKU]:[SKU]],Menu[],MATCH(OrderLines[[#Headers],[UnitPrice]],Menu[#Headers],0),FALSE)</f>
        <v>54.2</v>
      </c>
      <c r="E322" cm="1">
        <f t="array" ref="E322">VLOOKUP(OrderLines[[#This Row],[SKU]:[SKU]],Menu[],MATCH(OrderLines[[#Headers],[UnitCost]],Menu[#Headers],0),FALSE)</f>
        <v>21.95</v>
      </c>
      <c r="F322" t="str" cm="1">
        <f t="array" ref="F322">VLOOKUP(OrderLines[[#This Row],[SKU]:[SKU]],Menu[],MATCH(OrderLines[[#Headers],[Category]],Menu[#Headers],0),FALSE)</f>
        <v>Dessert</v>
      </c>
      <c r="G322" t="str" cm="1">
        <f t="array" ref="G322">_xlfn.TEXTJOIN("+",TRUE,_xlfn._xlws.SORT(_xlfn.UNIQUE(_xlfn._xlws.FILTER(OrderLines[Category],OrderLines[OrderID]=OrderLines[[#This Row],[OrderID]]))))</f>
        <v>Dessert+Hot Meal</v>
      </c>
      <c r="H322" s="2" cm="1">
        <f t="array" ref="H322">INT(VLOOKUP(OrderLines[[#This Row],[OrderID]:[OrderID]],Orders[],MATCH(OrderLines[[#Headers],[OrderDateTime]],Orders[#Headers],0),FALSE))</f>
        <v>45872</v>
      </c>
      <c r="I322" t="str" cm="1">
        <f t="array" ref="I322">VLOOKUP(OrderLines[[#This Row],[OrderID]:[OrderID]],Orders[],MATCH(OrderLines[[#Headers],[Branch]],Orders[#Headers],0),FALSE)</f>
        <v>Plant 1 Canteen</v>
      </c>
      <c r="J322" cm="1">
        <f t="array" ref="J322">VLOOKUP(OrderLines[[#This Row],[OrderID]:[OrderID]],Orders[],MATCH(OrderLines[[#Headers],[DiscountPct]],Orders[#Headers],0),FALSE)</f>
        <v>0.02</v>
      </c>
      <c r="K322" t="str" cm="1">
        <f t="array" ref="K322">VLOOKUP(OrderLines[[#This Row],[OrderID]:[OrderID]],Orders[],MATCH(OrderLines[[#Headers],[PaymentType]],Orders[#Headers],0),FALSE)</f>
        <v>Card</v>
      </c>
      <c r="L322" t="str" cm="1">
        <f t="array" ref="L322">VLOOKUP(OrderLines[[#This Row],[OrderID]:[OrderID]],Orders[],MATCH(OrderLines[[#Headers],[Shift]],Orders[#Headers],0),FALSE)</f>
        <v>Breakfast</v>
      </c>
      <c r="M322" s="8">
        <f>(OrderLines[[#This Row],[Qty]]*OrderLines[[#This Row],[UnitPrice]])*(1-OrderLines[[#This Row],[DiscountPct]])</f>
        <v>159.34800000000001</v>
      </c>
      <c r="N322" t="str">
        <f>IF(AND(COUNTIFS(OrderLines[OrderID],OrderLines[[#This Row],[OrderID]],OrderLines[Category],"Hot Meal"),COUNTIFS(OrderLines[OrderID],OrderLines[[#This Row],[OrderID]],OrderLines[Category],"Beverage")),"Combo","Single")</f>
        <v>Single</v>
      </c>
      <c r="O322" s="8" t="str" cm="1">
        <f t="array" ref="O322">IF(SUMPRODUCT(OrderLines[UnitPrice],OrderLines[Qty],OrderLines[DiscountPct],--(OrderLines[OrderID] = OrderLines[[#This Row],[OrderID]]))&gt;40,"High Discount","Ok")</f>
        <v>Ok</v>
      </c>
      <c r="P322">
        <f>OrderLines[[#This Row],[UnitCost]]*OrderLines[[#This Row],[Qty]]</f>
        <v>65.849999999999994</v>
      </c>
      <c r="Q322" s="8">
        <f>OrderLines[[#This Row],[LineNetAmount]]-OrderLines[[#This Row],[Food Cost]]</f>
        <v>93.498000000000019</v>
      </c>
    </row>
    <row r="323" spans="1:17" x14ac:dyDescent="0.3">
      <c r="A323" t="s">
        <v>166</v>
      </c>
      <c r="B323" t="s">
        <v>407</v>
      </c>
      <c r="C323">
        <v>1</v>
      </c>
      <c r="D323" cm="1">
        <f t="array" ref="D323">VLOOKUP(OrderLines[[#This Row],[SKU]:[SKU]],Menu[],MATCH(OrderLines[[#Headers],[UnitPrice]],Menu[#Headers],0),FALSE)</f>
        <v>246.09</v>
      </c>
      <c r="E323" cm="1">
        <f t="array" ref="E323">VLOOKUP(OrderLines[[#This Row],[SKU]:[SKU]],Menu[],MATCH(OrderLines[[#Headers],[UnitCost]],Menu[#Headers],0),FALSE)</f>
        <v>112.08</v>
      </c>
      <c r="F323" t="str" cm="1">
        <f t="array" ref="F323">VLOOKUP(OrderLines[[#This Row],[SKU]:[SKU]],Menu[],MATCH(OrderLines[[#Headers],[Category]],Menu[#Headers],0),FALSE)</f>
        <v>Hot Meal</v>
      </c>
      <c r="G323" t="str" cm="1">
        <f t="array" ref="G323">_xlfn.TEXTJOIN("+",TRUE,_xlfn._xlws.SORT(_xlfn.UNIQUE(_xlfn._xlws.FILTER(OrderLines[Category],OrderLines[OrderID]=OrderLines[[#This Row],[OrderID]]))))</f>
        <v>Dessert+Hot Meal</v>
      </c>
      <c r="H323" s="2" cm="1">
        <f t="array" ref="H323">INT(VLOOKUP(OrderLines[[#This Row],[OrderID]:[OrderID]],Orders[],MATCH(OrderLines[[#Headers],[OrderDateTime]],Orders[#Headers],0),FALSE))</f>
        <v>45872</v>
      </c>
      <c r="I323" t="str" cm="1">
        <f t="array" ref="I323">VLOOKUP(OrderLines[[#This Row],[OrderID]:[OrderID]],Orders[],MATCH(OrderLines[[#Headers],[Branch]],Orders[#Headers],0),FALSE)</f>
        <v>Plant 1 Canteen</v>
      </c>
      <c r="J323" cm="1">
        <f t="array" ref="J323">VLOOKUP(OrderLines[[#This Row],[OrderID]:[OrderID]],Orders[],MATCH(OrderLines[[#Headers],[DiscountPct]],Orders[#Headers],0),FALSE)</f>
        <v>0.02</v>
      </c>
      <c r="K323" t="str" cm="1">
        <f t="array" ref="K323">VLOOKUP(OrderLines[[#This Row],[OrderID]:[OrderID]],Orders[],MATCH(OrderLines[[#Headers],[PaymentType]],Orders[#Headers],0),FALSE)</f>
        <v>Card</v>
      </c>
      <c r="L323" t="str" cm="1">
        <f t="array" ref="L323">VLOOKUP(OrderLines[[#This Row],[OrderID]:[OrderID]],Orders[],MATCH(OrderLines[[#Headers],[Shift]],Orders[#Headers],0),FALSE)</f>
        <v>Breakfast</v>
      </c>
      <c r="M323" s="8">
        <f>(OrderLines[[#This Row],[Qty]]*OrderLines[[#This Row],[UnitPrice]])*(1-OrderLines[[#This Row],[DiscountPct]])</f>
        <v>241.16820000000001</v>
      </c>
      <c r="N323" t="str">
        <f>IF(AND(COUNTIFS(OrderLines[OrderID],OrderLines[[#This Row],[OrderID]],OrderLines[Category],"Hot Meal"),COUNTIFS(OrderLines[OrderID],OrderLines[[#This Row],[OrderID]],OrderLines[Category],"Beverage")),"Combo","Single")</f>
        <v>Single</v>
      </c>
      <c r="O323" s="8" t="str" cm="1">
        <f t="array" ref="O323">IF(SUMPRODUCT(OrderLines[UnitPrice],OrderLines[Qty],OrderLines[DiscountPct],--(OrderLines[OrderID] = OrderLines[[#This Row],[OrderID]]))&gt;40,"High Discount","Ok")</f>
        <v>Ok</v>
      </c>
      <c r="P323">
        <f>OrderLines[[#This Row],[UnitCost]]*OrderLines[[#This Row],[Qty]]</f>
        <v>112.08</v>
      </c>
      <c r="Q323" s="8">
        <f>OrderLines[[#This Row],[LineNetAmount]]-OrderLines[[#This Row],[Food Cost]]</f>
        <v>129.08820000000003</v>
      </c>
    </row>
    <row r="324" spans="1:17" x14ac:dyDescent="0.3">
      <c r="A324" t="s">
        <v>167</v>
      </c>
      <c r="B324" t="s">
        <v>414</v>
      </c>
      <c r="C324">
        <v>1</v>
      </c>
      <c r="D324" cm="1">
        <f t="array" ref="D324">VLOOKUP(OrderLines[[#This Row],[SKU]:[SKU]],Menu[],MATCH(OrderLines[[#Headers],[UnitPrice]],Menu[#Headers],0),FALSE)</f>
        <v>116.8</v>
      </c>
      <c r="E324" cm="1">
        <f t="array" ref="E324">VLOOKUP(OrderLines[[#This Row],[SKU]:[SKU]],Menu[],MATCH(OrderLines[[#Headers],[UnitCost]],Menu[#Headers],0),FALSE)</f>
        <v>48.97</v>
      </c>
      <c r="F324" t="str" cm="1">
        <f t="array" ref="F324">VLOOKUP(OrderLines[[#This Row],[SKU]:[SKU]],Menu[],MATCH(OrderLines[[#Headers],[Category]],Menu[#Headers],0),FALSE)</f>
        <v>Dessert</v>
      </c>
      <c r="G324" t="str" cm="1">
        <f t="array" ref="G324">_xlfn.TEXTJOIN("+",TRUE,_xlfn._xlws.SORT(_xlfn.UNIQUE(_xlfn._xlws.FILTER(OrderLines[Category],OrderLines[OrderID]=OrderLines[[#This Row],[OrderID]]))))</f>
        <v>Dessert+Snack</v>
      </c>
      <c r="H324" s="2" cm="1">
        <f t="array" ref="H324">INT(VLOOKUP(OrderLines[[#This Row],[OrderID]:[OrderID]],Orders[],MATCH(OrderLines[[#Headers],[OrderDateTime]],Orders[#Headers],0),FALSE))</f>
        <v>45850</v>
      </c>
      <c r="I324" t="str" cm="1">
        <f t="array" ref="I324">VLOOKUP(OrderLines[[#This Row],[OrderID]:[OrderID]],Orders[],MATCH(OrderLines[[#Headers],[Branch]],Orders[#Headers],0),FALSE)</f>
        <v>Plant 1 Canteen</v>
      </c>
      <c r="J324" cm="1">
        <f t="array" ref="J324">VLOOKUP(OrderLines[[#This Row],[OrderID]:[OrderID]],Orders[],MATCH(OrderLines[[#Headers],[DiscountPct]],Orders[#Headers],0),FALSE)</f>
        <v>0.03</v>
      </c>
      <c r="K324" t="str" cm="1">
        <f t="array" ref="K324">VLOOKUP(OrderLines[[#This Row],[OrderID]:[OrderID]],Orders[],MATCH(OrderLines[[#Headers],[PaymentType]],Orders[#Headers],0),FALSE)</f>
        <v>Card</v>
      </c>
      <c r="L324" t="str" cm="1">
        <f t="array" ref="L324">VLOOKUP(OrderLines[[#This Row],[OrderID]:[OrderID]],Orders[],MATCH(OrderLines[[#Headers],[Shift]],Orders[#Headers],0),FALSE)</f>
        <v>Breakfast</v>
      </c>
      <c r="M324" s="8">
        <f>(OrderLines[[#This Row],[Qty]]*OrderLines[[#This Row],[UnitPrice]])*(1-OrderLines[[#This Row],[DiscountPct]])</f>
        <v>113.29599999999999</v>
      </c>
      <c r="N324" t="str">
        <f>IF(AND(COUNTIFS(OrderLines[OrderID],OrderLines[[#This Row],[OrderID]],OrderLines[Category],"Hot Meal"),COUNTIFS(OrderLines[OrderID],OrderLines[[#This Row],[OrderID]],OrderLines[Category],"Beverage")),"Combo","Single")</f>
        <v>Single</v>
      </c>
      <c r="O324" s="8" t="str" cm="1">
        <f t="array" ref="O324">IF(SUMPRODUCT(OrderLines[UnitPrice],OrderLines[Qty],OrderLines[DiscountPct],--(OrderLines[OrderID] = OrderLines[[#This Row],[OrderID]]))&gt;40,"High Discount","Ok")</f>
        <v>Ok</v>
      </c>
      <c r="P324">
        <f>OrderLines[[#This Row],[UnitCost]]*OrderLines[[#This Row],[Qty]]</f>
        <v>48.97</v>
      </c>
      <c r="Q324" s="8">
        <f>OrderLines[[#This Row],[LineNetAmount]]-OrderLines[[#This Row],[Food Cost]]</f>
        <v>64.325999999999993</v>
      </c>
    </row>
    <row r="325" spans="1:17" x14ac:dyDescent="0.3">
      <c r="A325" t="s">
        <v>167</v>
      </c>
      <c r="B325" t="s">
        <v>403</v>
      </c>
      <c r="C325">
        <v>3</v>
      </c>
      <c r="D325" cm="1">
        <f t="array" ref="D325">VLOOKUP(OrderLines[[#This Row],[SKU]:[SKU]],Menu[],MATCH(OrderLines[[#Headers],[UnitPrice]],Menu[#Headers],0),FALSE)</f>
        <v>76.55</v>
      </c>
      <c r="E325" cm="1">
        <f t="array" ref="E325">VLOOKUP(OrderLines[[#This Row],[SKU]:[SKU]],Menu[],MATCH(OrderLines[[#Headers],[UnitCost]],Menu[#Headers],0),FALSE)</f>
        <v>38.229999999999997</v>
      </c>
      <c r="F325" t="str" cm="1">
        <f t="array" ref="F325">VLOOKUP(OrderLines[[#This Row],[SKU]:[SKU]],Menu[],MATCH(OrderLines[[#Headers],[Category]],Menu[#Headers],0),FALSE)</f>
        <v>Dessert</v>
      </c>
      <c r="G325" t="str" cm="1">
        <f t="array" ref="G325">_xlfn.TEXTJOIN("+",TRUE,_xlfn._xlws.SORT(_xlfn.UNIQUE(_xlfn._xlws.FILTER(OrderLines[Category],OrderLines[OrderID]=OrderLines[[#This Row],[OrderID]]))))</f>
        <v>Dessert+Snack</v>
      </c>
      <c r="H325" s="2" cm="1">
        <f t="array" ref="H325">INT(VLOOKUP(OrderLines[[#This Row],[OrderID]:[OrderID]],Orders[],MATCH(OrderLines[[#Headers],[OrderDateTime]],Orders[#Headers],0),FALSE))</f>
        <v>45850</v>
      </c>
      <c r="I325" t="str" cm="1">
        <f t="array" ref="I325">VLOOKUP(OrderLines[[#This Row],[OrderID]:[OrderID]],Orders[],MATCH(OrderLines[[#Headers],[Branch]],Orders[#Headers],0),FALSE)</f>
        <v>Plant 1 Canteen</v>
      </c>
      <c r="J325" cm="1">
        <f t="array" ref="J325">VLOOKUP(OrderLines[[#This Row],[OrderID]:[OrderID]],Orders[],MATCH(OrderLines[[#Headers],[DiscountPct]],Orders[#Headers],0),FALSE)</f>
        <v>0.03</v>
      </c>
      <c r="K325" t="str" cm="1">
        <f t="array" ref="K325">VLOOKUP(OrderLines[[#This Row],[OrderID]:[OrderID]],Orders[],MATCH(OrderLines[[#Headers],[PaymentType]],Orders[#Headers],0),FALSE)</f>
        <v>Card</v>
      </c>
      <c r="L325" t="str" cm="1">
        <f t="array" ref="L325">VLOOKUP(OrderLines[[#This Row],[OrderID]:[OrderID]],Orders[],MATCH(OrderLines[[#Headers],[Shift]],Orders[#Headers],0),FALSE)</f>
        <v>Breakfast</v>
      </c>
      <c r="M325" s="8">
        <f>(OrderLines[[#This Row],[Qty]]*OrderLines[[#This Row],[UnitPrice]])*(1-OrderLines[[#This Row],[DiscountPct]])</f>
        <v>222.76049999999998</v>
      </c>
      <c r="N325" t="str">
        <f>IF(AND(COUNTIFS(OrderLines[OrderID],OrderLines[[#This Row],[OrderID]],OrderLines[Category],"Hot Meal"),COUNTIFS(OrderLines[OrderID],OrderLines[[#This Row],[OrderID]],OrderLines[Category],"Beverage")),"Combo","Single")</f>
        <v>Single</v>
      </c>
      <c r="O325" s="8" t="str" cm="1">
        <f t="array" ref="O325">IF(SUMPRODUCT(OrderLines[UnitPrice],OrderLines[Qty],OrderLines[DiscountPct],--(OrderLines[OrderID] = OrderLines[[#This Row],[OrderID]]))&gt;40,"High Discount","Ok")</f>
        <v>Ok</v>
      </c>
      <c r="P325">
        <f>OrderLines[[#This Row],[UnitCost]]*OrderLines[[#This Row],[Qty]]</f>
        <v>114.69</v>
      </c>
      <c r="Q325" s="8">
        <f>OrderLines[[#This Row],[LineNetAmount]]-OrderLines[[#This Row],[Food Cost]]</f>
        <v>108.07049999999998</v>
      </c>
    </row>
    <row r="326" spans="1:17" x14ac:dyDescent="0.3">
      <c r="A326" t="s">
        <v>167</v>
      </c>
      <c r="B326" t="s">
        <v>408</v>
      </c>
      <c r="C326">
        <v>1</v>
      </c>
      <c r="D326" cm="1">
        <f t="array" ref="D326">VLOOKUP(OrderLines[[#This Row],[SKU]:[SKU]],Menu[],MATCH(OrderLines[[#Headers],[UnitPrice]],Menu[#Headers],0),FALSE)</f>
        <v>70.540000000000006</v>
      </c>
      <c r="E326" cm="1">
        <f t="array" ref="E326">VLOOKUP(OrderLines[[#This Row],[SKU]:[SKU]],Menu[],MATCH(OrderLines[[#Headers],[UnitCost]],Menu[#Headers],0),FALSE)</f>
        <v>35.81</v>
      </c>
      <c r="F326" t="str" cm="1">
        <f t="array" ref="F326">VLOOKUP(OrderLines[[#This Row],[SKU]:[SKU]],Menu[],MATCH(OrderLines[[#Headers],[Category]],Menu[#Headers],0),FALSE)</f>
        <v>Snack</v>
      </c>
      <c r="G326" t="str" cm="1">
        <f t="array" ref="G326">_xlfn.TEXTJOIN("+",TRUE,_xlfn._xlws.SORT(_xlfn.UNIQUE(_xlfn._xlws.FILTER(OrderLines[Category],OrderLines[OrderID]=OrderLines[[#This Row],[OrderID]]))))</f>
        <v>Dessert+Snack</v>
      </c>
      <c r="H326" s="2" cm="1">
        <f t="array" ref="H326">INT(VLOOKUP(OrderLines[[#This Row],[OrderID]:[OrderID]],Orders[],MATCH(OrderLines[[#Headers],[OrderDateTime]],Orders[#Headers],0),FALSE))</f>
        <v>45850</v>
      </c>
      <c r="I326" t="str" cm="1">
        <f t="array" ref="I326">VLOOKUP(OrderLines[[#This Row],[OrderID]:[OrderID]],Orders[],MATCH(OrderLines[[#Headers],[Branch]],Orders[#Headers],0),FALSE)</f>
        <v>Plant 1 Canteen</v>
      </c>
      <c r="J326" cm="1">
        <f t="array" ref="J326">VLOOKUP(OrderLines[[#This Row],[OrderID]:[OrderID]],Orders[],MATCH(OrderLines[[#Headers],[DiscountPct]],Orders[#Headers],0),FALSE)</f>
        <v>0.03</v>
      </c>
      <c r="K326" t="str" cm="1">
        <f t="array" ref="K326">VLOOKUP(OrderLines[[#This Row],[OrderID]:[OrderID]],Orders[],MATCH(OrderLines[[#Headers],[PaymentType]],Orders[#Headers],0),FALSE)</f>
        <v>Card</v>
      </c>
      <c r="L326" t="str" cm="1">
        <f t="array" ref="L326">VLOOKUP(OrderLines[[#This Row],[OrderID]:[OrderID]],Orders[],MATCH(OrderLines[[#Headers],[Shift]],Orders[#Headers],0),FALSE)</f>
        <v>Breakfast</v>
      </c>
      <c r="M326" s="8">
        <f>(OrderLines[[#This Row],[Qty]]*OrderLines[[#This Row],[UnitPrice]])*(1-OrderLines[[#This Row],[DiscountPct]])</f>
        <v>68.4238</v>
      </c>
      <c r="N326" t="str">
        <f>IF(AND(COUNTIFS(OrderLines[OrderID],OrderLines[[#This Row],[OrderID]],OrderLines[Category],"Hot Meal"),COUNTIFS(OrderLines[OrderID],OrderLines[[#This Row],[OrderID]],OrderLines[Category],"Beverage")),"Combo","Single")</f>
        <v>Single</v>
      </c>
      <c r="O326" s="8" t="str" cm="1">
        <f t="array" ref="O326">IF(SUMPRODUCT(OrderLines[UnitPrice],OrderLines[Qty],OrderLines[DiscountPct],--(OrderLines[OrderID] = OrderLines[[#This Row],[OrderID]]))&gt;40,"High Discount","Ok")</f>
        <v>Ok</v>
      </c>
      <c r="P326">
        <f>OrderLines[[#This Row],[UnitCost]]*OrderLines[[#This Row],[Qty]]</f>
        <v>35.81</v>
      </c>
      <c r="Q326" s="8">
        <f>OrderLines[[#This Row],[LineNetAmount]]-OrderLines[[#This Row],[Food Cost]]</f>
        <v>32.613799999999998</v>
      </c>
    </row>
    <row r="327" spans="1:17" x14ac:dyDescent="0.3">
      <c r="A327" t="s">
        <v>168</v>
      </c>
      <c r="B327" t="s">
        <v>415</v>
      </c>
      <c r="C327">
        <v>1</v>
      </c>
      <c r="D327" cm="1">
        <f t="array" ref="D327">VLOOKUP(OrderLines[[#This Row],[SKU]:[SKU]],Menu[],MATCH(OrderLines[[#Headers],[UnitPrice]],Menu[#Headers],0),FALSE)</f>
        <v>256.91000000000003</v>
      </c>
      <c r="E327" cm="1">
        <f t="array" ref="E327">VLOOKUP(OrderLines[[#This Row],[SKU]:[SKU]],Menu[],MATCH(OrderLines[[#Headers],[UnitCost]],Menu[#Headers],0),FALSE)</f>
        <v>121.24</v>
      </c>
      <c r="F327" t="str" cm="1">
        <f t="array" ref="F327">VLOOKUP(OrderLines[[#This Row],[SKU]:[SKU]],Menu[],MATCH(OrderLines[[#Headers],[Category]],Menu[#Headers],0),FALSE)</f>
        <v>Hot Meal</v>
      </c>
      <c r="G327" t="str" cm="1">
        <f t="array" ref="G327">_xlfn.TEXTJOIN("+",TRUE,_xlfn._xlws.SORT(_xlfn.UNIQUE(_xlfn._xlws.FILTER(OrderLines[Category],OrderLines[OrderID]=OrderLines[[#This Row],[OrderID]]))))</f>
        <v>Beverage+Hot Meal</v>
      </c>
      <c r="H327" s="2" cm="1">
        <f t="array" ref="H327">INT(VLOOKUP(OrderLines[[#This Row],[OrderID]:[OrderID]],Orders[],MATCH(OrderLines[[#Headers],[OrderDateTime]],Orders[#Headers],0),FALSE))</f>
        <v>45895</v>
      </c>
      <c r="I327" t="str" cm="1">
        <f t="array" ref="I327">VLOOKUP(OrderLines[[#This Row],[OrderID]:[OrderID]],Orders[],MATCH(OrderLines[[#Headers],[Branch]],Orders[#Headers],0),FALSE)</f>
        <v>Head Office Café</v>
      </c>
      <c r="J327" cm="1">
        <f t="array" ref="J327">VLOOKUP(OrderLines[[#This Row],[OrderID]:[OrderID]],Orders[],MATCH(OrderLines[[#Headers],[DiscountPct]],Orders[#Headers],0),FALSE)</f>
        <v>0.06</v>
      </c>
      <c r="K327" t="str" cm="1">
        <f t="array" ref="K327">VLOOKUP(OrderLines[[#This Row],[OrderID]:[OrderID]],Orders[],MATCH(OrderLines[[#Headers],[PaymentType]],Orders[#Headers],0),FALSE)</f>
        <v>Cash</v>
      </c>
      <c r="L327" t="str" cm="1">
        <f t="array" ref="L327">VLOOKUP(OrderLines[[#This Row],[OrderID]:[OrderID]],Orders[],MATCH(OrderLines[[#Headers],[Shift]],Orders[#Headers],0),FALSE)</f>
        <v>Breakfast</v>
      </c>
      <c r="M327" s="8">
        <f>(OrderLines[[#This Row],[Qty]]*OrderLines[[#This Row],[UnitPrice]])*(1-OrderLines[[#This Row],[DiscountPct]])</f>
        <v>241.49540000000002</v>
      </c>
      <c r="N327" t="str">
        <f>IF(AND(COUNTIFS(OrderLines[OrderID],OrderLines[[#This Row],[OrderID]],OrderLines[Category],"Hot Meal"),COUNTIFS(OrderLines[OrderID],OrderLines[[#This Row],[OrderID]],OrderLines[Category],"Beverage")),"Combo","Single")</f>
        <v>Combo</v>
      </c>
      <c r="O327" s="8" t="str" cm="1">
        <f t="array" ref="O327">IF(SUMPRODUCT(OrderLines[UnitPrice],OrderLines[Qty],OrderLines[DiscountPct],--(OrderLines[OrderID] = OrderLines[[#This Row],[OrderID]]))&gt;40,"High Discount","Ok")</f>
        <v>Ok</v>
      </c>
      <c r="P327">
        <f>OrderLines[[#This Row],[UnitCost]]*OrderLines[[#This Row],[Qty]]</f>
        <v>121.24</v>
      </c>
      <c r="Q327" s="8">
        <f>OrderLines[[#This Row],[LineNetAmount]]-OrderLines[[#This Row],[Food Cost]]</f>
        <v>120.25540000000002</v>
      </c>
    </row>
    <row r="328" spans="1:17" x14ac:dyDescent="0.3">
      <c r="A328" t="s">
        <v>168</v>
      </c>
      <c r="B328" t="s">
        <v>417</v>
      </c>
      <c r="C328">
        <v>1</v>
      </c>
      <c r="D328" cm="1">
        <f t="array" ref="D328">VLOOKUP(OrderLines[[#This Row],[SKU]:[SKU]],Menu[],MATCH(OrderLines[[#Headers],[UnitPrice]],Menu[#Headers],0),FALSE)</f>
        <v>146.4</v>
      </c>
      <c r="E328" cm="1">
        <f t="array" ref="E328">VLOOKUP(OrderLines[[#This Row],[SKU]:[SKU]],Menu[],MATCH(OrderLines[[#Headers],[UnitCost]],Menu[#Headers],0),FALSE)</f>
        <v>80.92</v>
      </c>
      <c r="F328" t="str" cm="1">
        <f t="array" ref="F328">VLOOKUP(OrderLines[[#This Row],[SKU]:[SKU]],Menu[],MATCH(OrderLines[[#Headers],[Category]],Menu[#Headers],0),FALSE)</f>
        <v>Hot Meal</v>
      </c>
      <c r="G328" t="str" cm="1">
        <f t="array" ref="G328">_xlfn.TEXTJOIN("+",TRUE,_xlfn._xlws.SORT(_xlfn.UNIQUE(_xlfn._xlws.FILTER(OrderLines[Category],OrderLines[OrderID]=OrderLines[[#This Row],[OrderID]]))))</f>
        <v>Beverage+Hot Meal</v>
      </c>
      <c r="H328" s="2" cm="1">
        <f t="array" ref="H328">INT(VLOOKUP(OrderLines[[#This Row],[OrderID]:[OrderID]],Orders[],MATCH(OrderLines[[#Headers],[OrderDateTime]],Orders[#Headers],0),FALSE))</f>
        <v>45895</v>
      </c>
      <c r="I328" t="str" cm="1">
        <f t="array" ref="I328">VLOOKUP(OrderLines[[#This Row],[OrderID]:[OrderID]],Orders[],MATCH(OrderLines[[#Headers],[Branch]],Orders[#Headers],0),FALSE)</f>
        <v>Head Office Café</v>
      </c>
      <c r="J328" cm="1">
        <f t="array" ref="J328">VLOOKUP(OrderLines[[#This Row],[OrderID]:[OrderID]],Orders[],MATCH(OrderLines[[#Headers],[DiscountPct]],Orders[#Headers],0),FALSE)</f>
        <v>0.06</v>
      </c>
      <c r="K328" t="str" cm="1">
        <f t="array" ref="K328">VLOOKUP(OrderLines[[#This Row],[OrderID]:[OrderID]],Orders[],MATCH(OrderLines[[#Headers],[PaymentType]],Orders[#Headers],0),FALSE)</f>
        <v>Cash</v>
      </c>
      <c r="L328" t="str" cm="1">
        <f t="array" ref="L328">VLOOKUP(OrderLines[[#This Row],[OrderID]:[OrderID]],Orders[],MATCH(OrderLines[[#Headers],[Shift]],Orders[#Headers],0),FALSE)</f>
        <v>Breakfast</v>
      </c>
      <c r="M328" s="8">
        <f>(OrderLines[[#This Row],[Qty]]*OrderLines[[#This Row],[UnitPrice]])*(1-OrderLines[[#This Row],[DiscountPct]])</f>
        <v>137.61599999999999</v>
      </c>
      <c r="N328" t="str">
        <f>IF(AND(COUNTIFS(OrderLines[OrderID],OrderLines[[#This Row],[OrderID]],OrderLines[Category],"Hot Meal"),COUNTIFS(OrderLines[OrderID],OrderLines[[#This Row],[OrderID]],OrderLines[Category],"Beverage")),"Combo","Single")</f>
        <v>Combo</v>
      </c>
      <c r="O328" s="8" t="str" cm="1">
        <f t="array" ref="O328">IF(SUMPRODUCT(OrderLines[UnitPrice],OrderLines[Qty],OrderLines[DiscountPct],--(OrderLines[OrderID] = OrderLines[[#This Row],[OrderID]]))&gt;40,"High Discount","Ok")</f>
        <v>Ok</v>
      </c>
      <c r="P328">
        <f>OrderLines[[#This Row],[UnitCost]]*OrderLines[[#This Row],[Qty]]</f>
        <v>80.92</v>
      </c>
      <c r="Q328" s="8">
        <f>OrderLines[[#This Row],[LineNetAmount]]-OrderLines[[#This Row],[Food Cost]]</f>
        <v>56.695999999999984</v>
      </c>
    </row>
    <row r="329" spans="1:17" x14ac:dyDescent="0.3">
      <c r="A329" t="s">
        <v>168</v>
      </c>
      <c r="B329" t="s">
        <v>409</v>
      </c>
      <c r="C329">
        <v>2</v>
      </c>
      <c r="D329" cm="1">
        <f t="array" ref="D329">VLOOKUP(OrderLines[[#This Row],[SKU]:[SKU]],Menu[],MATCH(OrderLines[[#Headers],[UnitPrice]],Menu[#Headers],0),FALSE)</f>
        <v>28.43</v>
      </c>
      <c r="E329" cm="1">
        <f t="array" ref="E329">VLOOKUP(OrderLines[[#This Row],[SKU]:[SKU]],Menu[],MATCH(OrderLines[[#Headers],[UnitCost]],Menu[#Headers],0),FALSE)</f>
        <v>13.89</v>
      </c>
      <c r="F329" t="str" cm="1">
        <f t="array" ref="F329">VLOOKUP(OrderLines[[#This Row],[SKU]:[SKU]],Menu[],MATCH(OrderLines[[#Headers],[Category]],Menu[#Headers],0),FALSE)</f>
        <v>Beverage</v>
      </c>
      <c r="G329" t="str" cm="1">
        <f t="array" ref="G329">_xlfn.TEXTJOIN("+",TRUE,_xlfn._xlws.SORT(_xlfn.UNIQUE(_xlfn._xlws.FILTER(OrderLines[Category],OrderLines[OrderID]=OrderLines[[#This Row],[OrderID]]))))</f>
        <v>Beverage+Hot Meal</v>
      </c>
      <c r="H329" s="2" cm="1">
        <f t="array" ref="H329">INT(VLOOKUP(OrderLines[[#This Row],[OrderID]:[OrderID]],Orders[],MATCH(OrderLines[[#Headers],[OrderDateTime]],Orders[#Headers],0),FALSE))</f>
        <v>45895</v>
      </c>
      <c r="I329" t="str" cm="1">
        <f t="array" ref="I329">VLOOKUP(OrderLines[[#This Row],[OrderID]:[OrderID]],Orders[],MATCH(OrderLines[[#Headers],[Branch]],Orders[#Headers],0),FALSE)</f>
        <v>Head Office Café</v>
      </c>
      <c r="J329" cm="1">
        <f t="array" ref="J329">VLOOKUP(OrderLines[[#This Row],[OrderID]:[OrderID]],Orders[],MATCH(OrderLines[[#Headers],[DiscountPct]],Orders[#Headers],0),FALSE)</f>
        <v>0.06</v>
      </c>
      <c r="K329" t="str" cm="1">
        <f t="array" ref="K329">VLOOKUP(OrderLines[[#This Row],[OrderID]:[OrderID]],Orders[],MATCH(OrderLines[[#Headers],[PaymentType]],Orders[#Headers],0),FALSE)</f>
        <v>Cash</v>
      </c>
      <c r="L329" t="str" cm="1">
        <f t="array" ref="L329">VLOOKUP(OrderLines[[#This Row],[OrderID]:[OrderID]],Orders[],MATCH(OrderLines[[#Headers],[Shift]],Orders[#Headers],0),FALSE)</f>
        <v>Breakfast</v>
      </c>
      <c r="M329" s="8">
        <f>(OrderLines[[#This Row],[Qty]]*OrderLines[[#This Row],[UnitPrice]])*(1-OrderLines[[#This Row],[DiscountPct]])</f>
        <v>53.448399999999999</v>
      </c>
      <c r="N329" t="str">
        <f>IF(AND(COUNTIFS(OrderLines[OrderID],OrderLines[[#This Row],[OrderID]],OrderLines[Category],"Hot Meal"),COUNTIFS(OrderLines[OrderID],OrderLines[[#This Row],[OrderID]],OrderLines[Category],"Beverage")),"Combo","Single")</f>
        <v>Combo</v>
      </c>
      <c r="O329" s="8" t="str" cm="1">
        <f t="array" ref="O329">IF(SUMPRODUCT(OrderLines[UnitPrice],OrderLines[Qty],OrderLines[DiscountPct],--(OrderLines[OrderID] = OrderLines[[#This Row],[OrderID]]))&gt;40,"High Discount","Ok")</f>
        <v>Ok</v>
      </c>
      <c r="P329">
        <f>OrderLines[[#This Row],[UnitCost]]*OrderLines[[#This Row],[Qty]]</f>
        <v>27.78</v>
      </c>
      <c r="Q329" s="8">
        <f>OrderLines[[#This Row],[LineNetAmount]]-OrderLines[[#This Row],[Food Cost]]</f>
        <v>25.668399999999998</v>
      </c>
    </row>
    <row r="330" spans="1:17" x14ac:dyDescent="0.3">
      <c r="A330" t="s">
        <v>168</v>
      </c>
      <c r="B330" t="s">
        <v>405</v>
      </c>
      <c r="C330">
        <v>1</v>
      </c>
      <c r="D330" cm="1">
        <f t="array" ref="D330">VLOOKUP(OrderLines[[#This Row],[SKU]:[SKU]],Menu[],MATCH(OrderLines[[#Headers],[UnitPrice]],Menu[#Headers],0),FALSE)</f>
        <v>170.83</v>
      </c>
      <c r="E330" cm="1">
        <f t="array" ref="E330">VLOOKUP(OrderLines[[#This Row],[SKU]:[SKU]],Menu[],MATCH(OrderLines[[#Headers],[UnitCost]],Menu[#Headers],0),FALSE)</f>
        <v>74.069999999999993</v>
      </c>
      <c r="F330" t="str" cm="1">
        <f t="array" ref="F330">VLOOKUP(OrderLines[[#This Row],[SKU]:[SKU]],Menu[],MATCH(OrderLines[[#Headers],[Category]],Menu[#Headers],0),FALSE)</f>
        <v>Hot Meal</v>
      </c>
      <c r="G330" t="str" cm="1">
        <f t="array" ref="G330">_xlfn.TEXTJOIN("+",TRUE,_xlfn._xlws.SORT(_xlfn.UNIQUE(_xlfn._xlws.FILTER(OrderLines[Category],OrderLines[OrderID]=OrderLines[[#This Row],[OrderID]]))))</f>
        <v>Beverage+Hot Meal</v>
      </c>
      <c r="H330" s="2" cm="1">
        <f t="array" ref="H330">INT(VLOOKUP(OrderLines[[#This Row],[OrderID]:[OrderID]],Orders[],MATCH(OrderLines[[#Headers],[OrderDateTime]],Orders[#Headers],0),FALSE))</f>
        <v>45895</v>
      </c>
      <c r="I330" t="str" cm="1">
        <f t="array" ref="I330">VLOOKUP(OrderLines[[#This Row],[OrderID]:[OrderID]],Orders[],MATCH(OrderLines[[#Headers],[Branch]],Orders[#Headers],0),FALSE)</f>
        <v>Head Office Café</v>
      </c>
      <c r="J330" cm="1">
        <f t="array" ref="J330">VLOOKUP(OrderLines[[#This Row],[OrderID]:[OrderID]],Orders[],MATCH(OrderLines[[#Headers],[DiscountPct]],Orders[#Headers],0),FALSE)</f>
        <v>0.06</v>
      </c>
      <c r="K330" t="str" cm="1">
        <f t="array" ref="K330">VLOOKUP(OrderLines[[#This Row],[OrderID]:[OrderID]],Orders[],MATCH(OrderLines[[#Headers],[PaymentType]],Orders[#Headers],0),FALSE)</f>
        <v>Cash</v>
      </c>
      <c r="L330" t="str" cm="1">
        <f t="array" ref="L330">VLOOKUP(OrderLines[[#This Row],[OrderID]:[OrderID]],Orders[],MATCH(OrderLines[[#Headers],[Shift]],Orders[#Headers],0),FALSE)</f>
        <v>Breakfast</v>
      </c>
      <c r="M330" s="8">
        <f>(OrderLines[[#This Row],[Qty]]*OrderLines[[#This Row],[UnitPrice]])*(1-OrderLines[[#This Row],[DiscountPct]])</f>
        <v>160.58019999999999</v>
      </c>
      <c r="N330" t="str">
        <f>IF(AND(COUNTIFS(OrderLines[OrderID],OrderLines[[#This Row],[OrderID]],OrderLines[Category],"Hot Meal"),COUNTIFS(OrderLines[OrderID],OrderLines[[#This Row],[OrderID]],OrderLines[Category],"Beverage")),"Combo","Single")</f>
        <v>Combo</v>
      </c>
      <c r="O330" s="8" t="str" cm="1">
        <f t="array" ref="O330">IF(SUMPRODUCT(OrderLines[UnitPrice],OrderLines[Qty],OrderLines[DiscountPct],--(OrderLines[OrderID] = OrderLines[[#This Row],[OrderID]]))&gt;40,"High Discount","Ok")</f>
        <v>Ok</v>
      </c>
      <c r="P330">
        <f>OrderLines[[#This Row],[UnitCost]]*OrderLines[[#This Row],[Qty]]</f>
        <v>74.069999999999993</v>
      </c>
      <c r="Q330" s="8">
        <f>OrderLines[[#This Row],[LineNetAmount]]-OrderLines[[#This Row],[Food Cost]]</f>
        <v>86.510199999999998</v>
      </c>
    </row>
    <row r="331" spans="1:17" x14ac:dyDescent="0.3">
      <c r="A331" t="s">
        <v>169</v>
      </c>
      <c r="B331" t="s">
        <v>415</v>
      </c>
      <c r="C331">
        <v>1</v>
      </c>
      <c r="D331" cm="1">
        <f t="array" ref="D331">VLOOKUP(OrderLines[[#This Row],[SKU]:[SKU]],Menu[],MATCH(OrderLines[[#Headers],[UnitPrice]],Menu[#Headers],0),FALSE)</f>
        <v>256.91000000000003</v>
      </c>
      <c r="E331" cm="1">
        <f t="array" ref="E331">VLOOKUP(OrderLines[[#This Row],[SKU]:[SKU]],Menu[],MATCH(OrderLines[[#Headers],[UnitCost]],Menu[#Headers],0),FALSE)</f>
        <v>121.24</v>
      </c>
      <c r="F331" t="str" cm="1">
        <f t="array" ref="F331">VLOOKUP(OrderLines[[#This Row],[SKU]:[SKU]],Menu[],MATCH(OrderLines[[#Headers],[Category]],Menu[#Headers],0),FALSE)</f>
        <v>Hot Meal</v>
      </c>
      <c r="G331" t="str" cm="1">
        <f t="array" ref="G331">_xlfn.TEXTJOIN("+",TRUE,_xlfn._xlws.SORT(_xlfn.UNIQUE(_xlfn._xlws.FILTER(OrderLines[Category],OrderLines[OrderID]=OrderLines[[#This Row],[OrderID]]))))</f>
        <v>Dessert+Hot Meal</v>
      </c>
      <c r="H331" s="2" cm="1">
        <f t="array" ref="H331">INT(VLOOKUP(OrderLines[[#This Row],[OrderID]:[OrderID]],Orders[],MATCH(OrderLines[[#Headers],[OrderDateTime]],Orders[#Headers],0),FALSE))</f>
        <v>45853</v>
      </c>
      <c r="I331" t="str" cm="1">
        <f t="array" ref="I331">VLOOKUP(OrderLines[[#This Row],[OrderID]:[OrderID]],Orders[],MATCH(OrderLines[[#Headers],[Branch]],Orders[#Headers],0),FALSE)</f>
        <v>Head Office Café</v>
      </c>
      <c r="J331" cm="1">
        <f t="array" ref="J331">VLOOKUP(OrderLines[[#This Row],[OrderID]:[OrderID]],Orders[],MATCH(OrderLines[[#Headers],[DiscountPct]],Orders[#Headers],0),FALSE)</f>
        <v>7.0000000000000007E-2</v>
      </c>
      <c r="K331" t="str" cm="1">
        <f t="array" ref="K331">VLOOKUP(OrderLines[[#This Row],[OrderID]:[OrderID]],Orders[],MATCH(OrderLines[[#Headers],[PaymentType]],Orders[#Headers],0),FALSE)</f>
        <v>Cash</v>
      </c>
      <c r="L331" t="str" cm="1">
        <f t="array" ref="L331">VLOOKUP(OrderLines[[#This Row],[OrderID]:[OrderID]],Orders[],MATCH(OrderLines[[#Headers],[Shift]],Orders[#Headers],0),FALSE)</f>
        <v>Dinner</v>
      </c>
      <c r="M331" s="8">
        <f>(OrderLines[[#This Row],[Qty]]*OrderLines[[#This Row],[UnitPrice]])*(1-OrderLines[[#This Row],[DiscountPct]])</f>
        <v>238.9263</v>
      </c>
      <c r="N331" t="str">
        <f>IF(AND(COUNTIFS(OrderLines[OrderID],OrderLines[[#This Row],[OrderID]],OrderLines[Category],"Hot Meal"),COUNTIFS(OrderLines[OrderID],OrderLines[[#This Row],[OrderID]],OrderLines[Category],"Beverage")),"Combo","Single")</f>
        <v>Single</v>
      </c>
      <c r="O331" s="8" t="str" cm="1">
        <f t="array" ref="O331">IF(SUMPRODUCT(OrderLines[UnitPrice],OrderLines[Qty],OrderLines[DiscountPct],--(OrderLines[OrderID] = OrderLines[[#This Row],[OrderID]]))&gt;40,"High Discount","Ok")</f>
        <v>Ok</v>
      </c>
      <c r="P331">
        <f>OrderLines[[#This Row],[UnitCost]]*OrderLines[[#This Row],[Qty]]</f>
        <v>121.24</v>
      </c>
      <c r="Q331" s="8">
        <f>OrderLines[[#This Row],[LineNetAmount]]-OrderLines[[#This Row],[Food Cost]]</f>
        <v>117.6863</v>
      </c>
    </row>
    <row r="332" spans="1:17" x14ac:dyDescent="0.3">
      <c r="A332" t="s">
        <v>169</v>
      </c>
      <c r="B332" t="s">
        <v>414</v>
      </c>
      <c r="C332">
        <v>2</v>
      </c>
      <c r="D332" cm="1">
        <f t="array" ref="D332">VLOOKUP(OrderLines[[#This Row],[SKU]:[SKU]],Menu[],MATCH(OrderLines[[#Headers],[UnitPrice]],Menu[#Headers],0),FALSE)</f>
        <v>116.8</v>
      </c>
      <c r="E332" cm="1">
        <f t="array" ref="E332">VLOOKUP(OrderLines[[#This Row],[SKU]:[SKU]],Menu[],MATCH(OrderLines[[#Headers],[UnitCost]],Menu[#Headers],0),FALSE)</f>
        <v>48.97</v>
      </c>
      <c r="F332" t="str" cm="1">
        <f t="array" ref="F332">VLOOKUP(OrderLines[[#This Row],[SKU]:[SKU]],Menu[],MATCH(OrderLines[[#Headers],[Category]],Menu[#Headers],0),FALSE)</f>
        <v>Dessert</v>
      </c>
      <c r="G332" t="str" cm="1">
        <f t="array" ref="G332">_xlfn.TEXTJOIN("+",TRUE,_xlfn._xlws.SORT(_xlfn.UNIQUE(_xlfn._xlws.FILTER(OrderLines[Category],OrderLines[OrderID]=OrderLines[[#This Row],[OrderID]]))))</f>
        <v>Dessert+Hot Meal</v>
      </c>
      <c r="H332" s="2" cm="1">
        <f t="array" ref="H332">INT(VLOOKUP(OrderLines[[#This Row],[OrderID]:[OrderID]],Orders[],MATCH(OrderLines[[#Headers],[OrderDateTime]],Orders[#Headers],0),FALSE))</f>
        <v>45853</v>
      </c>
      <c r="I332" t="str" cm="1">
        <f t="array" ref="I332">VLOOKUP(OrderLines[[#This Row],[OrderID]:[OrderID]],Orders[],MATCH(OrderLines[[#Headers],[Branch]],Orders[#Headers],0),FALSE)</f>
        <v>Head Office Café</v>
      </c>
      <c r="J332" cm="1">
        <f t="array" ref="J332">VLOOKUP(OrderLines[[#This Row],[OrderID]:[OrderID]],Orders[],MATCH(OrderLines[[#Headers],[DiscountPct]],Orders[#Headers],0),FALSE)</f>
        <v>7.0000000000000007E-2</v>
      </c>
      <c r="K332" t="str" cm="1">
        <f t="array" ref="K332">VLOOKUP(OrderLines[[#This Row],[OrderID]:[OrderID]],Orders[],MATCH(OrderLines[[#Headers],[PaymentType]],Orders[#Headers],0),FALSE)</f>
        <v>Cash</v>
      </c>
      <c r="L332" t="str" cm="1">
        <f t="array" ref="L332">VLOOKUP(OrderLines[[#This Row],[OrderID]:[OrderID]],Orders[],MATCH(OrderLines[[#Headers],[Shift]],Orders[#Headers],0),FALSE)</f>
        <v>Dinner</v>
      </c>
      <c r="M332" s="8">
        <f>(OrderLines[[#This Row],[Qty]]*OrderLines[[#This Row],[UnitPrice]])*(1-OrderLines[[#This Row],[DiscountPct]])</f>
        <v>217.24799999999999</v>
      </c>
      <c r="N332" t="str">
        <f>IF(AND(COUNTIFS(OrderLines[OrderID],OrderLines[[#This Row],[OrderID]],OrderLines[Category],"Hot Meal"),COUNTIFS(OrderLines[OrderID],OrderLines[[#This Row],[OrderID]],OrderLines[Category],"Beverage")),"Combo","Single")</f>
        <v>Single</v>
      </c>
      <c r="O332" s="8" t="str" cm="1">
        <f t="array" ref="O332">IF(SUMPRODUCT(OrderLines[UnitPrice],OrderLines[Qty],OrderLines[DiscountPct],--(OrderLines[OrderID] = OrderLines[[#This Row],[OrderID]]))&gt;40,"High Discount","Ok")</f>
        <v>Ok</v>
      </c>
      <c r="P332">
        <f>OrderLines[[#This Row],[UnitCost]]*OrderLines[[#This Row],[Qty]]</f>
        <v>97.94</v>
      </c>
      <c r="Q332" s="8">
        <f>OrderLines[[#This Row],[LineNetAmount]]-OrderLines[[#This Row],[Food Cost]]</f>
        <v>119.30799999999999</v>
      </c>
    </row>
    <row r="333" spans="1:17" x14ac:dyDescent="0.3">
      <c r="A333" t="s">
        <v>170</v>
      </c>
      <c r="B333" t="s">
        <v>409</v>
      </c>
      <c r="C333">
        <v>1</v>
      </c>
      <c r="D333" cm="1">
        <f t="array" ref="D333">VLOOKUP(OrderLines[[#This Row],[SKU]:[SKU]],Menu[],MATCH(OrderLines[[#Headers],[UnitPrice]],Menu[#Headers],0),FALSE)</f>
        <v>28.43</v>
      </c>
      <c r="E333" cm="1">
        <f t="array" ref="E333">VLOOKUP(OrderLines[[#This Row],[SKU]:[SKU]],Menu[],MATCH(OrderLines[[#Headers],[UnitCost]],Menu[#Headers],0),FALSE)</f>
        <v>13.89</v>
      </c>
      <c r="F333" t="str" cm="1">
        <f t="array" ref="F333">VLOOKUP(OrderLines[[#This Row],[SKU]:[SKU]],Menu[],MATCH(OrderLines[[#Headers],[Category]],Menu[#Headers],0),FALSE)</f>
        <v>Beverage</v>
      </c>
      <c r="G333" t="str" cm="1">
        <f t="array" ref="G333">_xlfn.TEXTJOIN("+",TRUE,_xlfn._xlws.SORT(_xlfn.UNIQUE(_xlfn._xlws.FILTER(OrderLines[Category],OrderLines[OrderID]=OrderLines[[#This Row],[OrderID]]))))</f>
        <v>Beverage+Dessert</v>
      </c>
      <c r="H333" s="2" cm="1">
        <f t="array" ref="H333">INT(VLOOKUP(OrderLines[[#This Row],[OrderID]:[OrderID]],Orders[],MATCH(OrderLines[[#Headers],[OrderDateTime]],Orders[#Headers],0),FALSE))</f>
        <v>45850</v>
      </c>
      <c r="I333" t="str" cm="1">
        <f t="array" ref="I333">VLOOKUP(OrderLines[[#This Row],[OrderID]:[OrderID]],Orders[],MATCH(OrderLines[[#Headers],[Branch]],Orders[#Headers],0),FALSE)</f>
        <v>Head Office Café</v>
      </c>
      <c r="J333" cm="1">
        <f t="array" ref="J333">VLOOKUP(OrderLines[[#This Row],[OrderID]:[OrderID]],Orders[],MATCH(OrderLines[[#Headers],[DiscountPct]],Orders[#Headers],0),FALSE)</f>
        <v>7.0000000000000007E-2</v>
      </c>
      <c r="K333" t="str" cm="1">
        <f t="array" ref="K333">VLOOKUP(OrderLines[[#This Row],[OrderID]:[OrderID]],Orders[],MATCH(OrderLines[[#Headers],[PaymentType]],Orders[#Headers],0),FALSE)</f>
        <v>UPI</v>
      </c>
      <c r="L333" t="str" cm="1">
        <f t="array" ref="L333">VLOOKUP(OrderLines[[#This Row],[OrderID]:[OrderID]],Orders[],MATCH(OrderLines[[#Headers],[Shift]],Orders[#Headers],0),FALSE)</f>
        <v>Dinner</v>
      </c>
      <c r="M333" s="8">
        <f>(OrderLines[[#This Row],[Qty]]*OrderLines[[#This Row],[UnitPrice]])*(1-OrderLines[[#This Row],[DiscountPct]])</f>
        <v>26.439899999999998</v>
      </c>
      <c r="N333" t="str">
        <f>IF(AND(COUNTIFS(OrderLines[OrderID],OrderLines[[#This Row],[OrderID]],OrderLines[Category],"Hot Meal"),COUNTIFS(OrderLines[OrderID],OrderLines[[#This Row],[OrderID]],OrderLines[Category],"Beverage")),"Combo","Single")</f>
        <v>Single</v>
      </c>
      <c r="O333" s="8" t="str" cm="1">
        <f t="array" ref="O333">IF(SUMPRODUCT(OrderLines[UnitPrice],OrderLines[Qty],OrderLines[DiscountPct],--(OrderLines[OrderID] = OrderLines[[#This Row],[OrderID]]))&gt;40,"High Discount","Ok")</f>
        <v>Ok</v>
      </c>
      <c r="P333">
        <f>OrderLines[[#This Row],[UnitCost]]*OrderLines[[#This Row],[Qty]]</f>
        <v>13.89</v>
      </c>
      <c r="Q333" s="8">
        <f>OrderLines[[#This Row],[LineNetAmount]]-OrderLines[[#This Row],[Food Cost]]</f>
        <v>12.549899999999997</v>
      </c>
    </row>
    <row r="334" spans="1:17" x14ac:dyDescent="0.3">
      <c r="A334" t="s">
        <v>170</v>
      </c>
      <c r="B334" t="s">
        <v>412</v>
      </c>
      <c r="C334">
        <v>2</v>
      </c>
      <c r="D334" cm="1">
        <f t="array" ref="D334">VLOOKUP(OrderLines[[#This Row],[SKU]:[SKU]],Menu[],MATCH(OrderLines[[#Headers],[UnitPrice]],Menu[#Headers],0),FALSE)</f>
        <v>57.07</v>
      </c>
      <c r="E334" cm="1">
        <f t="array" ref="E334">VLOOKUP(OrderLines[[#This Row],[SKU]:[SKU]],Menu[],MATCH(OrderLines[[#Headers],[UnitCost]],Menu[#Headers],0),FALSE)</f>
        <v>29.14</v>
      </c>
      <c r="F334" t="str" cm="1">
        <f t="array" ref="F334">VLOOKUP(OrderLines[[#This Row],[SKU]:[SKU]],Menu[],MATCH(OrderLines[[#Headers],[Category]],Menu[#Headers],0),FALSE)</f>
        <v>Dessert</v>
      </c>
      <c r="G334" t="str" cm="1">
        <f t="array" ref="G334">_xlfn.TEXTJOIN("+",TRUE,_xlfn._xlws.SORT(_xlfn.UNIQUE(_xlfn._xlws.FILTER(OrderLines[Category],OrderLines[OrderID]=OrderLines[[#This Row],[OrderID]]))))</f>
        <v>Beverage+Dessert</v>
      </c>
      <c r="H334" s="2" cm="1">
        <f t="array" ref="H334">INT(VLOOKUP(OrderLines[[#This Row],[OrderID]:[OrderID]],Orders[],MATCH(OrderLines[[#Headers],[OrderDateTime]],Orders[#Headers],0),FALSE))</f>
        <v>45850</v>
      </c>
      <c r="I334" t="str" cm="1">
        <f t="array" ref="I334">VLOOKUP(OrderLines[[#This Row],[OrderID]:[OrderID]],Orders[],MATCH(OrderLines[[#Headers],[Branch]],Orders[#Headers],0),FALSE)</f>
        <v>Head Office Café</v>
      </c>
      <c r="J334" cm="1">
        <f t="array" ref="J334">VLOOKUP(OrderLines[[#This Row],[OrderID]:[OrderID]],Orders[],MATCH(OrderLines[[#Headers],[DiscountPct]],Orders[#Headers],0),FALSE)</f>
        <v>7.0000000000000007E-2</v>
      </c>
      <c r="K334" t="str" cm="1">
        <f t="array" ref="K334">VLOOKUP(OrderLines[[#This Row],[OrderID]:[OrderID]],Orders[],MATCH(OrderLines[[#Headers],[PaymentType]],Orders[#Headers],0),FALSE)</f>
        <v>UPI</v>
      </c>
      <c r="L334" t="str" cm="1">
        <f t="array" ref="L334">VLOOKUP(OrderLines[[#This Row],[OrderID]:[OrderID]],Orders[],MATCH(OrderLines[[#Headers],[Shift]],Orders[#Headers],0),FALSE)</f>
        <v>Dinner</v>
      </c>
      <c r="M334" s="8">
        <f>(OrderLines[[#This Row],[Qty]]*OrderLines[[#This Row],[UnitPrice]])*(1-OrderLines[[#This Row],[DiscountPct]])</f>
        <v>106.1502</v>
      </c>
      <c r="N334" t="str">
        <f>IF(AND(COUNTIFS(OrderLines[OrderID],OrderLines[[#This Row],[OrderID]],OrderLines[Category],"Hot Meal"),COUNTIFS(OrderLines[OrderID],OrderLines[[#This Row],[OrderID]],OrderLines[Category],"Beverage")),"Combo","Single")</f>
        <v>Single</v>
      </c>
      <c r="O334" s="8" t="str" cm="1">
        <f t="array" ref="O334">IF(SUMPRODUCT(OrderLines[UnitPrice],OrderLines[Qty],OrderLines[DiscountPct],--(OrderLines[OrderID] = OrderLines[[#This Row],[OrderID]]))&gt;40,"High Discount","Ok")</f>
        <v>Ok</v>
      </c>
      <c r="P334">
        <f>OrderLines[[#This Row],[UnitCost]]*OrderLines[[#This Row],[Qty]]</f>
        <v>58.28</v>
      </c>
      <c r="Q334" s="8">
        <f>OrderLines[[#This Row],[LineNetAmount]]-OrderLines[[#This Row],[Food Cost]]</f>
        <v>47.870199999999997</v>
      </c>
    </row>
    <row r="335" spans="1:17" x14ac:dyDescent="0.3">
      <c r="A335" t="s">
        <v>170</v>
      </c>
      <c r="B335" t="s">
        <v>414</v>
      </c>
      <c r="C335">
        <v>2</v>
      </c>
      <c r="D335" cm="1">
        <f t="array" ref="D335">VLOOKUP(OrderLines[[#This Row],[SKU]:[SKU]],Menu[],MATCH(OrderLines[[#Headers],[UnitPrice]],Menu[#Headers],0),FALSE)</f>
        <v>116.8</v>
      </c>
      <c r="E335" cm="1">
        <f t="array" ref="E335">VLOOKUP(OrderLines[[#This Row],[SKU]:[SKU]],Menu[],MATCH(OrderLines[[#Headers],[UnitCost]],Menu[#Headers],0),FALSE)</f>
        <v>48.97</v>
      </c>
      <c r="F335" t="str" cm="1">
        <f t="array" ref="F335">VLOOKUP(OrderLines[[#This Row],[SKU]:[SKU]],Menu[],MATCH(OrderLines[[#Headers],[Category]],Menu[#Headers],0),FALSE)</f>
        <v>Dessert</v>
      </c>
      <c r="G335" t="str" cm="1">
        <f t="array" ref="G335">_xlfn.TEXTJOIN("+",TRUE,_xlfn._xlws.SORT(_xlfn.UNIQUE(_xlfn._xlws.FILTER(OrderLines[Category],OrderLines[OrderID]=OrderLines[[#This Row],[OrderID]]))))</f>
        <v>Beverage+Dessert</v>
      </c>
      <c r="H335" s="2" cm="1">
        <f t="array" ref="H335">INT(VLOOKUP(OrderLines[[#This Row],[OrderID]:[OrderID]],Orders[],MATCH(OrderLines[[#Headers],[OrderDateTime]],Orders[#Headers],0),FALSE))</f>
        <v>45850</v>
      </c>
      <c r="I335" t="str" cm="1">
        <f t="array" ref="I335">VLOOKUP(OrderLines[[#This Row],[OrderID]:[OrderID]],Orders[],MATCH(OrderLines[[#Headers],[Branch]],Orders[#Headers],0),FALSE)</f>
        <v>Head Office Café</v>
      </c>
      <c r="J335" cm="1">
        <f t="array" ref="J335">VLOOKUP(OrderLines[[#This Row],[OrderID]:[OrderID]],Orders[],MATCH(OrderLines[[#Headers],[DiscountPct]],Orders[#Headers],0),FALSE)</f>
        <v>7.0000000000000007E-2</v>
      </c>
      <c r="K335" t="str" cm="1">
        <f t="array" ref="K335">VLOOKUP(OrderLines[[#This Row],[OrderID]:[OrderID]],Orders[],MATCH(OrderLines[[#Headers],[PaymentType]],Orders[#Headers],0),FALSE)</f>
        <v>UPI</v>
      </c>
      <c r="L335" t="str" cm="1">
        <f t="array" ref="L335">VLOOKUP(OrderLines[[#This Row],[OrderID]:[OrderID]],Orders[],MATCH(OrderLines[[#Headers],[Shift]],Orders[#Headers],0),FALSE)</f>
        <v>Dinner</v>
      </c>
      <c r="M335" s="8">
        <f>(OrderLines[[#This Row],[Qty]]*OrderLines[[#This Row],[UnitPrice]])*(1-OrderLines[[#This Row],[DiscountPct]])</f>
        <v>217.24799999999999</v>
      </c>
      <c r="N335" t="str">
        <f>IF(AND(COUNTIFS(OrderLines[OrderID],OrderLines[[#This Row],[OrderID]],OrderLines[Category],"Hot Meal"),COUNTIFS(OrderLines[OrderID],OrderLines[[#This Row],[OrderID]],OrderLines[Category],"Beverage")),"Combo","Single")</f>
        <v>Single</v>
      </c>
      <c r="O335" s="8" t="str" cm="1">
        <f t="array" ref="O335">IF(SUMPRODUCT(OrderLines[UnitPrice],OrderLines[Qty],OrderLines[DiscountPct],--(OrderLines[OrderID] = OrderLines[[#This Row],[OrderID]]))&gt;40,"High Discount","Ok")</f>
        <v>Ok</v>
      </c>
      <c r="P335">
        <f>OrderLines[[#This Row],[UnitCost]]*OrderLines[[#This Row],[Qty]]</f>
        <v>97.94</v>
      </c>
      <c r="Q335" s="8">
        <f>OrderLines[[#This Row],[LineNetAmount]]-OrderLines[[#This Row],[Food Cost]]</f>
        <v>119.30799999999999</v>
      </c>
    </row>
    <row r="336" spans="1:17" x14ac:dyDescent="0.3">
      <c r="A336" t="s">
        <v>171</v>
      </c>
      <c r="B336" t="s">
        <v>404</v>
      </c>
      <c r="C336">
        <v>3</v>
      </c>
      <c r="D336" cm="1">
        <f t="array" ref="D336">VLOOKUP(OrderLines[[#This Row],[SKU]:[SKU]],Menu[],MATCH(OrderLines[[#Headers],[UnitPrice]],Menu[#Headers],0),FALSE)</f>
        <v>32.979999999999997</v>
      </c>
      <c r="E336" cm="1">
        <f t="array" ref="E336">VLOOKUP(OrderLines[[#This Row],[SKU]:[SKU]],Menu[],MATCH(OrderLines[[#Headers],[UnitCost]],Menu[#Headers],0),FALSE)</f>
        <v>11.84</v>
      </c>
      <c r="F336" t="str" cm="1">
        <f t="array" ref="F336">VLOOKUP(OrderLines[[#This Row],[SKU]:[SKU]],Menu[],MATCH(OrderLines[[#Headers],[Category]],Menu[#Headers],0),FALSE)</f>
        <v>Beverage</v>
      </c>
      <c r="G336" t="str" cm="1">
        <f t="array" ref="G336">_xlfn.TEXTJOIN("+",TRUE,_xlfn._xlws.SORT(_xlfn.UNIQUE(_xlfn._xlws.FILTER(OrderLines[Category],OrderLines[OrderID]=OrderLines[[#This Row],[OrderID]]))))</f>
        <v>Beverage</v>
      </c>
      <c r="H336" s="2" cm="1">
        <f t="array" ref="H336">INT(VLOOKUP(OrderLines[[#This Row],[OrderID]:[OrderID]],Orders[],MATCH(OrderLines[[#Headers],[OrderDateTime]],Orders[#Headers],0),FALSE))</f>
        <v>45889</v>
      </c>
      <c r="I336" t="str" cm="1">
        <f t="array" ref="I336">VLOOKUP(OrderLines[[#This Row],[OrderID]:[OrderID]],Orders[],MATCH(OrderLines[[#Headers],[Branch]],Orders[#Headers],0),FALSE)</f>
        <v>Plant 2 Canteen</v>
      </c>
      <c r="J336" cm="1">
        <f t="array" ref="J336">VLOOKUP(OrderLines[[#This Row],[OrderID]:[OrderID]],Orders[],MATCH(OrderLines[[#Headers],[DiscountPct]],Orders[#Headers],0),FALSE)</f>
        <v>0.09</v>
      </c>
      <c r="K336" t="str" cm="1">
        <f t="array" ref="K336">VLOOKUP(OrderLines[[#This Row],[OrderID]:[OrderID]],Orders[],MATCH(OrderLines[[#Headers],[PaymentType]],Orders[#Headers],0),FALSE)</f>
        <v>Card</v>
      </c>
      <c r="L336" t="str" cm="1">
        <f t="array" ref="L336">VLOOKUP(OrderLines[[#This Row],[OrderID]:[OrderID]],Orders[],MATCH(OrderLines[[#Headers],[Shift]],Orders[#Headers],0),FALSE)</f>
        <v>Dinner</v>
      </c>
      <c r="M336" s="8">
        <f>(OrderLines[[#This Row],[Qty]]*OrderLines[[#This Row],[UnitPrice]])*(1-OrderLines[[#This Row],[DiscountPct]])</f>
        <v>90.035399999999996</v>
      </c>
      <c r="N336" t="str">
        <f>IF(AND(COUNTIFS(OrderLines[OrderID],OrderLines[[#This Row],[OrderID]],OrderLines[Category],"Hot Meal"),COUNTIFS(OrderLines[OrderID],OrderLines[[#This Row],[OrderID]],OrderLines[Category],"Beverage")),"Combo","Single")</f>
        <v>Single</v>
      </c>
      <c r="O336" s="8" t="str" cm="1">
        <f t="array" ref="O336">IF(SUMPRODUCT(OrderLines[UnitPrice],OrderLines[Qty],OrderLines[DiscountPct],--(OrderLines[OrderID] = OrderLines[[#This Row],[OrderID]]))&gt;40,"High Discount","Ok")</f>
        <v>Ok</v>
      </c>
      <c r="P336">
        <f>OrderLines[[#This Row],[UnitCost]]*OrderLines[[#This Row],[Qty]]</f>
        <v>35.519999999999996</v>
      </c>
      <c r="Q336" s="8">
        <f>OrderLines[[#This Row],[LineNetAmount]]-OrderLines[[#This Row],[Food Cost]]</f>
        <v>54.5154</v>
      </c>
    </row>
    <row r="337" spans="1:17" x14ac:dyDescent="0.3">
      <c r="A337" t="s">
        <v>172</v>
      </c>
      <c r="B337" t="s">
        <v>412</v>
      </c>
      <c r="C337">
        <v>2</v>
      </c>
      <c r="D337" cm="1">
        <f t="array" ref="D337">VLOOKUP(OrderLines[[#This Row],[SKU]:[SKU]],Menu[],MATCH(OrderLines[[#Headers],[UnitPrice]],Menu[#Headers],0),FALSE)</f>
        <v>57.07</v>
      </c>
      <c r="E337" cm="1">
        <f t="array" ref="E337">VLOOKUP(OrderLines[[#This Row],[SKU]:[SKU]],Menu[],MATCH(OrderLines[[#Headers],[UnitCost]],Menu[#Headers],0),FALSE)</f>
        <v>29.14</v>
      </c>
      <c r="F337" t="str" cm="1">
        <f t="array" ref="F337">VLOOKUP(OrderLines[[#This Row],[SKU]:[SKU]],Menu[],MATCH(OrderLines[[#Headers],[Category]],Menu[#Headers],0),FALSE)</f>
        <v>Dessert</v>
      </c>
      <c r="G337" t="str" cm="1">
        <f t="array" ref="G337">_xlfn.TEXTJOIN("+",TRUE,_xlfn._xlws.SORT(_xlfn.UNIQUE(_xlfn._xlws.FILTER(OrderLines[Category],OrderLines[OrderID]=OrderLines[[#This Row],[OrderID]]))))</f>
        <v>Beverage+Dessert</v>
      </c>
      <c r="H337" s="2" cm="1">
        <f t="array" ref="H337">INT(VLOOKUP(OrderLines[[#This Row],[OrderID]:[OrderID]],Orders[],MATCH(OrderLines[[#Headers],[OrderDateTime]],Orders[#Headers],0),FALSE))</f>
        <v>45896</v>
      </c>
      <c r="I337" t="str" cm="1">
        <f t="array" ref="I337">VLOOKUP(OrderLines[[#This Row],[OrderID]:[OrderID]],Orders[],MATCH(OrderLines[[#Headers],[Branch]],Orders[#Headers],0),FALSE)</f>
        <v>Plant 2 Canteen</v>
      </c>
      <c r="J337" cm="1">
        <f t="array" ref="J337">VLOOKUP(OrderLines[[#This Row],[OrderID]:[OrderID]],Orders[],MATCH(OrderLines[[#Headers],[DiscountPct]],Orders[#Headers],0),FALSE)</f>
        <v>0.06</v>
      </c>
      <c r="K337" t="str" cm="1">
        <f t="array" ref="K337">VLOOKUP(OrderLines[[#This Row],[OrderID]:[OrderID]],Orders[],MATCH(OrderLines[[#Headers],[PaymentType]],Orders[#Headers],0),FALSE)</f>
        <v>UPI</v>
      </c>
      <c r="L337" t="str" cm="1">
        <f t="array" ref="L337">VLOOKUP(OrderLines[[#This Row],[OrderID]:[OrderID]],Orders[],MATCH(OrderLines[[#Headers],[Shift]],Orders[#Headers],0),FALSE)</f>
        <v>Breakfast</v>
      </c>
      <c r="M337" s="8">
        <f>(OrderLines[[#This Row],[Qty]]*OrderLines[[#This Row],[UnitPrice]])*(1-OrderLines[[#This Row],[DiscountPct]])</f>
        <v>107.29159999999999</v>
      </c>
      <c r="N337" t="str">
        <f>IF(AND(COUNTIFS(OrderLines[OrderID],OrderLines[[#This Row],[OrderID]],OrderLines[Category],"Hot Meal"),COUNTIFS(OrderLines[OrderID],OrderLines[[#This Row],[OrderID]],OrderLines[Category],"Beverage")),"Combo","Single")</f>
        <v>Single</v>
      </c>
      <c r="O337" s="8" t="str" cm="1">
        <f t="array" ref="O337">IF(SUMPRODUCT(OrderLines[UnitPrice],OrderLines[Qty],OrderLines[DiscountPct],--(OrderLines[OrderID] = OrderLines[[#This Row],[OrderID]]))&gt;40,"High Discount","Ok")</f>
        <v>Ok</v>
      </c>
      <c r="P337">
        <f>OrderLines[[#This Row],[UnitCost]]*OrderLines[[#This Row],[Qty]]</f>
        <v>58.28</v>
      </c>
      <c r="Q337" s="8">
        <f>OrderLines[[#This Row],[LineNetAmount]]-OrderLines[[#This Row],[Food Cost]]</f>
        <v>49.011599999999987</v>
      </c>
    </row>
    <row r="338" spans="1:17" x14ac:dyDescent="0.3">
      <c r="A338" t="s">
        <v>172</v>
      </c>
      <c r="B338" t="s">
        <v>410</v>
      </c>
      <c r="C338">
        <v>1</v>
      </c>
      <c r="D338" cm="1">
        <f t="array" ref="D338">VLOOKUP(OrderLines[[#This Row],[SKU]:[SKU]],Menu[],MATCH(OrderLines[[#Headers],[UnitPrice]],Menu[#Headers],0),FALSE)</f>
        <v>20.11</v>
      </c>
      <c r="E338" cm="1">
        <f t="array" ref="E338">VLOOKUP(OrderLines[[#This Row],[SKU]:[SKU]],Menu[],MATCH(OrderLines[[#Headers],[UnitCost]],Menu[#Headers],0),FALSE)</f>
        <v>8</v>
      </c>
      <c r="F338" t="str" cm="1">
        <f t="array" ref="F338">VLOOKUP(OrderLines[[#This Row],[SKU]:[SKU]],Menu[],MATCH(OrderLines[[#Headers],[Category]],Menu[#Headers],0),FALSE)</f>
        <v>Beverage</v>
      </c>
      <c r="G338" t="str" cm="1">
        <f t="array" ref="G338">_xlfn.TEXTJOIN("+",TRUE,_xlfn._xlws.SORT(_xlfn.UNIQUE(_xlfn._xlws.FILTER(OrderLines[Category],OrderLines[OrderID]=OrderLines[[#This Row],[OrderID]]))))</f>
        <v>Beverage+Dessert</v>
      </c>
      <c r="H338" s="2" cm="1">
        <f t="array" ref="H338">INT(VLOOKUP(OrderLines[[#This Row],[OrderID]:[OrderID]],Orders[],MATCH(OrderLines[[#Headers],[OrderDateTime]],Orders[#Headers],0),FALSE))</f>
        <v>45896</v>
      </c>
      <c r="I338" t="str" cm="1">
        <f t="array" ref="I338">VLOOKUP(OrderLines[[#This Row],[OrderID]:[OrderID]],Orders[],MATCH(OrderLines[[#Headers],[Branch]],Orders[#Headers],0),FALSE)</f>
        <v>Plant 2 Canteen</v>
      </c>
      <c r="J338" cm="1">
        <f t="array" ref="J338">VLOOKUP(OrderLines[[#This Row],[OrderID]:[OrderID]],Orders[],MATCH(OrderLines[[#Headers],[DiscountPct]],Orders[#Headers],0),FALSE)</f>
        <v>0.06</v>
      </c>
      <c r="K338" t="str" cm="1">
        <f t="array" ref="K338">VLOOKUP(OrderLines[[#This Row],[OrderID]:[OrderID]],Orders[],MATCH(OrderLines[[#Headers],[PaymentType]],Orders[#Headers],0),FALSE)</f>
        <v>UPI</v>
      </c>
      <c r="L338" t="str" cm="1">
        <f t="array" ref="L338">VLOOKUP(OrderLines[[#This Row],[OrderID]:[OrderID]],Orders[],MATCH(OrderLines[[#Headers],[Shift]],Orders[#Headers],0),FALSE)</f>
        <v>Breakfast</v>
      </c>
      <c r="M338" s="8">
        <f>(OrderLines[[#This Row],[Qty]]*OrderLines[[#This Row],[UnitPrice]])*(1-OrderLines[[#This Row],[DiscountPct]])</f>
        <v>18.903399999999998</v>
      </c>
      <c r="N338" t="str">
        <f>IF(AND(COUNTIFS(OrderLines[OrderID],OrderLines[[#This Row],[OrderID]],OrderLines[Category],"Hot Meal"),COUNTIFS(OrderLines[OrderID],OrderLines[[#This Row],[OrderID]],OrderLines[Category],"Beverage")),"Combo","Single")</f>
        <v>Single</v>
      </c>
      <c r="O338" s="8" t="str" cm="1">
        <f t="array" ref="O338">IF(SUMPRODUCT(OrderLines[UnitPrice],OrderLines[Qty],OrderLines[DiscountPct],--(OrderLines[OrderID] = OrderLines[[#This Row],[OrderID]]))&gt;40,"High Discount","Ok")</f>
        <v>Ok</v>
      </c>
      <c r="P338">
        <f>OrderLines[[#This Row],[UnitCost]]*OrderLines[[#This Row],[Qty]]</f>
        <v>8</v>
      </c>
      <c r="Q338" s="8">
        <f>OrderLines[[#This Row],[LineNetAmount]]-OrderLines[[#This Row],[Food Cost]]</f>
        <v>10.903399999999998</v>
      </c>
    </row>
    <row r="339" spans="1:17" x14ac:dyDescent="0.3">
      <c r="A339" t="s">
        <v>172</v>
      </c>
      <c r="B339" t="s">
        <v>404</v>
      </c>
      <c r="C339">
        <v>2</v>
      </c>
      <c r="D339" cm="1">
        <f t="array" ref="D339">VLOOKUP(OrderLines[[#This Row],[SKU]:[SKU]],Menu[],MATCH(OrderLines[[#Headers],[UnitPrice]],Menu[#Headers],0),FALSE)</f>
        <v>32.979999999999997</v>
      </c>
      <c r="E339" cm="1">
        <f t="array" ref="E339">VLOOKUP(OrderLines[[#This Row],[SKU]:[SKU]],Menu[],MATCH(OrderLines[[#Headers],[UnitCost]],Menu[#Headers],0),FALSE)</f>
        <v>11.84</v>
      </c>
      <c r="F339" t="str" cm="1">
        <f t="array" ref="F339">VLOOKUP(OrderLines[[#This Row],[SKU]:[SKU]],Menu[],MATCH(OrderLines[[#Headers],[Category]],Menu[#Headers],0),FALSE)</f>
        <v>Beverage</v>
      </c>
      <c r="G339" t="str" cm="1">
        <f t="array" ref="G339">_xlfn.TEXTJOIN("+",TRUE,_xlfn._xlws.SORT(_xlfn.UNIQUE(_xlfn._xlws.FILTER(OrderLines[Category],OrderLines[OrderID]=OrderLines[[#This Row],[OrderID]]))))</f>
        <v>Beverage+Dessert</v>
      </c>
      <c r="H339" s="2" cm="1">
        <f t="array" ref="H339">INT(VLOOKUP(OrderLines[[#This Row],[OrderID]:[OrderID]],Orders[],MATCH(OrderLines[[#Headers],[OrderDateTime]],Orders[#Headers],0),FALSE))</f>
        <v>45896</v>
      </c>
      <c r="I339" t="str" cm="1">
        <f t="array" ref="I339">VLOOKUP(OrderLines[[#This Row],[OrderID]:[OrderID]],Orders[],MATCH(OrderLines[[#Headers],[Branch]],Orders[#Headers],0),FALSE)</f>
        <v>Plant 2 Canteen</v>
      </c>
      <c r="J339" cm="1">
        <f t="array" ref="J339">VLOOKUP(OrderLines[[#This Row],[OrderID]:[OrderID]],Orders[],MATCH(OrderLines[[#Headers],[DiscountPct]],Orders[#Headers],0),FALSE)</f>
        <v>0.06</v>
      </c>
      <c r="K339" t="str" cm="1">
        <f t="array" ref="K339">VLOOKUP(OrderLines[[#This Row],[OrderID]:[OrderID]],Orders[],MATCH(OrderLines[[#Headers],[PaymentType]],Orders[#Headers],0),FALSE)</f>
        <v>UPI</v>
      </c>
      <c r="L339" t="str" cm="1">
        <f t="array" ref="L339">VLOOKUP(OrderLines[[#This Row],[OrderID]:[OrderID]],Orders[],MATCH(OrderLines[[#Headers],[Shift]],Orders[#Headers],0),FALSE)</f>
        <v>Breakfast</v>
      </c>
      <c r="M339" s="8">
        <f>(OrderLines[[#This Row],[Qty]]*OrderLines[[#This Row],[UnitPrice]])*(1-OrderLines[[#This Row],[DiscountPct]])</f>
        <v>62.002399999999987</v>
      </c>
      <c r="N339" t="str">
        <f>IF(AND(COUNTIFS(OrderLines[OrderID],OrderLines[[#This Row],[OrderID]],OrderLines[Category],"Hot Meal"),COUNTIFS(OrderLines[OrderID],OrderLines[[#This Row],[OrderID]],OrderLines[Category],"Beverage")),"Combo","Single")</f>
        <v>Single</v>
      </c>
      <c r="O339" s="8" t="str" cm="1">
        <f t="array" ref="O339">IF(SUMPRODUCT(OrderLines[UnitPrice],OrderLines[Qty],OrderLines[DiscountPct],--(OrderLines[OrderID] = OrderLines[[#This Row],[OrderID]]))&gt;40,"High Discount","Ok")</f>
        <v>Ok</v>
      </c>
      <c r="P339">
        <f>OrderLines[[#This Row],[UnitCost]]*OrderLines[[#This Row],[Qty]]</f>
        <v>23.68</v>
      </c>
      <c r="Q339" s="8">
        <f>OrderLines[[#This Row],[LineNetAmount]]-OrderLines[[#This Row],[Food Cost]]</f>
        <v>38.322399999999988</v>
      </c>
    </row>
    <row r="340" spans="1:17" x14ac:dyDescent="0.3">
      <c r="A340" t="s">
        <v>173</v>
      </c>
      <c r="B340" t="s">
        <v>401</v>
      </c>
      <c r="C340">
        <v>2</v>
      </c>
      <c r="D340" cm="1">
        <f t="array" ref="D340">VLOOKUP(OrderLines[[#This Row],[SKU]:[SKU]],Menu[],MATCH(OrderLines[[#Headers],[UnitPrice]],Menu[#Headers],0),FALSE)</f>
        <v>52.45</v>
      </c>
      <c r="E340" cm="1">
        <f t="array" ref="E340">VLOOKUP(OrderLines[[#This Row],[SKU]:[SKU]],Menu[],MATCH(OrderLines[[#Headers],[UnitCost]],Menu[#Headers],0),FALSE)</f>
        <v>25.8</v>
      </c>
      <c r="F340" t="str" cm="1">
        <f t="array" ref="F340">VLOOKUP(OrderLines[[#This Row],[SKU]:[SKU]],Menu[],MATCH(OrderLines[[#Headers],[Category]],Menu[#Headers],0),FALSE)</f>
        <v>Snack</v>
      </c>
      <c r="G340" t="str" cm="1">
        <f t="array" ref="G340">_xlfn.TEXTJOIN("+",TRUE,_xlfn._xlws.SORT(_xlfn.UNIQUE(_xlfn._xlws.FILTER(OrderLines[Category],OrderLines[OrderID]=OrderLines[[#This Row],[OrderID]]))))</f>
        <v>Hot Meal+Snack</v>
      </c>
      <c r="H340" s="2" cm="1">
        <f t="array" ref="H340">INT(VLOOKUP(OrderLines[[#This Row],[OrderID]:[OrderID]],Orders[],MATCH(OrderLines[[#Headers],[OrderDateTime]],Orders[#Headers],0),FALSE))</f>
        <v>45898</v>
      </c>
      <c r="I340" t="str" cm="1">
        <f t="array" ref="I340">VLOOKUP(OrderLines[[#This Row],[OrderID]:[OrderID]],Orders[],MATCH(OrderLines[[#Headers],[Branch]],Orders[#Headers],0),FALSE)</f>
        <v>Head Office Café</v>
      </c>
      <c r="J340" cm="1">
        <f t="array" ref="J340">VLOOKUP(OrderLines[[#This Row],[OrderID]:[OrderID]],Orders[],MATCH(OrderLines[[#Headers],[DiscountPct]],Orders[#Headers],0),FALSE)</f>
        <v>0.12</v>
      </c>
      <c r="K340" t="str" cm="1">
        <f t="array" ref="K340">VLOOKUP(OrderLines[[#This Row],[OrderID]:[OrderID]],Orders[],MATCH(OrderLines[[#Headers],[PaymentType]],Orders[#Headers],0),FALSE)</f>
        <v>Cash</v>
      </c>
      <c r="L340" t="str" cm="1">
        <f t="array" ref="L340">VLOOKUP(OrderLines[[#This Row],[OrderID]:[OrderID]],Orders[],MATCH(OrderLines[[#Headers],[Shift]],Orders[#Headers],0),FALSE)</f>
        <v>Breakfast</v>
      </c>
      <c r="M340" s="8">
        <f>(OrderLines[[#This Row],[Qty]]*OrderLines[[#This Row],[UnitPrice]])*(1-OrderLines[[#This Row],[DiscountPct]])</f>
        <v>92.312000000000012</v>
      </c>
      <c r="N340" t="str">
        <f>IF(AND(COUNTIFS(OrderLines[OrderID],OrderLines[[#This Row],[OrderID]],OrderLines[Category],"Hot Meal"),COUNTIFS(OrderLines[OrderID],OrderLines[[#This Row],[OrderID]],OrderLines[Category],"Beverage")),"Combo","Single")</f>
        <v>Single</v>
      </c>
      <c r="O340" s="8" t="str" cm="1">
        <f t="array" ref="O340">IF(SUMPRODUCT(OrderLines[UnitPrice],OrderLines[Qty],OrderLines[DiscountPct],--(OrderLines[OrderID] = OrderLines[[#This Row],[OrderID]]))&gt;40,"High Discount","Ok")</f>
        <v>High Discount</v>
      </c>
      <c r="P340">
        <f>OrderLines[[#This Row],[UnitCost]]*OrderLines[[#This Row],[Qty]]</f>
        <v>51.6</v>
      </c>
      <c r="Q340" s="8">
        <f>OrderLines[[#This Row],[LineNetAmount]]-OrderLines[[#This Row],[Food Cost]]</f>
        <v>40.71200000000001</v>
      </c>
    </row>
    <row r="341" spans="1:17" x14ac:dyDescent="0.3">
      <c r="A341" t="s">
        <v>173</v>
      </c>
      <c r="B341" t="s">
        <v>416</v>
      </c>
      <c r="C341">
        <v>2</v>
      </c>
      <c r="D341" cm="1">
        <f t="array" ref="D341">VLOOKUP(OrderLines[[#This Row],[SKU]:[SKU]],Menu[],MATCH(OrderLines[[#Headers],[UnitPrice]],Menu[#Headers],0),FALSE)</f>
        <v>227.61</v>
      </c>
      <c r="E341" cm="1">
        <f t="array" ref="E341">VLOOKUP(OrderLines[[#This Row],[SKU]:[SKU]],Menu[],MATCH(OrderLines[[#Headers],[UnitCost]],Menu[#Headers],0),FALSE)</f>
        <v>96.22</v>
      </c>
      <c r="F341" t="str" cm="1">
        <f t="array" ref="F341">VLOOKUP(OrderLines[[#This Row],[SKU]:[SKU]],Menu[],MATCH(OrderLines[[#Headers],[Category]],Menu[#Headers],0),FALSE)</f>
        <v>Hot Meal</v>
      </c>
      <c r="G341" t="str" cm="1">
        <f t="array" ref="G341">_xlfn.TEXTJOIN("+",TRUE,_xlfn._xlws.SORT(_xlfn.UNIQUE(_xlfn._xlws.FILTER(OrderLines[Category],OrderLines[OrderID]=OrderLines[[#This Row],[OrderID]]))))</f>
        <v>Hot Meal+Snack</v>
      </c>
      <c r="H341" s="2" cm="1">
        <f t="array" ref="H341">INT(VLOOKUP(OrderLines[[#This Row],[OrderID]:[OrderID]],Orders[],MATCH(OrderLines[[#Headers],[OrderDateTime]],Orders[#Headers],0),FALSE))</f>
        <v>45898</v>
      </c>
      <c r="I341" t="str" cm="1">
        <f t="array" ref="I341">VLOOKUP(OrderLines[[#This Row],[OrderID]:[OrderID]],Orders[],MATCH(OrderLines[[#Headers],[Branch]],Orders[#Headers],0),FALSE)</f>
        <v>Head Office Café</v>
      </c>
      <c r="J341" cm="1">
        <f t="array" ref="J341">VLOOKUP(OrderLines[[#This Row],[OrderID]:[OrderID]],Orders[],MATCH(OrderLines[[#Headers],[DiscountPct]],Orders[#Headers],0),FALSE)</f>
        <v>0.12</v>
      </c>
      <c r="K341" t="str" cm="1">
        <f t="array" ref="K341">VLOOKUP(OrderLines[[#This Row],[OrderID]:[OrderID]],Orders[],MATCH(OrderLines[[#Headers],[PaymentType]],Orders[#Headers],0),FALSE)</f>
        <v>Cash</v>
      </c>
      <c r="L341" t="str" cm="1">
        <f t="array" ref="L341">VLOOKUP(OrderLines[[#This Row],[OrderID]:[OrderID]],Orders[],MATCH(OrderLines[[#Headers],[Shift]],Orders[#Headers],0),FALSE)</f>
        <v>Breakfast</v>
      </c>
      <c r="M341" s="8">
        <f>(OrderLines[[#This Row],[Qty]]*OrderLines[[#This Row],[UnitPrice]])*(1-OrderLines[[#This Row],[DiscountPct]])</f>
        <v>400.59360000000004</v>
      </c>
      <c r="N341" t="str">
        <f>IF(AND(COUNTIFS(OrderLines[OrderID],OrderLines[[#This Row],[OrderID]],OrderLines[Category],"Hot Meal"),COUNTIFS(OrderLines[OrderID],OrderLines[[#This Row],[OrderID]],OrderLines[Category],"Beverage")),"Combo","Single")</f>
        <v>Single</v>
      </c>
      <c r="O341" s="8" t="str" cm="1">
        <f t="array" ref="O341">IF(SUMPRODUCT(OrderLines[UnitPrice],OrderLines[Qty],OrderLines[DiscountPct],--(OrderLines[OrderID] = OrderLines[[#This Row],[OrderID]]))&gt;40,"High Discount","Ok")</f>
        <v>High Discount</v>
      </c>
      <c r="P341">
        <f>OrderLines[[#This Row],[UnitCost]]*OrderLines[[#This Row],[Qty]]</f>
        <v>192.44</v>
      </c>
      <c r="Q341" s="8">
        <f>OrderLines[[#This Row],[LineNetAmount]]-OrderLines[[#This Row],[Food Cost]]</f>
        <v>208.15360000000004</v>
      </c>
    </row>
    <row r="342" spans="1:17" x14ac:dyDescent="0.3">
      <c r="A342" t="s">
        <v>174</v>
      </c>
      <c r="B342" t="s">
        <v>411</v>
      </c>
      <c r="C342">
        <v>1</v>
      </c>
      <c r="D342" cm="1">
        <f t="array" ref="D342">VLOOKUP(OrderLines[[#This Row],[SKU]:[SKU]],Menu[],MATCH(OrderLines[[#Headers],[UnitPrice]],Menu[#Headers],0),FALSE)</f>
        <v>22.2</v>
      </c>
      <c r="E342" cm="1">
        <f t="array" ref="E342">VLOOKUP(OrderLines[[#This Row],[SKU]:[SKU]],Menu[],MATCH(OrderLines[[#Headers],[UnitCost]],Menu[#Headers],0),FALSE)</f>
        <v>9.3800000000000008</v>
      </c>
      <c r="F342" t="str" cm="1">
        <f t="array" ref="F342">VLOOKUP(OrderLines[[#This Row],[SKU]:[SKU]],Menu[],MATCH(OrderLines[[#Headers],[Category]],Menu[#Headers],0),FALSE)</f>
        <v>Beverage</v>
      </c>
      <c r="G342" t="str" cm="1">
        <f t="array" ref="G342">_xlfn.TEXTJOIN("+",TRUE,_xlfn._xlws.SORT(_xlfn.UNIQUE(_xlfn._xlws.FILTER(OrderLines[Category],OrderLines[OrderID]=OrderLines[[#This Row],[OrderID]]))))</f>
        <v>Beverage+Dessert+Hot Meal</v>
      </c>
      <c r="H342" s="2" cm="1">
        <f t="array" ref="H342">INT(VLOOKUP(OrderLines[[#This Row],[OrderID]:[OrderID]],Orders[],MATCH(OrderLines[[#Headers],[OrderDateTime]],Orders[#Headers],0),FALSE))</f>
        <v>45864</v>
      </c>
      <c r="I342" t="str" cm="1">
        <f t="array" ref="I342">VLOOKUP(OrderLines[[#This Row],[OrderID]:[OrderID]],Orders[],MATCH(OrderLines[[#Headers],[Branch]],Orders[#Headers],0),FALSE)</f>
        <v>Head Office Café</v>
      </c>
      <c r="J342" cm="1">
        <f t="array" ref="J342">VLOOKUP(OrderLines[[#This Row],[OrderID]:[OrderID]],Orders[],MATCH(OrderLines[[#Headers],[DiscountPct]],Orders[#Headers],0),FALSE)</f>
        <v>0.05</v>
      </c>
      <c r="K342" t="str" cm="1">
        <f t="array" ref="K342">VLOOKUP(OrderLines[[#This Row],[OrderID]:[OrderID]],Orders[],MATCH(OrderLines[[#Headers],[PaymentType]],Orders[#Headers],0),FALSE)</f>
        <v>Cash</v>
      </c>
      <c r="L342" t="str" cm="1">
        <f t="array" ref="L342">VLOOKUP(OrderLines[[#This Row],[OrderID]:[OrderID]],Orders[],MATCH(OrderLines[[#Headers],[Shift]],Orders[#Headers],0),FALSE)</f>
        <v>Dinner</v>
      </c>
      <c r="M342" s="8">
        <f>(OrderLines[[#This Row],[Qty]]*OrderLines[[#This Row],[UnitPrice]])*(1-OrderLines[[#This Row],[DiscountPct]])</f>
        <v>21.09</v>
      </c>
      <c r="N342" t="str">
        <f>IF(AND(COUNTIFS(OrderLines[OrderID],OrderLines[[#This Row],[OrderID]],OrderLines[Category],"Hot Meal"),COUNTIFS(OrderLines[OrderID],OrderLines[[#This Row],[OrderID]],OrderLines[Category],"Beverage")),"Combo","Single")</f>
        <v>Combo</v>
      </c>
      <c r="O342" s="8" t="str" cm="1">
        <f t="array" ref="O342">IF(SUMPRODUCT(OrderLines[UnitPrice],OrderLines[Qty],OrderLines[DiscountPct],--(OrderLines[OrderID] = OrderLines[[#This Row],[OrderID]]))&gt;40,"High Discount","Ok")</f>
        <v>Ok</v>
      </c>
      <c r="P342">
        <f>OrderLines[[#This Row],[UnitCost]]*OrderLines[[#This Row],[Qty]]</f>
        <v>9.3800000000000008</v>
      </c>
      <c r="Q342" s="8">
        <f>OrderLines[[#This Row],[LineNetAmount]]-OrderLines[[#This Row],[Food Cost]]</f>
        <v>11.709999999999999</v>
      </c>
    </row>
    <row r="343" spans="1:17" x14ac:dyDescent="0.3">
      <c r="A343" t="s">
        <v>174</v>
      </c>
      <c r="B343" t="s">
        <v>404</v>
      </c>
      <c r="C343">
        <v>1</v>
      </c>
      <c r="D343" cm="1">
        <f t="array" ref="D343">VLOOKUP(OrderLines[[#This Row],[SKU]:[SKU]],Menu[],MATCH(OrderLines[[#Headers],[UnitPrice]],Menu[#Headers],0),FALSE)</f>
        <v>32.979999999999997</v>
      </c>
      <c r="E343" cm="1">
        <f t="array" ref="E343">VLOOKUP(OrderLines[[#This Row],[SKU]:[SKU]],Menu[],MATCH(OrderLines[[#Headers],[UnitCost]],Menu[#Headers],0),FALSE)</f>
        <v>11.84</v>
      </c>
      <c r="F343" t="str" cm="1">
        <f t="array" ref="F343">VLOOKUP(OrderLines[[#This Row],[SKU]:[SKU]],Menu[],MATCH(OrderLines[[#Headers],[Category]],Menu[#Headers],0),FALSE)</f>
        <v>Beverage</v>
      </c>
      <c r="G343" t="str" cm="1">
        <f t="array" ref="G343">_xlfn.TEXTJOIN("+",TRUE,_xlfn._xlws.SORT(_xlfn.UNIQUE(_xlfn._xlws.FILTER(OrderLines[Category],OrderLines[OrderID]=OrderLines[[#This Row],[OrderID]]))))</f>
        <v>Beverage+Dessert+Hot Meal</v>
      </c>
      <c r="H343" s="2" cm="1">
        <f t="array" ref="H343">INT(VLOOKUP(OrderLines[[#This Row],[OrderID]:[OrderID]],Orders[],MATCH(OrderLines[[#Headers],[OrderDateTime]],Orders[#Headers],0),FALSE))</f>
        <v>45864</v>
      </c>
      <c r="I343" t="str" cm="1">
        <f t="array" ref="I343">VLOOKUP(OrderLines[[#This Row],[OrderID]:[OrderID]],Orders[],MATCH(OrderLines[[#Headers],[Branch]],Orders[#Headers],0),FALSE)</f>
        <v>Head Office Café</v>
      </c>
      <c r="J343" cm="1">
        <f t="array" ref="J343">VLOOKUP(OrderLines[[#This Row],[OrderID]:[OrderID]],Orders[],MATCH(OrderLines[[#Headers],[DiscountPct]],Orders[#Headers],0),FALSE)</f>
        <v>0.05</v>
      </c>
      <c r="K343" t="str" cm="1">
        <f t="array" ref="K343">VLOOKUP(OrderLines[[#This Row],[OrderID]:[OrderID]],Orders[],MATCH(OrderLines[[#Headers],[PaymentType]],Orders[#Headers],0),FALSE)</f>
        <v>Cash</v>
      </c>
      <c r="L343" t="str" cm="1">
        <f t="array" ref="L343">VLOOKUP(OrderLines[[#This Row],[OrderID]:[OrderID]],Orders[],MATCH(OrderLines[[#Headers],[Shift]],Orders[#Headers],0),FALSE)</f>
        <v>Dinner</v>
      </c>
      <c r="M343" s="8">
        <f>(OrderLines[[#This Row],[Qty]]*OrderLines[[#This Row],[UnitPrice]])*(1-OrderLines[[#This Row],[DiscountPct]])</f>
        <v>31.330999999999996</v>
      </c>
      <c r="N343" t="str">
        <f>IF(AND(COUNTIFS(OrderLines[OrderID],OrderLines[[#This Row],[OrderID]],OrderLines[Category],"Hot Meal"),COUNTIFS(OrderLines[OrderID],OrderLines[[#This Row],[OrderID]],OrderLines[Category],"Beverage")),"Combo","Single")</f>
        <v>Combo</v>
      </c>
      <c r="O343" s="8" t="str" cm="1">
        <f t="array" ref="O343">IF(SUMPRODUCT(OrderLines[UnitPrice],OrderLines[Qty],OrderLines[DiscountPct],--(OrderLines[OrderID] = OrderLines[[#This Row],[OrderID]]))&gt;40,"High Discount","Ok")</f>
        <v>Ok</v>
      </c>
      <c r="P343">
        <f>OrderLines[[#This Row],[UnitCost]]*OrderLines[[#This Row],[Qty]]</f>
        <v>11.84</v>
      </c>
      <c r="Q343" s="8">
        <f>OrderLines[[#This Row],[LineNetAmount]]-OrderLines[[#This Row],[Food Cost]]</f>
        <v>19.490999999999996</v>
      </c>
    </row>
    <row r="344" spans="1:17" x14ac:dyDescent="0.3">
      <c r="A344" t="s">
        <v>174</v>
      </c>
      <c r="B344" t="s">
        <v>412</v>
      </c>
      <c r="C344">
        <v>2</v>
      </c>
      <c r="D344" cm="1">
        <f t="array" ref="D344">VLOOKUP(OrderLines[[#This Row],[SKU]:[SKU]],Menu[],MATCH(OrderLines[[#Headers],[UnitPrice]],Menu[#Headers],0),FALSE)</f>
        <v>57.07</v>
      </c>
      <c r="E344" cm="1">
        <f t="array" ref="E344">VLOOKUP(OrderLines[[#This Row],[SKU]:[SKU]],Menu[],MATCH(OrderLines[[#Headers],[UnitCost]],Menu[#Headers],0),FALSE)</f>
        <v>29.14</v>
      </c>
      <c r="F344" t="str" cm="1">
        <f t="array" ref="F344">VLOOKUP(OrderLines[[#This Row],[SKU]:[SKU]],Menu[],MATCH(OrderLines[[#Headers],[Category]],Menu[#Headers],0),FALSE)</f>
        <v>Dessert</v>
      </c>
      <c r="G344" t="str" cm="1">
        <f t="array" ref="G344">_xlfn.TEXTJOIN("+",TRUE,_xlfn._xlws.SORT(_xlfn.UNIQUE(_xlfn._xlws.FILTER(OrderLines[Category],OrderLines[OrderID]=OrderLines[[#This Row],[OrderID]]))))</f>
        <v>Beverage+Dessert+Hot Meal</v>
      </c>
      <c r="H344" s="2" cm="1">
        <f t="array" ref="H344">INT(VLOOKUP(OrderLines[[#This Row],[OrderID]:[OrderID]],Orders[],MATCH(OrderLines[[#Headers],[OrderDateTime]],Orders[#Headers],0),FALSE))</f>
        <v>45864</v>
      </c>
      <c r="I344" t="str" cm="1">
        <f t="array" ref="I344">VLOOKUP(OrderLines[[#This Row],[OrderID]:[OrderID]],Orders[],MATCH(OrderLines[[#Headers],[Branch]],Orders[#Headers],0),FALSE)</f>
        <v>Head Office Café</v>
      </c>
      <c r="J344" cm="1">
        <f t="array" ref="J344">VLOOKUP(OrderLines[[#This Row],[OrderID]:[OrderID]],Orders[],MATCH(OrderLines[[#Headers],[DiscountPct]],Orders[#Headers],0),FALSE)</f>
        <v>0.05</v>
      </c>
      <c r="K344" t="str" cm="1">
        <f t="array" ref="K344">VLOOKUP(OrderLines[[#This Row],[OrderID]:[OrderID]],Orders[],MATCH(OrderLines[[#Headers],[PaymentType]],Orders[#Headers],0),FALSE)</f>
        <v>Cash</v>
      </c>
      <c r="L344" t="str" cm="1">
        <f t="array" ref="L344">VLOOKUP(OrderLines[[#This Row],[OrderID]:[OrderID]],Orders[],MATCH(OrderLines[[#Headers],[Shift]],Orders[#Headers],0),FALSE)</f>
        <v>Dinner</v>
      </c>
      <c r="M344" s="8">
        <f>(OrderLines[[#This Row],[Qty]]*OrderLines[[#This Row],[UnitPrice]])*(1-OrderLines[[#This Row],[DiscountPct]])</f>
        <v>108.43299999999999</v>
      </c>
      <c r="N344" t="str">
        <f>IF(AND(COUNTIFS(OrderLines[OrderID],OrderLines[[#This Row],[OrderID]],OrderLines[Category],"Hot Meal"),COUNTIFS(OrderLines[OrderID],OrderLines[[#This Row],[OrderID]],OrderLines[Category],"Beverage")),"Combo","Single")</f>
        <v>Combo</v>
      </c>
      <c r="O344" s="8" t="str" cm="1">
        <f t="array" ref="O344">IF(SUMPRODUCT(OrderLines[UnitPrice],OrderLines[Qty],OrderLines[DiscountPct],--(OrderLines[OrderID] = OrderLines[[#This Row],[OrderID]]))&gt;40,"High Discount","Ok")</f>
        <v>Ok</v>
      </c>
      <c r="P344">
        <f>OrderLines[[#This Row],[UnitCost]]*OrderLines[[#This Row],[Qty]]</f>
        <v>58.28</v>
      </c>
      <c r="Q344" s="8">
        <f>OrderLines[[#This Row],[LineNetAmount]]-OrderLines[[#This Row],[Food Cost]]</f>
        <v>50.152999999999992</v>
      </c>
    </row>
    <row r="345" spans="1:17" x14ac:dyDescent="0.3">
      <c r="A345" t="s">
        <v>174</v>
      </c>
      <c r="B345" t="s">
        <v>417</v>
      </c>
      <c r="C345">
        <v>1</v>
      </c>
      <c r="D345" cm="1">
        <f t="array" ref="D345">VLOOKUP(OrderLines[[#This Row],[SKU]:[SKU]],Menu[],MATCH(OrderLines[[#Headers],[UnitPrice]],Menu[#Headers],0),FALSE)</f>
        <v>146.4</v>
      </c>
      <c r="E345" cm="1">
        <f t="array" ref="E345">VLOOKUP(OrderLines[[#This Row],[SKU]:[SKU]],Menu[],MATCH(OrderLines[[#Headers],[UnitCost]],Menu[#Headers],0),FALSE)</f>
        <v>80.92</v>
      </c>
      <c r="F345" t="str" cm="1">
        <f t="array" ref="F345">VLOOKUP(OrderLines[[#This Row],[SKU]:[SKU]],Menu[],MATCH(OrderLines[[#Headers],[Category]],Menu[#Headers],0),FALSE)</f>
        <v>Hot Meal</v>
      </c>
      <c r="G345" t="str" cm="1">
        <f t="array" ref="G345">_xlfn.TEXTJOIN("+",TRUE,_xlfn._xlws.SORT(_xlfn.UNIQUE(_xlfn._xlws.FILTER(OrderLines[Category],OrderLines[OrderID]=OrderLines[[#This Row],[OrderID]]))))</f>
        <v>Beverage+Dessert+Hot Meal</v>
      </c>
      <c r="H345" s="2" cm="1">
        <f t="array" ref="H345">INT(VLOOKUP(OrderLines[[#This Row],[OrderID]:[OrderID]],Orders[],MATCH(OrderLines[[#Headers],[OrderDateTime]],Orders[#Headers],0),FALSE))</f>
        <v>45864</v>
      </c>
      <c r="I345" t="str" cm="1">
        <f t="array" ref="I345">VLOOKUP(OrderLines[[#This Row],[OrderID]:[OrderID]],Orders[],MATCH(OrderLines[[#Headers],[Branch]],Orders[#Headers],0),FALSE)</f>
        <v>Head Office Café</v>
      </c>
      <c r="J345" cm="1">
        <f t="array" ref="J345">VLOOKUP(OrderLines[[#This Row],[OrderID]:[OrderID]],Orders[],MATCH(OrderLines[[#Headers],[DiscountPct]],Orders[#Headers],0),FALSE)</f>
        <v>0.05</v>
      </c>
      <c r="K345" t="str" cm="1">
        <f t="array" ref="K345">VLOOKUP(OrderLines[[#This Row],[OrderID]:[OrderID]],Orders[],MATCH(OrderLines[[#Headers],[PaymentType]],Orders[#Headers],0),FALSE)</f>
        <v>Cash</v>
      </c>
      <c r="L345" t="str" cm="1">
        <f t="array" ref="L345">VLOOKUP(OrderLines[[#This Row],[OrderID]:[OrderID]],Orders[],MATCH(OrderLines[[#Headers],[Shift]],Orders[#Headers],0),FALSE)</f>
        <v>Dinner</v>
      </c>
      <c r="M345" s="8">
        <f>(OrderLines[[#This Row],[Qty]]*OrderLines[[#This Row],[UnitPrice]])*(1-OrderLines[[#This Row],[DiscountPct]])</f>
        <v>139.08000000000001</v>
      </c>
      <c r="N345" t="str">
        <f>IF(AND(COUNTIFS(OrderLines[OrderID],OrderLines[[#This Row],[OrderID]],OrderLines[Category],"Hot Meal"),COUNTIFS(OrderLines[OrderID],OrderLines[[#This Row],[OrderID]],OrderLines[Category],"Beverage")),"Combo","Single")</f>
        <v>Combo</v>
      </c>
      <c r="O345" s="8" t="str" cm="1">
        <f t="array" ref="O345">IF(SUMPRODUCT(OrderLines[UnitPrice],OrderLines[Qty],OrderLines[DiscountPct],--(OrderLines[OrderID] = OrderLines[[#This Row],[OrderID]]))&gt;40,"High Discount","Ok")</f>
        <v>Ok</v>
      </c>
      <c r="P345">
        <f>OrderLines[[#This Row],[UnitCost]]*OrderLines[[#This Row],[Qty]]</f>
        <v>80.92</v>
      </c>
      <c r="Q345" s="8">
        <f>OrderLines[[#This Row],[LineNetAmount]]-OrderLines[[#This Row],[Food Cost]]</f>
        <v>58.160000000000011</v>
      </c>
    </row>
    <row r="346" spans="1:17" x14ac:dyDescent="0.3">
      <c r="A346" t="s">
        <v>175</v>
      </c>
      <c r="B346" t="s">
        <v>419</v>
      </c>
      <c r="C346">
        <v>2</v>
      </c>
      <c r="D346" cm="1">
        <f t="array" ref="D346">VLOOKUP(OrderLines[[#This Row],[SKU]:[SKU]],Menu[],MATCH(OrderLines[[#Headers],[UnitPrice]],Menu[#Headers],0),FALSE)</f>
        <v>50.19</v>
      </c>
      <c r="E346" cm="1">
        <f t="array" ref="E346">VLOOKUP(OrderLines[[#This Row],[SKU]:[SKU]],Menu[],MATCH(OrderLines[[#Headers],[UnitCost]],Menu[#Headers],0),FALSE)</f>
        <v>22.61</v>
      </c>
      <c r="F346" t="str" cm="1">
        <f t="array" ref="F346">VLOOKUP(OrderLines[[#This Row],[SKU]:[SKU]],Menu[],MATCH(OrderLines[[#Headers],[Category]],Menu[#Headers],0),FALSE)</f>
        <v>Snack</v>
      </c>
      <c r="G346" t="str" cm="1">
        <f t="array" ref="G346">_xlfn.TEXTJOIN("+",TRUE,_xlfn._xlws.SORT(_xlfn.UNIQUE(_xlfn._xlws.FILTER(OrderLines[Category],OrderLines[OrderID]=OrderLines[[#This Row],[OrderID]]))))</f>
        <v>Snack</v>
      </c>
      <c r="H346" s="2" cm="1">
        <f t="array" ref="H346">INT(VLOOKUP(OrderLines[[#This Row],[OrderID]:[OrderID]],Orders[],MATCH(OrderLines[[#Headers],[OrderDateTime]],Orders[#Headers],0),FALSE))</f>
        <v>45856</v>
      </c>
      <c r="I346" t="str" cm="1">
        <f t="array" ref="I346">VLOOKUP(OrderLines[[#This Row],[OrderID]:[OrderID]],Orders[],MATCH(OrderLines[[#Headers],[Branch]],Orders[#Headers],0),FALSE)</f>
        <v>Head Office Café</v>
      </c>
      <c r="J346" cm="1">
        <f t="array" ref="J346">VLOOKUP(OrderLines[[#This Row],[OrderID]:[OrderID]],Orders[],MATCH(OrderLines[[#Headers],[DiscountPct]],Orders[#Headers],0),FALSE)</f>
        <v>0.17</v>
      </c>
      <c r="K346" t="str" cm="1">
        <f t="array" ref="K346">VLOOKUP(OrderLines[[#This Row],[OrderID]:[OrderID]],Orders[],MATCH(OrderLines[[#Headers],[PaymentType]],Orders[#Headers],0),FALSE)</f>
        <v>Cash</v>
      </c>
      <c r="L346" t="str" cm="1">
        <f t="array" ref="L346">VLOOKUP(OrderLines[[#This Row],[OrderID]:[OrderID]],Orders[],MATCH(OrderLines[[#Headers],[Shift]],Orders[#Headers],0),FALSE)</f>
        <v>Breakfast</v>
      </c>
      <c r="M346" s="8">
        <f>(OrderLines[[#This Row],[Qty]]*OrderLines[[#This Row],[UnitPrice]])*(1-OrderLines[[#This Row],[DiscountPct]])</f>
        <v>83.315399999999997</v>
      </c>
      <c r="N346" t="str">
        <f>IF(AND(COUNTIFS(OrderLines[OrderID],OrderLines[[#This Row],[OrderID]],OrderLines[Category],"Hot Meal"),COUNTIFS(OrderLines[OrderID],OrderLines[[#This Row],[OrderID]],OrderLines[Category],"Beverage")),"Combo","Single")</f>
        <v>Single</v>
      </c>
      <c r="O346" s="8" t="str" cm="1">
        <f t="array" ref="O346">IF(SUMPRODUCT(OrderLines[UnitPrice],OrderLines[Qty],OrderLines[DiscountPct],--(OrderLines[OrderID] = OrderLines[[#This Row],[OrderID]]))&gt;40,"High Discount","Ok")</f>
        <v>Ok</v>
      </c>
      <c r="P346">
        <f>OrderLines[[#This Row],[UnitCost]]*OrderLines[[#This Row],[Qty]]</f>
        <v>45.22</v>
      </c>
      <c r="Q346" s="8">
        <f>OrderLines[[#This Row],[LineNetAmount]]-OrderLines[[#This Row],[Food Cost]]</f>
        <v>38.095399999999998</v>
      </c>
    </row>
    <row r="347" spans="1:17" x14ac:dyDescent="0.3">
      <c r="A347" t="s">
        <v>176</v>
      </c>
      <c r="B347" t="s">
        <v>412</v>
      </c>
      <c r="C347">
        <v>2</v>
      </c>
      <c r="D347" cm="1">
        <f t="array" ref="D347">VLOOKUP(OrderLines[[#This Row],[SKU]:[SKU]],Menu[],MATCH(OrderLines[[#Headers],[UnitPrice]],Menu[#Headers],0),FALSE)</f>
        <v>57.07</v>
      </c>
      <c r="E347" cm="1">
        <f t="array" ref="E347">VLOOKUP(OrderLines[[#This Row],[SKU]:[SKU]],Menu[],MATCH(OrderLines[[#Headers],[UnitCost]],Menu[#Headers],0),FALSE)</f>
        <v>29.14</v>
      </c>
      <c r="F347" t="str" cm="1">
        <f t="array" ref="F347">VLOOKUP(OrderLines[[#This Row],[SKU]:[SKU]],Menu[],MATCH(OrderLines[[#Headers],[Category]],Menu[#Headers],0),FALSE)</f>
        <v>Dessert</v>
      </c>
      <c r="G347" t="str" cm="1">
        <f t="array" ref="G347">_xlfn.TEXTJOIN("+",TRUE,_xlfn._xlws.SORT(_xlfn.UNIQUE(_xlfn._xlws.FILTER(OrderLines[Category],OrderLines[OrderID]=OrderLines[[#This Row],[OrderID]]))))</f>
        <v>Dessert+Hot Meal+Snack</v>
      </c>
      <c r="H347" s="2" cm="1">
        <f t="array" ref="H347">INT(VLOOKUP(OrderLines[[#This Row],[OrderID]:[OrderID]],Orders[],MATCH(OrderLines[[#Headers],[OrderDateTime]],Orders[#Headers],0),FALSE))</f>
        <v>45878</v>
      </c>
      <c r="I347" t="str" cm="1">
        <f t="array" ref="I347">VLOOKUP(OrderLines[[#This Row],[OrderID]:[OrderID]],Orders[],MATCH(OrderLines[[#Headers],[Branch]],Orders[#Headers],0),FALSE)</f>
        <v>Plant 2 Canteen</v>
      </c>
      <c r="J347" cm="1">
        <f t="array" ref="J347">VLOOKUP(OrderLines[[#This Row],[OrderID]:[OrderID]],Orders[],MATCH(OrderLines[[#Headers],[DiscountPct]],Orders[#Headers],0),FALSE)</f>
        <v>0.09</v>
      </c>
      <c r="K347" t="str" cm="1">
        <f t="array" ref="K347">VLOOKUP(OrderLines[[#This Row],[OrderID]:[OrderID]],Orders[],MATCH(OrderLines[[#Headers],[PaymentType]],Orders[#Headers],0),FALSE)</f>
        <v>UPI</v>
      </c>
      <c r="L347" t="str" cm="1">
        <f t="array" ref="L347">VLOOKUP(OrderLines[[#This Row],[OrderID]:[OrderID]],Orders[],MATCH(OrderLines[[#Headers],[Shift]],Orders[#Headers],0),FALSE)</f>
        <v>Dinner</v>
      </c>
      <c r="M347" s="8">
        <f>(OrderLines[[#This Row],[Qty]]*OrderLines[[#This Row],[UnitPrice]])*(1-OrderLines[[#This Row],[DiscountPct]])</f>
        <v>103.8674</v>
      </c>
      <c r="N347" t="str">
        <f>IF(AND(COUNTIFS(OrderLines[OrderID],OrderLines[[#This Row],[OrderID]],OrderLines[Category],"Hot Meal"),COUNTIFS(OrderLines[OrderID],OrderLines[[#This Row],[OrderID]],OrderLines[Category],"Beverage")),"Combo","Single")</f>
        <v>Single</v>
      </c>
      <c r="O347" s="8" t="str" cm="1">
        <f t="array" ref="O347">IF(SUMPRODUCT(OrderLines[UnitPrice],OrderLines[Qty],OrderLines[DiscountPct],--(OrderLines[OrderID] = OrderLines[[#This Row],[OrderID]]))&gt;40,"High Discount","Ok")</f>
        <v>High Discount</v>
      </c>
      <c r="P347">
        <f>OrderLines[[#This Row],[UnitCost]]*OrderLines[[#This Row],[Qty]]</f>
        <v>58.28</v>
      </c>
      <c r="Q347" s="8">
        <f>OrderLines[[#This Row],[LineNetAmount]]-OrderLines[[#This Row],[Food Cost]]</f>
        <v>45.587400000000002</v>
      </c>
    </row>
    <row r="348" spans="1:17" x14ac:dyDescent="0.3">
      <c r="A348" t="s">
        <v>176</v>
      </c>
      <c r="B348" t="s">
        <v>416</v>
      </c>
      <c r="C348">
        <v>2</v>
      </c>
      <c r="D348" cm="1">
        <f t="array" ref="D348">VLOOKUP(OrderLines[[#This Row],[SKU]:[SKU]],Menu[],MATCH(OrderLines[[#Headers],[UnitPrice]],Menu[#Headers],0),FALSE)</f>
        <v>227.61</v>
      </c>
      <c r="E348" cm="1">
        <f t="array" ref="E348">VLOOKUP(OrderLines[[#This Row],[SKU]:[SKU]],Menu[],MATCH(OrderLines[[#Headers],[UnitCost]],Menu[#Headers],0),FALSE)</f>
        <v>96.22</v>
      </c>
      <c r="F348" t="str" cm="1">
        <f t="array" ref="F348">VLOOKUP(OrderLines[[#This Row],[SKU]:[SKU]],Menu[],MATCH(OrderLines[[#Headers],[Category]],Menu[#Headers],0),FALSE)</f>
        <v>Hot Meal</v>
      </c>
      <c r="G348" t="str" cm="1">
        <f t="array" ref="G348">_xlfn.TEXTJOIN("+",TRUE,_xlfn._xlws.SORT(_xlfn.UNIQUE(_xlfn._xlws.FILTER(OrderLines[Category],OrderLines[OrderID]=OrderLines[[#This Row],[OrderID]]))))</f>
        <v>Dessert+Hot Meal+Snack</v>
      </c>
      <c r="H348" s="2" cm="1">
        <f t="array" ref="H348">INT(VLOOKUP(OrderLines[[#This Row],[OrderID]:[OrderID]],Orders[],MATCH(OrderLines[[#Headers],[OrderDateTime]],Orders[#Headers],0),FALSE))</f>
        <v>45878</v>
      </c>
      <c r="I348" t="str" cm="1">
        <f t="array" ref="I348">VLOOKUP(OrderLines[[#This Row],[OrderID]:[OrderID]],Orders[],MATCH(OrderLines[[#Headers],[Branch]],Orders[#Headers],0),FALSE)</f>
        <v>Plant 2 Canteen</v>
      </c>
      <c r="J348" cm="1">
        <f t="array" ref="J348">VLOOKUP(OrderLines[[#This Row],[OrderID]:[OrderID]],Orders[],MATCH(OrderLines[[#Headers],[DiscountPct]],Orders[#Headers],0),FALSE)</f>
        <v>0.09</v>
      </c>
      <c r="K348" t="str" cm="1">
        <f t="array" ref="K348">VLOOKUP(OrderLines[[#This Row],[OrderID]:[OrderID]],Orders[],MATCH(OrderLines[[#Headers],[PaymentType]],Orders[#Headers],0),FALSE)</f>
        <v>UPI</v>
      </c>
      <c r="L348" t="str" cm="1">
        <f t="array" ref="L348">VLOOKUP(OrderLines[[#This Row],[OrderID]:[OrderID]],Orders[],MATCH(OrderLines[[#Headers],[Shift]],Orders[#Headers],0),FALSE)</f>
        <v>Dinner</v>
      </c>
      <c r="M348" s="8">
        <f>(OrderLines[[#This Row],[Qty]]*OrderLines[[#This Row],[UnitPrice]])*(1-OrderLines[[#This Row],[DiscountPct]])</f>
        <v>414.25020000000006</v>
      </c>
      <c r="N348" t="str">
        <f>IF(AND(COUNTIFS(OrderLines[OrderID],OrderLines[[#This Row],[OrderID]],OrderLines[Category],"Hot Meal"),COUNTIFS(OrderLines[OrderID],OrderLines[[#This Row],[OrderID]],OrderLines[Category],"Beverage")),"Combo","Single")</f>
        <v>Single</v>
      </c>
      <c r="O348" s="8" t="str" cm="1">
        <f t="array" ref="O348">IF(SUMPRODUCT(OrderLines[UnitPrice],OrderLines[Qty],OrderLines[DiscountPct],--(OrderLines[OrderID] = OrderLines[[#This Row],[OrderID]]))&gt;40,"High Discount","Ok")</f>
        <v>High Discount</v>
      </c>
      <c r="P348">
        <f>OrderLines[[#This Row],[UnitCost]]*OrderLines[[#This Row],[Qty]]</f>
        <v>192.44</v>
      </c>
      <c r="Q348" s="8">
        <f>OrderLines[[#This Row],[LineNetAmount]]-OrderLines[[#This Row],[Food Cost]]</f>
        <v>221.81020000000007</v>
      </c>
    </row>
    <row r="349" spans="1:17" x14ac:dyDescent="0.3">
      <c r="A349" t="s">
        <v>176</v>
      </c>
      <c r="B349" t="s">
        <v>401</v>
      </c>
      <c r="C349">
        <v>3</v>
      </c>
      <c r="D349" cm="1">
        <f t="array" ref="D349">VLOOKUP(OrderLines[[#This Row],[SKU]:[SKU]],Menu[],MATCH(OrderLines[[#Headers],[UnitPrice]],Menu[#Headers],0),FALSE)</f>
        <v>52.45</v>
      </c>
      <c r="E349" cm="1">
        <f t="array" ref="E349">VLOOKUP(OrderLines[[#This Row],[SKU]:[SKU]],Menu[],MATCH(OrderLines[[#Headers],[UnitCost]],Menu[#Headers],0),FALSE)</f>
        <v>25.8</v>
      </c>
      <c r="F349" t="str" cm="1">
        <f t="array" ref="F349">VLOOKUP(OrderLines[[#This Row],[SKU]:[SKU]],Menu[],MATCH(OrderLines[[#Headers],[Category]],Menu[#Headers],0),FALSE)</f>
        <v>Snack</v>
      </c>
      <c r="G349" t="str" cm="1">
        <f t="array" ref="G349">_xlfn.TEXTJOIN("+",TRUE,_xlfn._xlws.SORT(_xlfn.UNIQUE(_xlfn._xlws.FILTER(OrderLines[Category],OrderLines[OrderID]=OrderLines[[#This Row],[OrderID]]))))</f>
        <v>Dessert+Hot Meal+Snack</v>
      </c>
      <c r="H349" s="2" cm="1">
        <f t="array" ref="H349">INT(VLOOKUP(OrderLines[[#This Row],[OrderID]:[OrderID]],Orders[],MATCH(OrderLines[[#Headers],[OrderDateTime]],Orders[#Headers],0),FALSE))</f>
        <v>45878</v>
      </c>
      <c r="I349" t="str" cm="1">
        <f t="array" ref="I349">VLOOKUP(OrderLines[[#This Row],[OrderID]:[OrderID]],Orders[],MATCH(OrderLines[[#Headers],[Branch]],Orders[#Headers],0),FALSE)</f>
        <v>Plant 2 Canteen</v>
      </c>
      <c r="J349" cm="1">
        <f t="array" ref="J349">VLOOKUP(OrderLines[[#This Row],[OrderID]:[OrderID]],Orders[],MATCH(OrderLines[[#Headers],[DiscountPct]],Orders[#Headers],0),FALSE)</f>
        <v>0.09</v>
      </c>
      <c r="K349" t="str" cm="1">
        <f t="array" ref="K349">VLOOKUP(OrderLines[[#This Row],[OrderID]:[OrderID]],Orders[],MATCH(OrderLines[[#Headers],[PaymentType]],Orders[#Headers],0),FALSE)</f>
        <v>UPI</v>
      </c>
      <c r="L349" t="str" cm="1">
        <f t="array" ref="L349">VLOOKUP(OrderLines[[#This Row],[OrderID]:[OrderID]],Orders[],MATCH(OrderLines[[#Headers],[Shift]],Orders[#Headers],0),FALSE)</f>
        <v>Dinner</v>
      </c>
      <c r="M349" s="8">
        <f>(OrderLines[[#This Row],[Qty]]*OrderLines[[#This Row],[UnitPrice]])*(1-OrderLines[[#This Row],[DiscountPct]])</f>
        <v>143.18850000000003</v>
      </c>
      <c r="N349" t="str">
        <f>IF(AND(COUNTIFS(OrderLines[OrderID],OrderLines[[#This Row],[OrderID]],OrderLines[Category],"Hot Meal"),COUNTIFS(OrderLines[OrderID],OrderLines[[#This Row],[OrderID]],OrderLines[Category],"Beverage")),"Combo","Single")</f>
        <v>Single</v>
      </c>
      <c r="O349" s="8" t="str" cm="1">
        <f t="array" ref="O349">IF(SUMPRODUCT(OrderLines[UnitPrice],OrderLines[Qty],OrderLines[DiscountPct],--(OrderLines[OrderID] = OrderLines[[#This Row],[OrderID]]))&gt;40,"High Discount","Ok")</f>
        <v>High Discount</v>
      </c>
      <c r="P349">
        <f>OrderLines[[#This Row],[UnitCost]]*OrderLines[[#This Row],[Qty]]</f>
        <v>77.400000000000006</v>
      </c>
      <c r="Q349" s="8">
        <f>OrderLines[[#This Row],[LineNetAmount]]-OrderLines[[#This Row],[Food Cost]]</f>
        <v>65.788500000000028</v>
      </c>
    </row>
    <row r="350" spans="1:17" x14ac:dyDescent="0.3">
      <c r="A350" t="s">
        <v>177</v>
      </c>
      <c r="B350" t="s">
        <v>419</v>
      </c>
      <c r="C350">
        <v>3</v>
      </c>
      <c r="D350" cm="1">
        <f t="array" ref="D350">VLOOKUP(OrderLines[[#This Row],[SKU]:[SKU]],Menu[],MATCH(OrderLines[[#Headers],[UnitPrice]],Menu[#Headers],0),FALSE)</f>
        <v>50.19</v>
      </c>
      <c r="E350" cm="1">
        <f t="array" ref="E350">VLOOKUP(OrderLines[[#This Row],[SKU]:[SKU]],Menu[],MATCH(OrderLines[[#Headers],[UnitCost]],Menu[#Headers],0),FALSE)</f>
        <v>22.61</v>
      </c>
      <c r="F350" t="str" cm="1">
        <f t="array" ref="F350">VLOOKUP(OrderLines[[#This Row],[SKU]:[SKU]],Menu[],MATCH(OrderLines[[#Headers],[Category]],Menu[#Headers],0),FALSE)</f>
        <v>Snack</v>
      </c>
      <c r="G350" t="str" cm="1">
        <f t="array" ref="G350">_xlfn.TEXTJOIN("+",TRUE,_xlfn._xlws.SORT(_xlfn.UNIQUE(_xlfn._xlws.FILTER(OrderLines[Category],OrderLines[OrderID]=OrderLines[[#This Row],[OrderID]]))))</f>
        <v>Beverage+Snack</v>
      </c>
      <c r="H350" s="2" cm="1">
        <f t="array" ref="H350">INT(VLOOKUP(OrderLines[[#This Row],[OrderID]:[OrderID]],Orders[],MATCH(OrderLines[[#Headers],[OrderDateTime]],Orders[#Headers],0),FALSE))</f>
        <v>45867</v>
      </c>
      <c r="I350" t="str" cm="1">
        <f t="array" ref="I350">VLOOKUP(OrderLines[[#This Row],[OrderID]:[OrderID]],Orders[],MATCH(OrderLines[[#Headers],[Branch]],Orders[#Headers],0),FALSE)</f>
        <v>Plant 1 Canteen</v>
      </c>
      <c r="J350" cm="1">
        <f t="array" ref="J350">VLOOKUP(OrderLines[[#This Row],[OrderID]:[OrderID]],Orders[],MATCH(OrderLines[[#Headers],[DiscountPct]],Orders[#Headers],0),FALSE)</f>
        <v>0.03</v>
      </c>
      <c r="K350" t="str" cm="1">
        <f t="array" ref="K350">VLOOKUP(OrderLines[[#This Row],[OrderID]:[OrderID]],Orders[],MATCH(OrderLines[[#Headers],[PaymentType]],Orders[#Headers],0),FALSE)</f>
        <v>Card</v>
      </c>
      <c r="L350" t="str" cm="1">
        <f t="array" ref="L350">VLOOKUP(OrderLines[[#This Row],[OrderID]:[OrderID]],Orders[],MATCH(OrderLines[[#Headers],[Shift]],Orders[#Headers],0),FALSE)</f>
        <v>Lunch</v>
      </c>
      <c r="M350" s="8">
        <f>(OrderLines[[#This Row],[Qty]]*OrderLines[[#This Row],[UnitPrice]])*(1-OrderLines[[#This Row],[DiscountPct]])</f>
        <v>146.05289999999999</v>
      </c>
      <c r="N350" t="str">
        <f>IF(AND(COUNTIFS(OrderLines[OrderID],OrderLines[[#This Row],[OrderID]],OrderLines[Category],"Hot Meal"),COUNTIFS(OrderLines[OrderID],OrderLines[[#This Row],[OrderID]],OrderLines[Category],"Beverage")),"Combo","Single")</f>
        <v>Single</v>
      </c>
      <c r="O350" s="8" t="str" cm="1">
        <f t="array" ref="O350">IF(SUMPRODUCT(OrderLines[UnitPrice],OrderLines[Qty],OrderLines[DiscountPct],--(OrderLines[OrderID] = OrderLines[[#This Row],[OrderID]]))&gt;40,"High Discount","Ok")</f>
        <v>Ok</v>
      </c>
      <c r="P350">
        <f>OrderLines[[#This Row],[UnitCost]]*OrderLines[[#This Row],[Qty]]</f>
        <v>67.83</v>
      </c>
      <c r="Q350" s="8">
        <f>OrderLines[[#This Row],[LineNetAmount]]-OrderLines[[#This Row],[Food Cost]]</f>
        <v>78.222899999999996</v>
      </c>
    </row>
    <row r="351" spans="1:17" x14ac:dyDescent="0.3">
      <c r="A351" t="s">
        <v>177</v>
      </c>
      <c r="B351" t="s">
        <v>406</v>
      </c>
      <c r="C351">
        <v>2</v>
      </c>
      <c r="D351" cm="1">
        <f t="array" ref="D351">VLOOKUP(OrderLines[[#This Row],[SKU]:[SKU]],Menu[],MATCH(OrderLines[[#Headers],[UnitPrice]],Menu[#Headers],0),FALSE)</f>
        <v>38.06</v>
      </c>
      <c r="E351" cm="1">
        <f t="array" ref="E351">VLOOKUP(OrderLines[[#This Row],[SKU]:[SKU]],Menu[],MATCH(OrderLines[[#Headers],[UnitCost]],Menu[#Headers],0),FALSE)</f>
        <v>19.55</v>
      </c>
      <c r="F351" t="str" cm="1">
        <f t="array" ref="F351">VLOOKUP(OrderLines[[#This Row],[SKU]:[SKU]],Menu[],MATCH(OrderLines[[#Headers],[Category]],Menu[#Headers],0),FALSE)</f>
        <v>Snack</v>
      </c>
      <c r="G351" t="str" cm="1">
        <f t="array" ref="G351">_xlfn.TEXTJOIN("+",TRUE,_xlfn._xlws.SORT(_xlfn.UNIQUE(_xlfn._xlws.FILTER(OrderLines[Category],OrderLines[OrderID]=OrderLines[[#This Row],[OrderID]]))))</f>
        <v>Beverage+Snack</v>
      </c>
      <c r="H351" s="2" cm="1">
        <f t="array" ref="H351">INT(VLOOKUP(OrderLines[[#This Row],[OrderID]:[OrderID]],Orders[],MATCH(OrderLines[[#Headers],[OrderDateTime]],Orders[#Headers],0),FALSE))</f>
        <v>45867</v>
      </c>
      <c r="I351" t="str" cm="1">
        <f t="array" ref="I351">VLOOKUP(OrderLines[[#This Row],[OrderID]:[OrderID]],Orders[],MATCH(OrderLines[[#Headers],[Branch]],Orders[#Headers],0),FALSE)</f>
        <v>Plant 1 Canteen</v>
      </c>
      <c r="J351" cm="1">
        <f t="array" ref="J351">VLOOKUP(OrderLines[[#This Row],[OrderID]:[OrderID]],Orders[],MATCH(OrderLines[[#Headers],[DiscountPct]],Orders[#Headers],0),FALSE)</f>
        <v>0.03</v>
      </c>
      <c r="K351" t="str" cm="1">
        <f t="array" ref="K351">VLOOKUP(OrderLines[[#This Row],[OrderID]:[OrderID]],Orders[],MATCH(OrderLines[[#Headers],[PaymentType]],Orders[#Headers],0),FALSE)</f>
        <v>Card</v>
      </c>
      <c r="L351" t="str" cm="1">
        <f t="array" ref="L351">VLOOKUP(OrderLines[[#This Row],[OrderID]:[OrderID]],Orders[],MATCH(OrderLines[[#Headers],[Shift]],Orders[#Headers],0),FALSE)</f>
        <v>Lunch</v>
      </c>
      <c r="M351" s="8">
        <f>(OrderLines[[#This Row],[Qty]]*OrderLines[[#This Row],[UnitPrice]])*(1-OrderLines[[#This Row],[DiscountPct]])</f>
        <v>73.836399999999998</v>
      </c>
      <c r="N351" t="str">
        <f>IF(AND(COUNTIFS(OrderLines[OrderID],OrderLines[[#This Row],[OrderID]],OrderLines[Category],"Hot Meal"),COUNTIFS(OrderLines[OrderID],OrderLines[[#This Row],[OrderID]],OrderLines[Category],"Beverage")),"Combo","Single")</f>
        <v>Single</v>
      </c>
      <c r="O351" s="8" t="str" cm="1">
        <f t="array" ref="O351">IF(SUMPRODUCT(OrderLines[UnitPrice],OrderLines[Qty],OrderLines[DiscountPct],--(OrderLines[OrderID] = OrderLines[[#This Row],[OrderID]]))&gt;40,"High Discount","Ok")</f>
        <v>Ok</v>
      </c>
      <c r="P351">
        <f>OrderLines[[#This Row],[UnitCost]]*OrderLines[[#This Row],[Qty]]</f>
        <v>39.1</v>
      </c>
      <c r="Q351" s="8">
        <f>OrderLines[[#This Row],[LineNetAmount]]-OrderLines[[#This Row],[Food Cost]]</f>
        <v>34.736399999999996</v>
      </c>
    </row>
    <row r="352" spans="1:17" x14ac:dyDescent="0.3">
      <c r="A352" t="s">
        <v>177</v>
      </c>
      <c r="B352" t="s">
        <v>404</v>
      </c>
      <c r="C352">
        <v>1</v>
      </c>
      <c r="D352" cm="1">
        <f t="array" ref="D352">VLOOKUP(OrderLines[[#This Row],[SKU]:[SKU]],Menu[],MATCH(OrderLines[[#Headers],[UnitPrice]],Menu[#Headers],0),FALSE)</f>
        <v>32.979999999999997</v>
      </c>
      <c r="E352" cm="1">
        <f t="array" ref="E352">VLOOKUP(OrderLines[[#This Row],[SKU]:[SKU]],Menu[],MATCH(OrderLines[[#Headers],[UnitCost]],Menu[#Headers],0),FALSE)</f>
        <v>11.84</v>
      </c>
      <c r="F352" t="str" cm="1">
        <f t="array" ref="F352">VLOOKUP(OrderLines[[#This Row],[SKU]:[SKU]],Menu[],MATCH(OrderLines[[#Headers],[Category]],Menu[#Headers],0),FALSE)</f>
        <v>Beverage</v>
      </c>
      <c r="G352" t="str" cm="1">
        <f t="array" ref="G352">_xlfn.TEXTJOIN("+",TRUE,_xlfn._xlws.SORT(_xlfn.UNIQUE(_xlfn._xlws.FILTER(OrderLines[Category],OrderLines[OrderID]=OrderLines[[#This Row],[OrderID]]))))</f>
        <v>Beverage+Snack</v>
      </c>
      <c r="H352" s="2" cm="1">
        <f t="array" ref="H352">INT(VLOOKUP(OrderLines[[#This Row],[OrderID]:[OrderID]],Orders[],MATCH(OrderLines[[#Headers],[OrderDateTime]],Orders[#Headers],0),FALSE))</f>
        <v>45867</v>
      </c>
      <c r="I352" t="str" cm="1">
        <f t="array" ref="I352">VLOOKUP(OrderLines[[#This Row],[OrderID]:[OrderID]],Orders[],MATCH(OrderLines[[#Headers],[Branch]],Orders[#Headers],0),FALSE)</f>
        <v>Plant 1 Canteen</v>
      </c>
      <c r="J352" cm="1">
        <f t="array" ref="J352">VLOOKUP(OrderLines[[#This Row],[OrderID]:[OrderID]],Orders[],MATCH(OrderLines[[#Headers],[DiscountPct]],Orders[#Headers],0),FALSE)</f>
        <v>0.03</v>
      </c>
      <c r="K352" t="str" cm="1">
        <f t="array" ref="K352">VLOOKUP(OrderLines[[#This Row],[OrderID]:[OrderID]],Orders[],MATCH(OrderLines[[#Headers],[PaymentType]],Orders[#Headers],0),FALSE)</f>
        <v>Card</v>
      </c>
      <c r="L352" t="str" cm="1">
        <f t="array" ref="L352">VLOOKUP(OrderLines[[#This Row],[OrderID]:[OrderID]],Orders[],MATCH(OrderLines[[#Headers],[Shift]],Orders[#Headers],0),FALSE)</f>
        <v>Lunch</v>
      </c>
      <c r="M352" s="8">
        <f>(OrderLines[[#This Row],[Qty]]*OrderLines[[#This Row],[UnitPrice]])*(1-OrderLines[[#This Row],[DiscountPct]])</f>
        <v>31.990599999999997</v>
      </c>
      <c r="N352" t="str">
        <f>IF(AND(COUNTIFS(OrderLines[OrderID],OrderLines[[#This Row],[OrderID]],OrderLines[Category],"Hot Meal"),COUNTIFS(OrderLines[OrderID],OrderLines[[#This Row],[OrderID]],OrderLines[Category],"Beverage")),"Combo","Single")</f>
        <v>Single</v>
      </c>
      <c r="O352" s="8" t="str" cm="1">
        <f t="array" ref="O352">IF(SUMPRODUCT(OrderLines[UnitPrice],OrderLines[Qty],OrderLines[DiscountPct],--(OrderLines[OrderID] = OrderLines[[#This Row],[OrderID]]))&gt;40,"High Discount","Ok")</f>
        <v>Ok</v>
      </c>
      <c r="P352">
        <f>OrderLines[[#This Row],[UnitCost]]*OrderLines[[#This Row],[Qty]]</f>
        <v>11.84</v>
      </c>
      <c r="Q352" s="8">
        <f>OrderLines[[#This Row],[LineNetAmount]]-OrderLines[[#This Row],[Food Cost]]</f>
        <v>20.150599999999997</v>
      </c>
    </row>
    <row r="353" spans="1:17" x14ac:dyDescent="0.3">
      <c r="A353" t="s">
        <v>177</v>
      </c>
      <c r="B353" t="s">
        <v>402</v>
      </c>
      <c r="C353">
        <v>2</v>
      </c>
      <c r="D353" cm="1">
        <f t="array" ref="D353">VLOOKUP(OrderLines[[#This Row],[SKU]:[SKU]],Menu[],MATCH(OrderLines[[#Headers],[UnitPrice]],Menu[#Headers],0),FALSE)</f>
        <v>30.34</v>
      </c>
      <c r="E353" cm="1">
        <f t="array" ref="E353">VLOOKUP(OrderLines[[#This Row],[SKU]:[SKU]],Menu[],MATCH(OrderLines[[#Headers],[UnitCost]],Menu[#Headers],0),FALSE)</f>
        <v>14.18</v>
      </c>
      <c r="F353" t="str" cm="1">
        <f t="array" ref="F353">VLOOKUP(OrderLines[[#This Row],[SKU]:[SKU]],Menu[],MATCH(OrderLines[[#Headers],[Category]],Menu[#Headers],0),FALSE)</f>
        <v>Beverage</v>
      </c>
      <c r="G353" t="str" cm="1">
        <f t="array" ref="G353">_xlfn.TEXTJOIN("+",TRUE,_xlfn._xlws.SORT(_xlfn.UNIQUE(_xlfn._xlws.FILTER(OrderLines[Category],OrderLines[OrderID]=OrderLines[[#This Row],[OrderID]]))))</f>
        <v>Beverage+Snack</v>
      </c>
      <c r="H353" s="2" cm="1">
        <f t="array" ref="H353">INT(VLOOKUP(OrderLines[[#This Row],[OrderID]:[OrderID]],Orders[],MATCH(OrderLines[[#Headers],[OrderDateTime]],Orders[#Headers],0),FALSE))</f>
        <v>45867</v>
      </c>
      <c r="I353" t="str" cm="1">
        <f t="array" ref="I353">VLOOKUP(OrderLines[[#This Row],[OrderID]:[OrderID]],Orders[],MATCH(OrderLines[[#Headers],[Branch]],Orders[#Headers],0),FALSE)</f>
        <v>Plant 1 Canteen</v>
      </c>
      <c r="J353" cm="1">
        <f t="array" ref="J353">VLOOKUP(OrderLines[[#This Row],[OrderID]:[OrderID]],Orders[],MATCH(OrderLines[[#Headers],[DiscountPct]],Orders[#Headers],0),FALSE)</f>
        <v>0.03</v>
      </c>
      <c r="K353" t="str" cm="1">
        <f t="array" ref="K353">VLOOKUP(OrderLines[[#This Row],[OrderID]:[OrderID]],Orders[],MATCH(OrderLines[[#Headers],[PaymentType]],Orders[#Headers],0),FALSE)</f>
        <v>Card</v>
      </c>
      <c r="L353" t="str" cm="1">
        <f t="array" ref="L353">VLOOKUP(OrderLines[[#This Row],[OrderID]:[OrderID]],Orders[],MATCH(OrderLines[[#Headers],[Shift]],Orders[#Headers],0),FALSE)</f>
        <v>Lunch</v>
      </c>
      <c r="M353" s="8">
        <f>(OrderLines[[#This Row],[Qty]]*OrderLines[[#This Row],[UnitPrice]])*(1-OrderLines[[#This Row],[DiscountPct]])</f>
        <v>58.8596</v>
      </c>
      <c r="N353" t="str">
        <f>IF(AND(COUNTIFS(OrderLines[OrderID],OrderLines[[#This Row],[OrderID]],OrderLines[Category],"Hot Meal"),COUNTIFS(OrderLines[OrderID],OrderLines[[#This Row],[OrderID]],OrderLines[Category],"Beverage")),"Combo","Single")</f>
        <v>Single</v>
      </c>
      <c r="O353" s="8" t="str" cm="1">
        <f t="array" ref="O353">IF(SUMPRODUCT(OrderLines[UnitPrice],OrderLines[Qty],OrderLines[DiscountPct],--(OrderLines[OrderID] = OrderLines[[#This Row],[OrderID]]))&gt;40,"High Discount","Ok")</f>
        <v>Ok</v>
      </c>
      <c r="P353">
        <f>OrderLines[[#This Row],[UnitCost]]*OrderLines[[#This Row],[Qty]]</f>
        <v>28.36</v>
      </c>
      <c r="Q353" s="8">
        <f>OrderLines[[#This Row],[LineNetAmount]]-OrderLines[[#This Row],[Food Cost]]</f>
        <v>30.499600000000001</v>
      </c>
    </row>
    <row r="354" spans="1:17" x14ac:dyDescent="0.3">
      <c r="A354" t="s">
        <v>178</v>
      </c>
      <c r="B354" t="s">
        <v>401</v>
      </c>
      <c r="C354">
        <v>1</v>
      </c>
      <c r="D354" cm="1">
        <f t="array" ref="D354">VLOOKUP(OrderLines[[#This Row],[SKU]:[SKU]],Menu[],MATCH(OrderLines[[#Headers],[UnitPrice]],Menu[#Headers],0),FALSE)</f>
        <v>52.45</v>
      </c>
      <c r="E354" cm="1">
        <f t="array" ref="E354">VLOOKUP(OrderLines[[#This Row],[SKU]:[SKU]],Menu[],MATCH(OrderLines[[#Headers],[UnitCost]],Menu[#Headers],0),FALSE)</f>
        <v>25.8</v>
      </c>
      <c r="F354" t="str" cm="1">
        <f t="array" ref="F354">VLOOKUP(OrderLines[[#This Row],[SKU]:[SKU]],Menu[],MATCH(OrderLines[[#Headers],[Category]],Menu[#Headers],0),FALSE)</f>
        <v>Snack</v>
      </c>
      <c r="G354" t="str" cm="1">
        <f t="array" ref="G354">_xlfn.TEXTJOIN("+",TRUE,_xlfn._xlws.SORT(_xlfn.UNIQUE(_xlfn._xlws.FILTER(OrderLines[Category],OrderLines[OrderID]=OrderLines[[#This Row],[OrderID]]))))</f>
        <v>Beverage+Snack</v>
      </c>
      <c r="H354" s="2" cm="1">
        <f t="array" ref="H354">INT(VLOOKUP(OrderLines[[#This Row],[OrderID]:[OrderID]],Orders[],MATCH(OrderLines[[#Headers],[OrderDateTime]],Orders[#Headers],0),FALSE))</f>
        <v>45883</v>
      </c>
      <c r="I354" t="str" cm="1">
        <f t="array" ref="I354">VLOOKUP(OrderLines[[#This Row],[OrderID]:[OrderID]],Orders[],MATCH(OrderLines[[#Headers],[Branch]],Orders[#Headers],0),FALSE)</f>
        <v>Plant 1 Canteen</v>
      </c>
      <c r="J354" cm="1">
        <f t="array" ref="J354">VLOOKUP(OrderLines[[#This Row],[OrderID]:[OrderID]],Orders[],MATCH(OrderLines[[#Headers],[DiscountPct]],Orders[#Headers],0),FALSE)</f>
        <v>0.02</v>
      </c>
      <c r="K354" t="str" cm="1">
        <f t="array" ref="K354">VLOOKUP(OrderLines[[#This Row],[OrderID]:[OrderID]],Orders[],MATCH(OrderLines[[#Headers],[PaymentType]],Orders[#Headers],0),FALSE)</f>
        <v>Cash</v>
      </c>
      <c r="L354" t="str" cm="1">
        <f t="array" ref="L354">VLOOKUP(OrderLines[[#This Row],[OrderID]:[OrderID]],Orders[],MATCH(OrderLines[[#Headers],[Shift]],Orders[#Headers],0),FALSE)</f>
        <v>Breakfast</v>
      </c>
      <c r="M354" s="8">
        <f>(OrderLines[[#This Row],[Qty]]*OrderLines[[#This Row],[UnitPrice]])*(1-OrderLines[[#This Row],[DiscountPct]])</f>
        <v>51.401000000000003</v>
      </c>
      <c r="N354" t="str">
        <f>IF(AND(COUNTIFS(OrderLines[OrderID],OrderLines[[#This Row],[OrderID]],OrderLines[Category],"Hot Meal"),COUNTIFS(OrderLines[OrderID],OrderLines[[#This Row],[OrderID]],OrderLines[Category],"Beverage")),"Combo","Single")</f>
        <v>Single</v>
      </c>
      <c r="O354" s="8" t="str" cm="1">
        <f t="array" ref="O354">IF(SUMPRODUCT(OrderLines[UnitPrice],OrderLines[Qty],OrderLines[DiscountPct],--(OrderLines[OrderID] = OrderLines[[#This Row],[OrderID]]))&gt;40,"High Discount","Ok")</f>
        <v>Ok</v>
      </c>
      <c r="P354">
        <f>OrderLines[[#This Row],[UnitCost]]*OrderLines[[#This Row],[Qty]]</f>
        <v>25.8</v>
      </c>
      <c r="Q354" s="8">
        <f>OrderLines[[#This Row],[LineNetAmount]]-OrderLines[[#This Row],[Food Cost]]</f>
        <v>25.601000000000003</v>
      </c>
    </row>
    <row r="355" spans="1:17" x14ac:dyDescent="0.3">
      <c r="A355" t="s">
        <v>178</v>
      </c>
      <c r="B355" t="s">
        <v>409</v>
      </c>
      <c r="C355">
        <v>1</v>
      </c>
      <c r="D355" cm="1">
        <f t="array" ref="D355">VLOOKUP(OrderLines[[#This Row],[SKU]:[SKU]],Menu[],MATCH(OrderLines[[#Headers],[UnitPrice]],Menu[#Headers],0),FALSE)</f>
        <v>28.43</v>
      </c>
      <c r="E355" cm="1">
        <f t="array" ref="E355">VLOOKUP(OrderLines[[#This Row],[SKU]:[SKU]],Menu[],MATCH(OrderLines[[#Headers],[UnitCost]],Menu[#Headers],0),FALSE)</f>
        <v>13.89</v>
      </c>
      <c r="F355" t="str" cm="1">
        <f t="array" ref="F355">VLOOKUP(OrderLines[[#This Row],[SKU]:[SKU]],Menu[],MATCH(OrderLines[[#Headers],[Category]],Menu[#Headers],0),FALSE)</f>
        <v>Beverage</v>
      </c>
      <c r="G355" t="str" cm="1">
        <f t="array" ref="G355">_xlfn.TEXTJOIN("+",TRUE,_xlfn._xlws.SORT(_xlfn.UNIQUE(_xlfn._xlws.FILTER(OrderLines[Category],OrderLines[OrderID]=OrderLines[[#This Row],[OrderID]]))))</f>
        <v>Beverage+Snack</v>
      </c>
      <c r="H355" s="2" cm="1">
        <f t="array" ref="H355">INT(VLOOKUP(OrderLines[[#This Row],[OrderID]:[OrderID]],Orders[],MATCH(OrderLines[[#Headers],[OrderDateTime]],Orders[#Headers],0),FALSE))</f>
        <v>45883</v>
      </c>
      <c r="I355" t="str" cm="1">
        <f t="array" ref="I355">VLOOKUP(OrderLines[[#This Row],[OrderID]:[OrderID]],Orders[],MATCH(OrderLines[[#Headers],[Branch]],Orders[#Headers],0),FALSE)</f>
        <v>Plant 1 Canteen</v>
      </c>
      <c r="J355" cm="1">
        <f t="array" ref="J355">VLOOKUP(OrderLines[[#This Row],[OrderID]:[OrderID]],Orders[],MATCH(OrderLines[[#Headers],[DiscountPct]],Orders[#Headers],0),FALSE)</f>
        <v>0.02</v>
      </c>
      <c r="K355" t="str" cm="1">
        <f t="array" ref="K355">VLOOKUP(OrderLines[[#This Row],[OrderID]:[OrderID]],Orders[],MATCH(OrderLines[[#Headers],[PaymentType]],Orders[#Headers],0),FALSE)</f>
        <v>Cash</v>
      </c>
      <c r="L355" t="str" cm="1">
        <f t="array" ref="L355">VLOOKUP(OrderLines[[#This Row],[OrderID]:[OrderID]],Orders[],MATCH(OrderLines[[#Headers],[Shift]],Orders[#Headers],0),FALSE)</f>
        <v>Breakfast</v>
      </c>
      <c r="M355" s="8">
        <f>(OrderLines[[#This Row],[Qty]]*OrderLines[[#This Row],[UnitPrice]])*(1-OrderLines[[#This Row],[DiscountPct]])</f>
        <v>27.8614</v>
      </c>
      <c r="N355" t="str">
        <f>IF(AND(COUNTIFS(OrderLines[OrderID],OrderLines[[#This Row],[OrderID]],OrderLines[Category],"Hot Meal"),COUNTIFS(OrderLines[OrderID],OrderLines[[#This Row],[OrderID]],OrderLines[Category],"Beverage")),"Combo","Single")</f>
        <v>Single</v>
      </c>
      <c r="O355" s="8" t="str" cm="1">
        <f t="array" ref="O355">IF(SUMPRODUCT(OrderLines[UnitPrice],OrderLines[Qty],OrderLines[DiscountPct],--(OrderLines[OrderID] = OrderLines[[#This Row],[OrderID]]))&gt;40,"High Discount","Ok")</f>
        <v>Ok</v>
      </c>
      <c r="P355">
        <f>OrderLines[[#This Row],[UnitCost]]*OrderLines[[#This Row],[Qty]]</f>
        <v>13.89</v>
      </c>
      <c r="Q355" s="8">
        <f>OrderLines[[#This Row],[LineNetAmount]]-OrderLines[[#This Row],[Food Cost]]</f>
        <v>13.971399999999999</v>
      </c>
    </row>
    <row r="356" spans="1:17" x14ac:dyDescent="0.3">
      <c r="A356" t="s">
        <v>179</v>
      </c>
      <c r="B356" t="s">
        <v>409</v>
      </c>
      <c r="C356">
        <v>1</v>
      </c>
      <c r="D356" cm="1">
        <f t="array" ref="D356">VLOOKUP(OrderLines[[#This Row],[SKU]:[SKU]],Menu[],MATCH(OrderLines[[#Headers],[UnitPrice]],Menu[#Headers],0),FALSE)</f>
        <v>28.43</v>
      </c>
      <c r="E356" cm="1">
        <f t="array" ref="E356">VLOOKUP(OrderLines[[#This Row],[SKU]:[SKU]],Menu[],MATCH(OrderLines[[#Headers],[UnitCost]],Menu[#Headers],0),FALSE)</f>
        <v>13.89</v>
      </c>
      <c r="F356" t="str" cm="1">
        <f t="array" ref="F356">VLOOKUP(OrderLines[[#This Row],[SKU]:[SKU]],Menu[],MATCH(OrderLines[[#Headers],[Category]],Menu[#Headers],0),FALSE)</f>
        <v>Beverage</v>
      </c>
      <c r="G356" t="str" cm="1">
        <f t="array" ref="G356">_xlfn.TEXTJOIN("+",TRUE,_xlfn._xlws.SORT(_xlfn.UNIQUE(_xlfn._xlws.FILTER(OrderLines[Category],OrderLines[OrderID]=OrderLines[[#This Row],[OrderID]]))))</f>
        <v>Beverage+Snack</v>
      </c>
      <c r="H356" s="2" cm="1">
        <f t="array" ref="H356">INT(VLOOKUP(OrderLines[[#This Row],[OrderID]:[OrderID]],Orders[],MATCH(OrderLines[[#Headers],[OrderDateTime]],Orders[#Headers],0),FALSE))</f>
        <v>45896</v>
      </c>
      <c r="I356" t="str" cm="1">
        <f t="array" ref="I356">VLOOKUP(OrderLines[[#This Row],[OrderID]:[OrderID]],Orders[],MATCH(OrderLines[[#Headers],[Branch]],Orders[#Headers],0),FALSE)</f>
        <v>Head Office Café</v>
      </c>
      <c r="J356" cm="1">
        <f t="array" ref="J356">VLOOKUP(OrderLines[[#This Row],[OrderID]:[OrderID]],Orders[],MATCH(OrderLines[[#Headers],[DiscountPct]],Orders[#Headers],0),FALSE)</f>
        <v>0.08</v>
      </c>
      <c r="K356" t="str" cm="1">
        <f t="array" ref="K356">VLOOKUP(OrderLines[[#This Row],[OrderID]:[OrderID]],Orders[],MATCH(OrderLines[[#Headers],[PaymentType]],Orders[#Headers],0),FALSE)</f>
        <v>Card</v>
      </c>
      <c r="L356" t="str" cm="1">
        <f t="array" ref="L356">VLOOKUP(OrderLines[[#This Row],[OrderID]:[OrderID]],Orders[],MATCH(OrderLines[[#Headers],[Shift]],Orders[#Headers],0),FALSE)</f>
        <v>Lunch</v>
      </c>
      <c r="M356" s="8">
        <f>(OrderLines[[#This Row],[Qty]]*OrderLines[[#This Row],[UnitPrice]])*(1-OrderLines[[#This Row],[DiscountPct]])</f>
        <v>26.1556</v>
      </c>
      <c r="N356" t="str">
        <f>IF(AND(COUNTIFS(OrderLines[OrderID],OrderLines[[#This Row],[OrderID]],OrderLines[Category],"Hot Meal"),COUNTIFS(OrderLines[OrderID],OrderLines[[#This Row],[OrderID]],OrderLines[Category],"Beverage")),"Combo","Single")</f>
        <v>Single</v>
      </c>
      <c r="O356" s="8" t="str" cm="1">
        <f t="array" ref="O356">IF(SUMPRODUCT(OrderLines[UnitPrice],OrderLines[Qty],OrderLines[DiscountPct],--(OrderLines[OrderID] = OrderLines[[#This Row],[OrderID]]))&gt;40,"High Discount","Ok")</f>
        <v>Ok</v>
      </c>
      <c r="P356">
        <f>OrderLines[[#This Row],[UnitCost]]*OrderLines[[#This Row],[Qty]]</f>
        <v>13.89</v>
      </c>
      <c r="Q356" s="8">
        <f>OrderLines[[#This Row],[LineNetAmount]]-OrderLines[[#This Row],[Food Cost]]</f>
        <v>12.265599999999999</v>
      </c>
    </row>
    <row r="357" spans="1:17" x14ac:dyDescent="0.3">
      <c r="A357" t="s">
        <v>179</v>
      </c>
      <c r="B357" t="s">
        <v>419</v>
      </c>
      <c r="C357">
        <v>3</v>
      </c>
      <c r="D357" cm="1">
        <f t="array" ref="D357">VLOOKUP(OrderLines[[#This Row],[SKU]:[SKU]],Menu[],MATCH(OrderLines[[#Headers],[UnitPrice]],Menu[#Headers],0),FALSE)</f>
        <v>50.19</v>
      </c>
      <c r="E357" cm="1">
        <f t="array" ref="E357">VLOOKUP(OrderLines[[#This Row],[SKU]:[SKU]],Menu[],MATCH(OrderLines[[#Headers],[UnitCost]],Menu[#Headers],0),FALSE)</f>
        <v>22.61</v>
      </c>
      <c r="F357" t="str" cm="1">
        <f t="array" ref="F357">VLOOKUP(OrderLines[[#This Row],[SKU]:[SKU]],Menu[],MATCH(OrderLines[[#Headers],[Category]],Menu[#Headers],0),FALSE)</f>
        <v>Snack</v>
      </c>
      <c r="G357" t="str" cm="1">
        <f t="array" ref="G357">_xlfn.TEXTJOIN("+",TRUE,_xlfn._xlws.SORT(_xlfn.UNIQUE(_xlfn._xlws.FILTER(OrderLines[Category],OrderLines[OrderID]=OrderLines[[#This Row],[OrderID]]))))</f>
        <v>Beverage+Snack</v>
      </c>
      <c r="H357" s="2" cm="1">
        <f t="array" ref="H357">INT(VLOOKUP(OrderLines[[#This Row],[OrderID]:[OrderID]],Orders[],MATCH(OrderLines[[#Headers],[OrderDateTime]],Orders[#Headers],0),FALSE))</f>
        <v>45896</v>
      </c>
      <c r="I357" t="str" cm="1">
        <f t="array" ref="I357">VLOOKUP(OrderLines[[#This Row],[OrderID]:[OrderID]],Orders[],MATCH(OrderLines[[#Headers],[Branch]],Orders[#Headers],0),FALSE)</f>
        <v>Head Office Café</v>
      </c>
      <c r="J357" cm="1">
        <f t="array" ref="J357">VLOOKUP(OrderLines[[#This Row],[OrderID]:[OrderID]],Orders[],MATCH(OrderLines[[#Headers],[DiscountPct]],Orders[#Headers],0),FALSE)</f>
        <v>0.08</v>
      </c>
      <c r="K357" t="str" cm="1">
        <f t="array" ref="K357">VLOOKUP(OrderLines[[#This Row],[OrderID]:[OrderID]],Orders[],MATCH(OrderLines[[#Headers],[PaymentType]],Orders[#Headers],0),FALSE)</f>
        <v>Card</v>
      </c>
      <c r="L357" t="str" cm="1">
        <f t="array" ref="L357">VLOOKUP(OrderLines[[#This Row],[OrderID]:[OrderID]],Orders[],MATCH(OrderLines[[#Headers],[Shift]],Orders[#Headers],0),FALSE)</f>
        <v>Lunch</v>
      </c>
      <c r="M357" s="8">
        <f>(OrderLines[[#This Row],[Qty]]*OrderLines[[#This Row],[UnitPrice]])*(1-OrderLines[[#This Row],[DiscountPct]])</f>
        <v>138.52439999999999</v>
      </c>
      <c r="N357" t="str">
        <f>IF(AND(COUNTIFS(OrderLines[OrderID],OrderLines[[#This Row],[OrderID]],OrderLines[Category],"Hot Meal"),COUNTIFS(OrderLines[OrderID],OrderLines[[#This Row],[OrderID]],OrderLines[Category],"Beverage")),"Combo","Single")</f>
        <v>Single</v>
      </c>
      <c r="O357" s="8" t="str" cm="1">
        <f t="array" ref="O357">IF(SUMPRODUCT(OrderLines[UnitPrice],OrderLines[Qty],OrderLines[DiscountPct],--(OrderLines[OrderID] = OrderLines[[#This Row],[OrderID]]))&gt;40,"High Discount","Ok")</f>
        <v>Ok</v>
      </c>
      <c r="P357">
        <f>OrderLines[[#This Row],[UnitCost]]*OrderLines[[#This Row],[Qty]]</f>
        <v>67.83</v>
      </c>
      <c r="Q357" s="8">
        <f>OrderLines[[#This Row],[LineNetAmount]]-OrderLines[[#This Row],[Food Cost]]</f>
        <v>70.694399999999987</v>
      </c>
    </row>
    <row r="358" spans="1:17" x14ac:dyDescent="0.3">
      <c r="A358" t="s">
        <v>180</v>
      </c>
      <c r="B358" t="s">
        <v>410</v>
      </c>
      <c r="C358">
        <v>2</v>
      </c>
      <c r="D358" cm="1">
        <f t="array" ref="D358">VLOOKUP(OrderLines[[#This Row],[SKU]:[SKU]],Menu[],MATCH(OrderLines[[#Headers],[UnitPrice]],Menu[#Headers],0),FALSE)</f>
        <v>20.11</v>
      </c>
      <c r="E358" cm="1">
        <f t="array" ref="E358">VLOOKUP(OrderLines[[#This Row],[SKU]:[SKU]],Menu[],MATCH(OrderLines[[#Headers],[UnitCost]],Menu[#Headers],0),FALSE)</f>
        <v>8</v>
      </c>
      <c r="F358" t="str" cm="1">
        <f t="array" ref="F358">VLOOKUP(OrderLines[[#This Row],[SKU]:[SKU]],Menu[],MATCH(OrderLines[[#Headers],[Category]],Menu[#Headers],0),FALSE)</f>
        <v>Beverage</v>
      </c>
      <c r="G358" t="str" cm="1">
        <f t="array" ref="G358">_xlfn.TEXTJOIN("+",TRUE,_xlfn._xlws.SORT(_xlfn.UNIQUE(_xlfn._xlws.FILTER(OrderLines[Category],OrderLines[OrderID]=OrderLines[[#This Row],[OrderID]]))))</f>
        <v>Beverage</v>
      </c>
      <c r="H358" s="2" cm="1">
        <f t="array" ref="H358">INT(VLOOKUP(OrderLines[[#This Row],[OrderID]:[OrderID]],Orders[],MATCH(OrderLines[[#Headers],[OrderDateTime]],Orders[#Headers],0),FALSE))</f>
        <v>45892</v>
      </c>
      <c r="I358" t="str" cm="1">
        <f t="array" ref="I358">VLOOKUP(OrderLines[[#This Row],[OrderID]:[OrderID]],Orders[],MATCH(OrderLines[[#Headers],[Branch]],Orders[#Headers],0),FALSE)</f>
        <v>Plant 1 Canteen</v>
      </c>
      <c r="J358" cm="1">
        <f t="array" ref="J358">VLOOKUP(OrderLines[[#This Row],[OrderID]:[OrderID]],Orders[],MATCH(OrderLines[[#Headers],[DiscountPct]],Orders[#Headers],0),FALSE)</f>
        <v>0.05</v>
      </c>
      <c r="K358" t="str" cm="1">
        <f t="array" ref="K358">VLOOKUP(OrderLines[[#This Row],[OrderID]:[OrderID]],Orders[],MATCH(OrderLines[[#Headers],[PaymentType]],Orders[#Headers],0),FALSE)</f>
        <v>Cash</v>
      </c>
      <c r="L358" t="str" cm="1">
        <f t="array" ref="L358">VLOOKUP(OrderLines[[#This Row],[OrderID]:[OrderID]],Orders[],MATCH(OrderLines[[#Headers],[Shift]],Orders[#Headers],0),FALSE)</f>
        <v>Breakfast</v>
      </c>
      <c r="M358" s="8">
        <f>(OrderLines[[#This Row],[Qty]]*OrderLines[[#This Row],[UnitPrice]])*(1-OrderLines[[#This Row],[DiscountPct]])</f>
        <v>38.208999999999996</v>
      </c>
      <c r="N358" t="str">
        <f>IF(AND(COUNTIFS(OrderLines[OrderID],OrderLines[[#This Row],[OrderID]],OrderLines[Category],"Hot Meal"),COUNTIFS(OrderLines[OrderID],OrderLines[[#This Row],[OrderID]],OrderLines[Category],"Beverage")),"Combo","Single")</f>
        <v>Single</v>
      </c>
      <c r="O358" s="8" t="str" cm="1">
        <f t="array" ref="O358">IF(SUMPRODUCT(OrderLines[UnitPrice],OrderLines[Qty],OrderLines[DiscountPct],--(OrderLines[OrderID] = OrderLines[[#This Row],[OrderID]]))&gt;40,"High Discount","Ok")</f>
        <v>Ok</v>
      </c>
      <c r="P358">
        <f>OrderLines[[#This Row],[UnitCost]]*OrderLines[[#This Row],[Qty]]</f>
        <v>16</v>
      </c>
      <c r="Q358" s="8">
        <f>OrderLines[[#This Row],[LineNetAmount]]-OrderLines[[#This Row],[Food Cost]]</f>
        <v>22.208999999999996</v>
      </c>
    </row>
    <row r="359" spans="1:17" x14ac:dyDescent="0.3">
      <c r="A359" t="s">
        <v>181</v>
      </c>
      <c r="B359" t="s">
        <v>401</v>
      </c>
      <c r="C359">
        <v>1</v>
      </c>
      <c r="D359" cm="1">
        <f t="array" ref="D359">VLOOKUP(OrderLines[[#This Row],[SKU]:[SKU]],Menu[],MATCH(OrderLines[[#Headers],[UnitPrice]],Menu[#Headers],0),FALSE)</f>
        <v>52.45</v>
      </c>
      <c r="E359" cm="1">
        <f t="array" ref="E359">VLOOKUP(OrderLines[[#This Row],[SKU]:[SKU]],Menu[],MATCH(OrderLines[[#Headers],[UnitCost]],Menu[#Headers],0),FALSE)</f>
        <v>25.8</v>
      </c>
      <c r="F359" t="str" cm="1">
        <f t="array" ref="F359">VLOOKUP(OrderLines[[#This Row],[SKU]:[SKU]],Menu[],MATCH(OrderLines[[#Headers],[Category]],Menu[#Headers],0),FALSE)</f>
        <v>Snack</v>
      </c>
      <c r="G359" t="str" cm="1">
        <f t="array" ref="G359">_xlfn.TEXTJOIN("+",TRUE,_xlfn._xlws.SORT(_xlfn.UNIQUE(_xlfn._xlws.FILTER(OrderLines[Category],OrderLines[OrderID]=OrderLines[[#This Row],[OrderID]]))))</f>
        <v>Snack</v>
      </c>
      <c r="H359" s="2" cm="1">
        <f t="array" ref="H359">INT(VLOOKUP(OrderLines[[#This Row],[OrderID]:[OrderID]],Orders[],MATCH(OrderLines[[#Headers],[OrderDateTime]],Orders[#Headers],0),FALSE))</f>
        <v>45853</v>
      </c>
      <c r="I359" t="str" cm="1">
        <f t="array" ref="I359">VLOOKUP(OrderLines[[#This Row],[OrderID]:[OrderID]],Orders[],MATCH(OrderLines[[#Headers],[Branch]],Orders[#Headers],0),FALSE)</f>
        <v>Plant 1 Canteen</v>
      </c>
      <c r="J359" cm="1">
        <f t="array" ref="J359">VLOOKUP(OrderLines[[#This Row],[OrderID]:[OrderID]],Orders[],MATCH(OrderLines[[#Headers],[DiscountPct]],Orders[#Headers],0),FALSE)</f>
        <v>0.09</v>
      </c>
      <c r="K359" t="str" cm="1">
        <f t="array" ref="K359">VLOOKUP(OrderLines[[#This Row],[OrderID]:[OrderID]],Orders[],MATCH(OrderLines[[#Headers],[PaymentType]],Orders[#Headers],0),FALSE)</f>
        <v>Cash</v>
      </c>
      <c r="L359" t="str" cm="1">
        <f t="array" ref="L359">VLOOKUP(OrderLines[[#This Row],[OrderID]:[OrderID]],Orders[],MATCH(OrderLines[[#Headers],[Shift]],Orders[#Headers],0),FALSE)</f>
        <v>Breakfast</v>
      </c>
      <c r="M359" s="8">
        <f>(OrderLines[[#This Row],[Qty]]*OrderLines[[#This Row],[UnitPrice]])*(1-OrderLines[[#This Row],[DiscountPct]])</f>
        <v>47.729500000000002</v>
      </c>
      <c r="N359" t="str">
        <f>IF(AND(COUNTIFS(OrderLines[OrderID],OrderLines[[#This Row],[OrderID]],OrderLines[Category],"Hot Meal"),COUNTIFS(OrderLines[OrderID],OrderLines[[#This Row],[OrderID]],OrderLines[Category],"Beverage")),"Combo","Single")</f>
        <v>Single</v>
      </c>
      <c r="O359" s="8" t="str" cm="1">
        <f t="array" ref="O359">IF(SUMPRODUCT(OrderLines[UnitPrice],OrderLines[Qty],OrderLines[DiscountPct],--(OrderLines[OrderID] = OrderLines[[#This Row],[OrderID]]))&gt;40,"High Discount","Ok")</f>
        <v>Ok</v>
      </c>
      <c r="P359">
        <f>OrderLines[[#This Row],[UnitCost]]*OrderLines[[#This Row],[Qty]]</f>
        <v>25.8</v>
      </c>
      <c r="Q359" s="8">
        <f>OrderLines[[#This Row],[LineNetAmount]]-OrderLines[[#This Row],[Food Cost]]</f>
        <v>21.929500000000001</v>
      </c>
    </row>
    <row r="360" spans="1:17" x14ac:dyDescent="0.3">
      <c r="A360" t="s">
        <v>182</v>
      </c>
      <c r="B360" t="s">
        <v>404</v>
      </c>
      <c r="C360">
        <v>2</v>
      </c>
      <c r="D360" cm="1">
        <f t="array" ref="D360">VLOOKUP(OrderLines[[#This Row],[SKU]:[SKU]],Menu[],MATCH(OrderLines[[#Headers],[UnitPrice]],Menu[#Headers],0),FALSE)</f>
        <v>32.979999999999997</v>
      </c>
      <c r="E360" cm="1">
        <f t="array" ref="E360">VLOOKUP(OrderLines[[#This Row],[SKU]:[SKU]],Menu[],MATCH(OrderLines[[#Headers],[UnitCost]],Menu[#Headers],0),FALSE)</f>
        <v>11.84</v>
      </c>
      <c r="F360" t="str" cm="1">
        <f t="array" ref="F360">VLOOKUP(OrderLines[[#This Row],[SKU]:[SKU]],Menu[],MATCH(OrderLines[[#Headers],[Category]],Menu[#Headers],0),FALSE)</f>
        <v>Beverage</v>
      </c>
      <c r="G360" t="str" cm="1">
        <f t="array" ref="G360">_xlfn.TEXTJOIN("+",TRUE,_xlfn._xlws.SORT(_xlfn.UNIQUE(_xlfn._xlws.FILTER(OrderLines[Category],OrderLines[OrderID]=OrderLines[[#This Row],[OrderID]]))))</f>
        <v>Beverage+Dessert</v>
      </c>
      <c r="H360" s="2" cm="1">
        <f t="array" ref="H360">INT(VLOOKUP(OrderLines[[#This Row],[OrderID]:[OrderID]],Orders[],MATCH(OrderLines[[#Headers],[OrderDateTime]],Orders[#Headers],0),FALSE))</f>
        <v>45897</v>
      </c>
      <c r="I360" t="str" cm="1">
        <f t="array" ref="I360">VLOOKUP(OrderLines[[#This Row],[OrderID]:[OrderID]],Orders[],MATCH(OrderLines[[#Headers],[Branch]],Orders[#Headers],0),FALSE)</f>
        <v>Head Office Café</v>
      </c>
      <c r="J360" cm="1">
        <f t="array" ref="J360">VLOOKUP(OrderLines[[#This Row],[OrderID]:[OrderID]],Orders[],MATCH(OrderLines[[#Headers],[DiscountPct]],Orders[#Headers],0),FALSE)</f>
        <v>0.08</v>
      </c>
      <c r="K360" t="str" cm="1">
        <f t="array" ref="K360">VLOOKUP(OrderLines[[#This Row],[OrderID]:[OrderID]],Orders[],MATCH(OrderLines[[#Headers],[PaymentType]],Orders[#Headers],0),FALSE)</f>
        <v>Card</v>
      </c>
      <c r="L360" t="str" cm="1">
        <f t="array" ref="L360">VLOOKUP(OrderLines[[#This Row],[OrderID]:[OrderID]],Orders[],MATCH(OrderLines[[#Headers],[Shift]],Orders[#Headers],0),FALSE)</f>
        <v>Breakfast</v>
      </c>
      <c r="M360" s="8">
        <f>(OrderLines[[#This Row],[Qty]]*OrderLines[[#This Row],[UnitPrice]])*(1-OrderLines[[#This Row],[DiscountPct]])</f>
        <v>60.683199999999999</v>
      </c>
      <c r="N360" t="str">
        <f>IF(AND(COUNTIFS(OrderLines[OrderID],OrderLines[[#This Row],[OrderID]],OrderLines[Category],"Hot Meal"),COUNTIFS(OrderLines[OrderID],OrderLines[[#This Row],[OrderID]],OrderLines[Category],"Beverage")),"Combo","Single")</f>
        <v>Single</v>
      </c>
      <c r="O360" s="8" t="str" cm="1">
        <f t="array" ref="O360">IF(SUMPRODUCT(OrderLines[UnitPrice],OrderLines[Qty],OrderLines[DiscountPct],--(OrderLines[OrderID] = OrderLines[[#This Row],[OrderID]]))&gt;40,"High Discount","Ok")</f>
        <v>Ok</v>
      </c>
      <c r="P360">
        <f>OrderLines[[#This Row],[UnitCost]]*OrderLines[[#This Row],[Qty]]</f>
        <v>23.68</v>
      </c>
      <c r="Q360" s="8">
        <f>OrderLines[[#This Row],[LineNetAmount]]-OrderLines[[#This Row],[Food Cost]]</f>
        <v>37.0032</v>
      </c>
    </row>
    <row r="361" spans="1:17" x14ac:dyDescent="0.3">
      <c r="A361" t="s">
        <v>182</v>
      </c>
      <c r="B361" t="s">
        <v>412</v>
      </c>
      <c r="C361">
        <v>1</v>
      </c>
      <c r="D361" cm="1">
        <f t="array" ref="D361">VLOOKUP(OrderLines[[#This Row],[SKU]:[SKU]],Menu[],MATCH(OrderLines[[#Headers],[UnitPrice]],Menu[#Headers],0),FALSE)</f>
        <v>57.07</v>
      </c>
      <c r="E361" cm="1">
        <f t="array" ref="E361">VLOOKUP(OrderLines[[#This Row],[SKU]:[SKU]],Menu[],MATCH(OrderLines[[#Headers],[UnitCost]],Menu[#Headers],0),FALSE)</f>
        <v>29.14</v>
      </c>
      <c r="F361" t="str" cm="1">
        <f t="array" ref="F361">VLOOKUP(OrderLines[[#This Row],[SKU]:[SKU]],Menu[],MATCH(OrderLines[[#Headers],[Category]],Menu[#Headers],0),FALSE)</f>
        <v>Dessert</v>
      </c>
      <c r="G361" t="str" cm="1">
        <f t="array" ref="G361">_xlfn.TEXTJOIN("+",TRUE,_xlfn._xlws.SORT(_xlfn.UNIQUE(_xlfn._xlws.FILTER(OrderLines[Category],OrderLines[OrderID]=OrderLines[[#This Row],[OrderID]]))))</f>
        <v>Beverage+Dessert</v>
      </c>
      <c r="H361" s="2" cm="1">
        <f t="array" ref="H361">INT(VLOOKUP(OrderLines[[#This Row],[OrderID]:[OrderID]],Orders[],MATCH(OrderLines[[#Headers],[OrderDateTime]],Orders[#Headers],0),FALSE))</f>
        <v>45897</v>
      </c>
      <c r="I361" t="str" cm="1">
        <f t="array" ref="I361">VLOOKUP(OrderLines[[#This Row],[OrderID]:[OrderID]],Orders[],MATCH(OrderLines[[#Headers],[Branch]],Orders[#Headers],0),FALSE)</f>
        <v>Head Office Café</v>
      </c>
      <c r="J361" cm="1">
        <f t="array" ref="J361">VLOOKUP(OrderLines[[#This Row],[OrderID]:[OrderID]],Orders[],MATCH(OrderLines[[#Headers],[DiscountPct]],Orders[#Headers],0),FALSE)</f>
        <v>0.08</v>
      </c>
      <c r="K361" t="str" cm="1">
        <f t="array" ref="K361">VLOOKUP(OrderLines[[#This Row],[OrderID]:[OrderID]],Orders[],MATCH(OrderLines[[#Headers],[PaymentType]],Orders[#Headers],0),FALSE)</f>
        <v>Card</v>
      </c>
      <c r="L361" t="str" cm="1">
        <f t="array" ref="L361">VLOOKUP(OrderLines[[#This Row],[OrderID]:[OrderID]],Orders[],MATCH(OrderLines[[#Headers],[Shift]],Orders[#Headers],0),FALSE)</f>
        <v>Breakfast</v>
      </c>
      <c r="M361" s="8">
        <f>(OrderLines[[#This Row],[Qty]]*OrderLines[[#This Row],[UnitPrice]])*(1-OrderLines[[#This Row],[DiscountPct]])</f>
        <v>52.504400000000004</v>
      </c>
      <c r="N361" t="str">
        <f>IF(AND(COUNTIFS(OrderLines[OrderID],OrderLines[[#This Row],[OrderID]],OrderLines[Category],"Hot Meal"),COUNTIFS(OrderLines[OrderID],OrderLines[[#This Row],[OrderID]],OrderLines[Category],"Beverage")),"Combo","Single")</f>
        <v>Single</v>
      </c>
      <c r="O361" s="8" t="str" cm="1">
        <f t="array" ref="O361">IF(SUMPRODUCT(OrderLines[UnitPrice],OrderLines[Qty],OrderLines[DiscountPct],--(OrderLines[OrderID] = OrderLines[[#This Row],[OrderID]]))&gt;40,"High Discount","Ok")</f>
        <v>Ok</v>
      </c>
      <c r="P361">
        <f>OrderLines[[#This Row],[UnitCost]]*OrderLines[[#This Row],[Qty]]</f>
        <v>29.14</v>
      </c>
      <c r="Q361" s="8">
        <f>OrderLines[[#This Row],[LineNetAmount]]-OrderLines[[#This Row],[Food Cost]]</f>
        <v>23.364400000000003</v>
      </c>
    </row>
    <row r="362" spans="1:17" x14ac:dyDescent="0.3">
      <c r="A362" t="s">
        <v>182</v>
      </c>
      <c r="B362" t="s">
        <v>414</v>
      </c>
      <c r="C362">
        <v>2</v>
      </c>
      <c r="D362" cm="1">
        <f t="array" ref="D362">VLOOKUP(OrderLines[[#This Row],[SKU]:[SKU]],Menu[],MATCH(OrderLines[[#Headers],[UnitPrice]],Menu[#Headers],0),FALSE)</f>
        <v>116.8</v>
      </c>
      <c r="E362" cm="1">
        <f t="array" ref="E362">VLOOKUP(OrderLines[[#This Row],[SKU]:[SKU]],Menu[],MATCH(OrderLines[[#Headers],[UnitCost]],Menu[#Headers],0),FALSE)</f>
        <v>48.97</v>
      </c>
      <c r="F362" t="str" cm="1">
        <f t="array" ref="F362">VLOOKUP(OrderLines[[#This Row],[SKU]:[SKU]],Menu[],MATCH(OrderLines[[#Headers],[Category]],Menu[#Headers],0),FALSE)</f>
        <v>Dessert</v>
      </c>
      <c r="G362" t="str" cm="1">
        <f t="array" ref="G362">_xlfn.TEXTJOIN("+",TRUE,_xlfn._xlws.SORT(_xlfn.UNIQUE(_xlfn._xlws.FILTER(OrderLines[Category],OrderLines[OrderID]=OrderLines[[#This Row],[OrderID]]))))</f>
        <v>Beverage+Dessert</v>
      </c>
      <c r="H362" s="2" cm="1">
        <f t="array" ref="H362">INT(VLOOKUP(OrderLines[[#This Row],[OrderID]:[OrderID]],Orders[],MATCH(OrderLines[[#Headers],[OrderDateTime]],Orders[#Headers],0),FALSE))</f>
        <v>45897</v>
      </c>
      <c r="I362" t="str" cm="1">
        <f t="array" ref="I362">VLOOKUP(OrderLines[[#This Row],[OrderID]:[OrderID]],Orders[],MATCH(OrderLines[[#Headers],[Branch]],Orders[#Headers],0),FALSE)</f>
        <v>Head Office Café</v>
      </c>
      <c r="J362" cm="1">
        <f t="array" ref="J362">VLOOKUP(OrderLines[[#This Row],[OrderID]:[OrderID]],Orders[],MATCH(OrderLines[[#Headers],[DiscountPct]],Orders[#Headers],0),FALSE)</f>
        <v>0.08</v>
      </c>
      <c r="K362" t="str" cm="1">
        <f t="array" ref="K362">VLOOKUP(OrderLines[[#This Row],[OrderID]:[OrderID]],Orders[],MATCH(OrderLines[[#Headers],[PaymentType]],Orders[#Headers],0),FALSE)</f>
        <v>Card</v>
      </c>
      <c r="L362" t="str" cm="1">
        <f t="array" ref="L362">VLOOKUP(OrderLines[[#This Row],[OrderID]:[OrderID]],Orders[],MATCH(OrderLines[[#Headers],[Shift]],Orders[#Headers],0),FALSE)</f>
        <v>Breakfast</v>
      </c>
      <c r="M362" s="8">
        <f>(OrderLines[[#This Row],[Qty]]*OrderLines[[#This Row],[UnitPrice]])*(1-OrderLines[[#This Row],[DiscountPct]])</f>
        <v>214.91200000000001</v>
      </c>
      <c r="N362" t="str">
        <f>IF(AND(COUNTIFS(OrderLines[OrderID],OrderLines[[#This Row],[OrderID]],OrderLines[Category],"Hot Meal"),COUNTIFS(OrderLines[OrderID],OrderLines[[#This Row],[OrderID]],OrderLines[Category],"Beverage")),"Combo","Single")</f>
        <v>Single</v>
      </c>
      <c r="O362" s="8" t="str" cm="1">
        <f t="array" ref="O362">IF(SUMPRODUCT(OrderLines[UnitPrice],OrderLines[Qty],OrderLines[DiscountPct],--(OrderLines[OrderID] = OrderLines[[#This Row],[OrderID]]))&gt;40,"High Discount","Ok")</f>
        <v>Ok</v>
      </c>
      <c r="P362">
        <f>OrderLines[[#This Row],[UnitCost]]*OrderLines[[#This Row],[Qty]]</f>
        <v>97.94</v>
      </c>
      <c r="Q362" s="8">
        <f>OrderLines[[#This Row],[LineNetAmount]]-OrderLines[[#This Row],[Food Cost]]</f>
        <v>116.97200000000001</v>
      </c>
    </row>
    <row r="363" spans="1:17" x14ac:dyDescent="0.3">
      <c r="A363" t="s">
        <v>183</v>
      </c>
      <c r="B363" t="s">
        <v>415</v>
      </c>
      <c r="C363">
        <v>3</v>
      </c>
      <c r="D363" cm="1">
        <f t="array" ref="D363">VLOOKUP(OrderLines[[#This Row],[SKU]:[SKU]],Menu[],MATCH(OrderLines[[#Headers],[UnitPrice]],Menu[#Headers],0),FALSE)</f>
        <v>256.91000000000003</v>
      </c>
      <c r="E363" cm="1">
        <f t="array" ref="E363">VLOOKUP(OrderLines[[#This Row],[SKU]:[SKU]],Menu[],MATCH(OrderLines[[#Headers],[UnitCost]],Menu[#Headers],0),FALSE)</f>
        <v>121.24</v>
      </c>
      <c r="F363" t="str" cm="1">
        <f t="array" ref="F363">VLOOKUP(OrderLines[[#This Row],[SKU]:[SKU]],Menu[],MATCH(OrderLines[[#Headers],[Category]],Menu[#Headers],0),FALSE)</f>
        <v>Hot Meal</v>
      </c>
      <c r="G363" t="str" cm="1">
        <f t="array" ref="G363">_xlfn.TEXTJOIN("+",TRUE,_xlfn._xlws.SORT(_xlfn.UNIQUE(_xlfn._xlws.FILTER(OrderLines[Category],OrderLines[OrderID]=OrderLines[[#This Row],[OrderID]]))))</f>
        <v>Beverage+Dessert+Hot Meal</v>
      </c>
      <c r="H363" s="2" cm="1">
        <f t="array" ref="H363">INT(VLOOKUP(OrderLines[[#This Row],[OrderID]:[OrderID]],Orders[],MATCH(OrderLines[[#Headers],[OrderDateTime]],Orders[#Headers],0),FALSE))</f>
        <v>45851</v>
      </c>
      <c r="I363" t="str" cm="1">
        <f t="array" ref="I363">VLOOKUP(OrderLines[[#This Row],[OrderID]:[OrderID]],Orders[],MATCH(OrderLines[[#Headers],[Branch]],Orders[#Headers],0),FALSE)</f>
        <v>Plant 2 Canteen</v>
      </c>
      <c r="J363" cm="1">
        <f t="array" ref="J363">VLOOKUP(OrderLines[[#This Row],[OrderID]:[OrderID]],Orders[],MATCH(OrderLines[[#Headers],[DiscountPct]],Orders[#Headers],0),FALSE)</f>
        <v>0.06</v>
      </c>
      <c r="K363" t="str" cm="1">
        <f t="array" ref="K363">VLOOKUP(OrderLines[[#This Row],[OrderID]:[OrderID]],Orders[],MATCH(OrderLines[[#Headers],[PaymentType]],Orders[#Headers],0),FALSE)</f>
        <v>Card</v>
      </c>
      <c r="L363" t="str" cm="1">
        <f t="array" ref="L363">VLOOKUP(OrderLines[[#This Row],[OrderID]:[OrderID]],Orders[],MATCH(OrderLines[[#Headers],[Shift]],Orders[#Headers],0),FALSE)</f>
        <v>Breakfast</v>
      </c>
      <c r="M363" s="8">
        <f>(OrderLines[[#This Row],[Qty]]*OrderLines[[#This Row],[UnitPrice]])*(1-OrderLines[[#This Row],[DiscountPct]])</f>
        <v>724.48619999999994</v>
      </c>
      <c r="N363" t="str">
        <f>IF(AND(COUNTIFS(OrderLines[OrderID],OrderLines[[#This Row],[OrderID]],OrderLines[Category],"Hot Meal"),COUNTIFS(OrderLines[OrderID],OrderLines[[#This Row],[OrderID]],OrderLines[Category],"Beverage")),"Combo","Single")</f>
        <v>Combo</v>
      </c>
      <c r="O363" s="8" t="str" cm="1">
        <f t="array" ref="O363">IF(SUMPRODUCT(OrderLines[UnitPrice],OrderLines[Qty],OrderLines[DiscountPct],--(OrderLines[OrderID] = OrderLines[[#This Row],[OrderID]]))&gt;40,"High Discount","Ok")</f>
        <v>High Discount</v>
      </c>
      <c r="P363">
        <f>OrderLines[[#This Row],[UnitCost]]*OrderLines[[#This Row],[Qty]]</f>
        <v>363.71999999999997</v>
      </c>
      <c r="Q363" s="8">
        <f>OrderLines[[#This Row],[LineNetAmount]]-OrderLines[[#This Row],[Food Cost]]</f>
        <v>360.76619999999997</v>
      </c>
    </row>
    <row r="364" spans="1:17" x14ac:dyDescent="0.3">
      <c r="A364" t="s">
        <v>183</v>
      </c>
      <c r="B364" t="s">
        <v>411</v>
      </c>
      <c r="C364">
        <v>2</v>
      </c>
      <c r="D364" cm="1">
        <f t="array" ref="D364">VLOOKUP(OrderLines[[#This Row],[SKU]:[SKU]],Menu[],MATCH(OrderLines[[#Headers],[UnitPrice]],Menu[#Headers],0),FALSE)</f>
        <v>22.2</v>
      </c>
      <c r="E364" cm="1">
        <f t="array" ref="E364">VLOOKUP(OrderLines[[#This Row],[SKU]:[SKU]],Menu[],MATCH(OrderLines[[#Headers],[UnitCost]],Menu[#Headers],0),FALSE)</f>
        <v>9.3800000000000008</v>
      </c>
      <c r="F364" t="str" cm="1">
        <f t="array" ref="F364">VLOOKUP(OrderLines[[#This Row],[SKU]:[SKU]],Menu[],MATCH(OrderLines[[#Headers],[Category]],Menu[#Headers],0),FALSE)</f>
        <v>Beverage</v>
      </c>
      <c r="G364" t="str" cm="1">
        <f t="array" ref="G364">_xlfn.TEXTJOIN("+",TRUE,_xlfn._xlws.SORT(_xlfn.UNIQUE(_xlfn._xlws.FILTER(OrderLines[Category],OrderLines[OrderID]=OrderLines[[#This Row],[OrderID]]))))</f>
        <v>Beverage+Dessert+Hot Meal</v>
      </c>
      <c r="H364" s="2" cm="1">
        <f t="array" ref="H364">INT(VLOOKUP(OrderLines[[#This Row],[OrderID]:[OrderID]],Orders[],MATCH(OrderLines[[#Headers],[OrderDateTime]],Orders[#Headers],0),FALSE))</f>
        <v>45851</v>
      </c>
      <c r="I364" t="str" cm="1">
        <f t="array" ref="I364">VLOOKUP(OrderLines[[#This Row],[OrderID]:[OrderID]],Orders[],MATCH(OrderLines[[#Headers],[Branch]],Orders[#Headers],0),FALSE)</f>
        <v>Plant 2 Canteen</v>
      </c>
      <c r="J364" cm="1">
        <f t="array" ref="J364">VLOOKUP(OrderLines[[#This Row],[OrderID]:[OrderID]],Orders[],MATCH(OrderLines[[#Headers],[DiscountPct]],Orders[#Headers],0),FALSE)</f>
        <v>0.06</v>
      </c>
      <c r="K364" t="str" cm="1">
        <f t="array" ref="K364">VLOOKUP(OrderLines[[#This Row],[OrderID]:[OrderID]],Orders[],MATCH(OrderLines[[#Headers],[PaymentType]],Orders[#Headers],0),FALSE)</f>
        <v>Card</v>
      </c>
      <c r="L364" t="str" cm="1">
        <f t="array" ref="L364">VLOOKUP(OrderLines[[#This Row],[OrderID]:[OrderID]],Orders[],MATCH(OrderLines[[#Headers],[Shift]],Orders[#Headers],0),FALSE)</f>
        <v>Breakfast</v>
      </c>
      <c r="M364" s="8">
        <f>(OrderLines[[#This Row],[Qty]]*OrderLines[[#This Row],[UnitPrice]])*(1-OrderLines[[#This Row],[DiscountPct]])</f>
        <v>41.735999999999997</v>
      </c>
      <c r="N364" t="str">
        <f>IF(AND(COUNTIFS(OrderLines[OrderID],OrderLines[[#This Row],[OrderID]],OrderLines[Category],"Hot Meal"),COUNTIFS(OrderLines[OrderID],OrderLines[[#This Row],[OrderID]],OrderLines[Category],"Beverage")),"Combo","Single")</f>
        <v>Combo</v>
      </c>
      <c r="O364" s="8" t="str" cm="1">
        <f t="array" ref="O364">IF(SUMPRODUCT(OrderLines[UnitPrice],OrderLines[Qty],OrderLines[DiscountPct],--(OrderLines[OrderID] = OrderLines[[#This Row],[OrderID]]))&gt;40,"High Discount","Ok")</f>
        <v>High Discount</v>
      </c>
      <c r="P364">
        <f>OrderLines[[#This Row],[UnitCost]]*OrderLines[[#This Row],[Qty]]</f>
        <v>18.760000000000002</v>
      </c>
      <c r="Q364" s="8">
        <f>OrderLines[[#This Row],[LineNetAmount]]-OrderLines[[#This Row],[Food Cost]]</f>
        <v>22.975999999999996</v>
      </c>
    </row>
    <row r="365" spans="1:17" x14ac:dyDescent="0.3">
      <c r="A365" t="s">
        <v>183</v>
      </c>
      <c r="B365" t="s">
        <v>414</v>
      </c>
      <c r="C365">
        <v>1</v>
      </c>
      <c r="D365" cm="1">
        <f t="array" ref="D365">VLOOKUP(OrderLines[[#This Row],[SKU]:[SKU]],Menu[],MATCH(OrderLines[[#Headers],[UnitPrice]],Menu[#Headers],0),FALSE)</f>
        <v>116.8</v>
      </c>
      <c r="E365" cm="1">
        <f t="array" ref="E365">VLOOKUP(OrderLines[[#This Row],[SKU]:[SKU]],Menu[],MATCH(OrderLines[[#Headers],[UnitCost]],Menu[#Headers],0),FALSE)</f>
        <v>48.97</v>
      </c>
      <c r="F365" t="str" cm="1">
        <f t="array" ref="F365">VLOOKUP(OrderLines[[#This Row],[SKU]:[SKU]],Menu[],MATCH(OrderLines[[#Headers],[Category]],Menu[#Headers],0),FALSE)</f>
        <v>Dessert</v>
      </c>
      <c r="G365" t="str" cm="1">
        <f t="array" ref="G365">_xlfn.TEXTJOIN("+",TRUE,_xlfn._xlws.SORT(_xlfn.UNIQUE(_xlfn._xlws.FILTER(OrderLines[Category],OrderLines[OrderID]=OrderLines[[#This Row],[OrderID]]))))</f>
        <v>Beverage+Dessert+Hot Meal</v>
      </c>
      <c r="H365" s="2" cm="1">
        <f t="array" ref="H365">INT(VLOOKUP(OrderLines[[#This Row],[OrderID]:[OrderID]],Orders[],MATCH(OrderLines[[#Headers],[OrderDateTime]],Orders[#Headers],0),FALSE))</f>
        <v>45851</v>
      </c>
      <c r="I365" t="str" cm="1">
        <f t="array" ref="I365">VLOOKUP(OrderLines[[#This Row],[OrderID]:[OrderID]],Orders[],MATCH(OrderLines[[#Headers],[Branch]],Orders[#Headers],0),FALSE)</f>
        <v>Plant 2 Canteen</v>
      </c>
      <c r="J365" cm="1">
        <f t="array" ref="J365">VLOOKUP(OrderLines[[#This Row],[OrderID]:[OrderID]],Orders[],MATCH(OrderLines[[#Headers],[DiscountPct]],Orders[#Headers],0),FALSE)</f>
        <v>0.06</v>
      </c>
      <c r="K365" t="str" cm="1">
        <f t="array" ref="K365">VLOOKUP(OrderLines[[#This Row],[OrderID]:[OrderID]],Orders[],MATCH(OrderLines[[#Headers],[PaymentType]],Orders[#Headers],0),FALSE)</f>
        <v>Card</v>
      </c>
      <c r="L365" t="str" cm="1">
        <f t="array" ref="L365">VLOOKUP(OrderLines[[#This Row],[OrderID]:[OrderID]],Orders[],MATCH(OrderLines[[#Headers],[Shift]],Orders[#Headers],0),FALSE)</f>
        <v>Breakfast</v>
      </c>
      <c r="M365" s="8">
        <f>(OrderLines[[#This Row],[Qty]]*OrderLines[[#This Row],[UnitPrice]])*(1-OrderLines[[#This Row],[DiscountPct]])</f>
        <v>109.79199999999999</v>
      </c>
      <c r="N365" t="str">
        <f>IF(AND(COUNTIFS(OrderLines[OrderID],OrderLines[[#This Row],[OrderID]],OrderLines[Category],"Hot Meal"),COUNTIFS(OrderLines[OrderID],OrderLines[[#This Row],[OrderID]],OrderLines[Category],"Beverage")),"Combo","Single")</f>
        <v>Combo</v>
      </c>
      <c r="O365" s="8" t="str" cm="1">
        <f t="array" ref="O365">IF(SUMPRODUCT(OrderLines[UnitPrice],OrderLines[Qty],OrderLines[DiscountPct],--(OrderLines[OrderID] = OrderLines[[#This Row],[OrderID]]))&gt;40,"High Discount","Ok")</f>
        <v>High Discount</v>
      </c>
      <c r="P365">
        <f>OrderLines[[#This Row],[UnitCost]]*OrderLines[[#This Row],[Qty]]</f>
        <v>48.97</v>
      </c>
      <c r="Q365" s="8">
        <f>OrderLines[[#This Row],[LineNetAmount]]-OrderLines[[#This Row],[Food Cost]]</f>
        <v>60.821999999999989</v>
      </c>
    </row>
    <row r="366" spans="1:17" x14ac:dyDescent="0.3">
      <c r="A366" t="s">
        <v>183</v>
      </c>
      <c r="B366" t="s">
        <v>407</v>
      </c>
      <c r="C366">
        <v>3</v>
      </c>
      <c r="D366" cm="1">
        <f t="array" ref="D366">VLOOKUP(OrderLines[[#This Row],[SKU]:[SKU]],Menu[],MATCH(OrderLines[[#Headers],[UnitPrice]],Menu[#Headers],0),FALSE)</f>
        <v>246.09</v>
      </c>
      <c r="E366" cm="1">
        <f t="array" ref="E366">VLOOKUP(OrderLines[[#This Row],[SKU]:[SKU]],Menu[],MATCH(OrderLines[[#Headers],[UnitCost]],Menu[#Headers],0),FALSE)</f>
        <v>112.08</v>
      </c>
      <c r="F366" t="str" cm="1">
        <f t="array" ref="F366">VLOOKUP(OrderLines[[#This Row],[SKU]:[SKU]],Menu[],MATCH(OrderLines[[#Headers],[Category]],Menu[#Headers],0),FALSE)</f>
        <v>Hot Meal</v>
      </c>
      <c r="G366" t="str" cm="1">
        <f t="array" ref="G366">_xlfn.TEXTJOIN("+",TRUE,_xlfn._xlws.SORT(_xlfn.UNIQUE(_xlfn._xlws.FILTER(OrderLines[Category],OrderLines[OrderID]=OrderLines[[#This Row],[OrderID]]))))</f>
        <v>Beverage+Dessert+Hot Meal</v>
      </c>
      <c r="H366" s="2" cm="1">
        <f t="array" ref="H366">INT(VLOOKUP(OrderLines[[#This Row],[OrderID]:[OrderID]],Orders[],MATCH(OrderLines[[#Headers],[OrderDateTime]],Orders[#Headers],0),FALSE))</f>
        <v>45851</v>
      </c>
      <c r="I366" t="str" cm="1">
        <f t="array" ref="I366">VLOOKUP(OrderLines[[#This Row],[OrderID]:[OrderID]],Orders[],MATCH(OrderLines[[#Headers],[Branch]],Orders[#Headers],0),FALSE)</f>
        <v>Plant 2 Canteen</v>
      </c>
      <c r="J366" cm="1">
        <f t="array" ref="J366">VLOOKUP(OrderLines[[#This Row],[OrderID]:[OrderID]],Orders[],MATCH(OrderLines[[#Headers],[DiscountPct]],Orders[#Headers],0),FALSE)</f>
        <v>0.06</v>
      </c>
      <c r="K366" t="str" cm="1">
        <f t="array" ref="K366">VLOOKUP(OrderLines[[#This Row],[OrderID]:[OrderID]],Orders[],MATCH(OrderLines[[#Headers],[PaymentType]],Orders[#Headers],0),FALSE)</f>
        <v>Card</v>
      </c>
      <c r="L366" t="str" cm="1">
        <f t="array" ref="L366">VLOOKUP(OrderLines[[#This Row],[OrderID]:[OrderID]],Orders[],MATCH(OrderLines[[#Headers],[Shift]],Orders[#Headers],0),FALSE)</f>
        <v>Breakfast</v>
      </c>
      <c r="M366" s="8">
        <f>(OrderLines[[#This Row],[Qty]]*OrderLines[[#This Row],[UnitPrice]])*(1-OrderLines[[#This Row],[DiscountPct]])</f>
        <v>693.97379999999998</v>
      </c>
      <c r="N366" t="str">
        <f>IF(AND(COUNTIFS(OrderLines[OrderID],OrderLines[[#This Row],[OrderID]],OrderLines[Category],"Hot Meal"),COUNTIFS(OrderLines[OrderID],OrderLines[[#This Row],[OrderID]],OrderLines[Category],"Beverage")),"Combo","Single")</f>
        <v>Combo</v>
      </c>
      <c r="O366" s="8" t="str" cm="1">
        <f t="array" ref="O366">IF(SUMPRODUCT(OrderLines[UnitPrice],OrderLines[Qty],OrderLines[DiscountPct],--(OrderLines[OrderID] = OrderLines[[#This Row],[OrderID]]))&gt;40,"High Discount","Ok")</f>
        <v>High Discount</v>
      </c>
      <c r="P366">
        <f>OrderLines[[#This Row],[UnitCost]]*OrderLines[[#This Row],[Qty]]</f>
        <v>336.24</v>
      </c>
      <c r="Q366" s="8">
        <f>OrderLines[[#This Row],[LineNetAmount]]-OrderLines[[#This Row],[Food Cost]]</f>
        <v>357.73379999999997</v>
      </c>
    </row>
    <row r="367" spans="1:17" x14ac:dyDescent="0.3">
      <c r="A367" t="s">
        <v>184</v>
      </c>
      <c r="B367" t="s">
        <v>408</v>
      </c>
      <c r="C367">
        <v>1</v>
      </c>
      <c r="D367" cm="1">
        <f t="array" ref="D367">VLOOKUP(OrderLines[[#This Row],[SKU]:[SKU]],Menu[],MATCH(OrderLines[[#Headers],[UnitPrice]],Menu[#Headers],0),FALSE)</f>
        <v>70.540000000000006</v>
      </c>
      <c r="E367" cm="1">
        <f t="array" ref="E367">VLOOKUP(OrderLines[[#This Row],[SKU]:[SKU]],Menu[],MATCH(OrderLines[[#Headers],[UnitCost]],Menu[#Headers],0),FALSE)</f>
        <v>35.81</v>
      </c>
      <c r="F367" t="str" cm="1">
        <f t="array" ref="F367">VLOOKUP(OrderLines[[#This Row],[SKU]:[SKU]],Menu[],MATCH(OrderLines[[#Headers],[Category]],Menu[#Headers],0),FALSE)</f>
        <v>Snack</v>
      </c>
      <c r="G367" t="str" cm="1">
        <f t="array" ref="G367">_xlfn.TEXTJOIN("+",TRUE,_xlfn._xlws.SORT(_xlfn.UNIQUE(_xlfn._xlws.FILTER(OrderLines[Category],OrderLines[OrderID]=OrderLines[[#This Row],[OrderID]]))))</f>
        <v>Beverage+Hot Meal+Snack</v>
      </c>
      <c r="H367" s="2" cm="1">
        <f t="array" ref="H367">INT(VLOOKUP(OrderLines[[#This Row],[OrderID]:[OrderID]],Orders[],MATCH(OrderLines[[#Headers],[OrderDateTime]],Orders[#Headers],0),FALSE))</f>
        <v>45865</v>
      </c>
      <c r="I367" t="str" cm="1">
        <f t="array" ref="I367">VLOOKUP(OrderLines[[#This Row],[OrderID]:[OrderID]],Orders[],MATCH(OrderLines[[#Headers],[Branch]],Orders[#Headers],0),FALSE)</f>
        <v>Head Office Café</v>
      </c>
      <c r="J367" cm="1">
        <f t="array" ref="J367">VLOOKUP(OrderLines[[#This Row],[OrderID]:[OrderID]],Orders[],MATCH(OrderLines[[#Headers],[DiscountPct]],Orders[#Headers],0),FALSE)</f>
        <v>0.03</v>
      </c>
      <c r="K367" t="str" cm="1">
        <f t="array" ref="K367">VLOOKUP(OrderLines[[#This Row],[OrderID]:[OrderID]],Orders[],MATCH(OrderLines[[#Headers],[PaymentType]],Orders[#Headers],0),FALSE)</f>
        <v>Card</v>
      </c>
      <c r="L367" t="str" cm="1">
        <f t="array" ref="L367">VLOOKUP(OrderLines[[#This Row],[OrderID]:[OrderID]],Orders[],MATCH(OrderLines[[#Headers],[Shift]],Orders[#Headers],0),FALSE)</f>
        <v>Dinner</v>
      </c>
      <c r="M367" s="8">
        <f>(OrderLines[[#This Row],[Qty]]*OrderLines[[#This Row],[UnitPrice]])*(1-OrderLines[[#This Row],[DiscountPct]])</f>
        <v>68.4238</v>
      </c>
      <c r="N367" t="str">
        <f>IF(AND(COUNTIFS(OrderLines[OrderID],OrderLines[[#This Row],[OrderID]],OrderLines[Category],"Hot Meal"),COUNTIFS(OrderLines[OrderID],OrderLines[[#This Row],[OrderID]],OrderLines[Category],"Beverage")),"Combo","Single")</f>
        <v>Combo</v>
      </c>
      <c r="O367" s="8" t="str" cm="1">
        <f t="array" ref="O367">IF(SUMPRODUCT(OrderLines[UnitPrice],OrderLines[Qty],OrderLines[DiscountPct],--(OrderLines[OrderID] = OrderLines[[#This Row],[OrderID]]))&gt;40,"High Discount","Ok")</f>
        <v>Ok</v>
      </c>
      <c r="P367">
        <f>OrderLines[[#This Row],[UnitCost]]*OrderLines[[#This Row],[Qty]]</f>
        <v>35.81</v>
      </c>
      <c r="Q367" s="8">
        <f>OrderLines[[#This Row],[LineNetAmount]]-OrderLines[[#This Row],[Food Cost]]</f>
        <v>32.613799999999998</v>
      </c>
    </row>
    <row r="368" spans="1:17" x14ac:dyDescent="0.3">
      <c r="A368" t="s">
        <v>184</v>
      </c>
      <c r="B368" t="s">
        <v>405</v>
      </c>
      <c r="C368">
        <v>1</v>
      </c>
      <c r="D368" cm="1">
        <f t="array" ref="D368">VLOOKUP(OrderLines[[#This Row],[SKU]:[SKU]],Menu[],MATCH(OrderLines[[#Headers],[UnitPrice]],Menu[#Headers],0),FALSE)</f>
        <v>170.83</v>
      </c>
      <c r="E368" cm="1">
        <f t="array" ref="E368">VLOOKUP(OrderLines[[#This Row],[SKU]:[SKU]],Menu[],MATCH(OrderLines[[#Headers],[UnitCost]],Menu[#Headers],0),FALSE)</f>
        <v>74.069999999999993</v>
      </c>
      <c r="F368" t="str" cm="1">
        <f t="array" ref="F368">VLOOKUP(OrderLines[[#This Row],[SKU]:[SKU]],Menu[],MATCH(OrderLines[[#Headers],[Category]],Menu[#Headers],0),FALSE)</f>
        <v>Hot Meal</v>
      </c>
      <c r="G368" t="str" cm="1">
        <f t="array" ref="G368">_xlfn.TEXTJOIN("+",TRUE,_xlfn._xlws.SORT(_xlfn.UNIQUE(_xlfn._xlws.FILTER(OrderLines[Category],OrderLines[OrderID]=OrderLines[[#This Row],[OrderID]]))))</f>
        <v>Beverage+Hot Meal+Snack</v>
      </c>
      <c r="H368" s="2" cm="1">
        <f t="array" ref="H368">INT(VLOOKUP(OrderLines[[#This Row],[OrderID]:[OrderID]],Orders[],MATCH(OrderLines[[#Headers],[OrderDateTime]],Orders[#Headers],0),FALSE))</f>
        <v>45865</v>
      </c>
      <c r="I368" t="str" cm="1">
        <f t="array" ref="I368">VLOOKUP(OrderLines[[#This Row],[OrderID]:[OrderID]],Orders[],MATCH(OrderLines[[#Headers],[Branch]],Orders[#Headers],0),FALSE)</f>
        <v>Head Office Café</v>
      </c>
      <c r="J368" cm="1">
        <f t="array" ref="J368">VLOOKUP(OrderLines[[#This Row],[OrderID]:[OrderID]],Orders[],MATCH(OrderLines[[#Headers],[DiscountPct]],Orders[#Headers],0),FALSE)</f>
        <v>0.03</v>
      </c>
      <c r="K368" t="str" cm="1">
        <f t="array" ref="K368">VLOOKUP(OrderLines[[#This Row],[OrderID]:[OrderID]],Orders[],MATCH(OrderLines[[#Headers],[PaymentType]],Orders[#Headers],0),FALSE)</f>
        <v>Card</v>
      </c>
      <c r="L368" t="str" cm="1">
        <f t="array" ref="L368">VLOOKUP(OrderLines[[#This Row],[OrderID]:[OrderID]],Orders[],MATCH(OrderLines[[#Headers],[Shift]],Orders[#Headers],0),FALSE)</f>
        <v>Dinner</v>
      </c>
      <c r="M368" s="8">
        <f>(OrderLines[[#This Row],[Qty]]*OrderLines[[#This Row],[UnitPrice]])*(1-OrderLines[[#This Row],[DiscountPct]])</f>
        <v>165.70510000000002</v>
      </c>
      <c r="N368" t="str">
        <f>IF(AND(COUNTIFS(OrderLines[OrderID],OrderLines[[#This Row],[OrderID]],OrderLines[Category],"Hot Meal"),COUNTIFS(OrderLines[OrderID],OrderLines[[#This Row],[OrderID]],OrderLines[Category],"Beverage")),"Combo","Single")</f>
        <v>Combo</v>
      </c>
      <c r="O368" s="8" t="str" cm="1">
        <f t="array" ref="O368">IF(SUMPRODUCT(OrderLines[UnitPrice],OrderLines[Qty],OrderLines[DiscountPct],--(OrderLines[OrderID] = OrderLines[[#This Row],[OrderID]]))&gt;40,"High Discount","Ok")</f>
        <v>Ok</v>
      </c>
      <c r="P368">
        <f>OrderLines[[#This Row],[UnitCost]]*OrderLines[[#This Row],[Qty]]</f>
        <v>74.069999999999993</v>
      </c>
      <c r="Q368" s="8">
        <f>OrderLines[[#This Row],[LineNetAmount]]-OrderLines[[#This Row],[Food Cost]]</f>
        <v>91.635100000000023</v>
      </c>
    </row>
    <row r="369" spans="1:17" x14ac:dyDescent="0.3">
      <c r="A369" t="s">
        <v>184</v>
      </c>
      <c r="B369" t="s">
        <v>404</v>
      </c>
      <c r="C369">
        <v>3</v>
      </c>
      <c r="D369" cm="1">
        <f t="array" ref="D369">VLOOKUP(OrderLines[[#This Row],[SKU]:[SKU]],Menu[],MATCH(OrderLines[[#Headers],[UnitPrice]],Menu[#Headers],0),FALSE)</f>
        <v>32.979999999999997</v>
      </c>
      <c r="E369" cm="1">
        <f t="array" ref="E369">VLOOKUP(OrderLines[[#This Row],[SKU]:[SKU]],Menu[],MATCH(OrderLines[[#Headers],[UnitCost]],Menu[#Headers],0),FALSE)</f>
        <v>11.84</v>
      </c>
      <c r="F369" t="str" cm="1">
        <f t="array" ref="F369">VLOOKUP(OrderLines[[#This Row],[SKU]:[SKU]],Menu[],MATCH(OrderLines[[#Headers],[Category]],Menu[#Headers],0),FALSE)</f>
        <v>Beverage</v>
      </c>
      <c r="G369" t="str" cm="1">
        <f t="array" ref="G369">_xlfn.TEXTJOIN("+",TRUE,_xlfn._xlws.SORT(_xlfn.UNIQUE(_xlfn._xlws.FILTER(OrderLines[Category],OrderLines[OrderID]=OrderLines[[#This Row],[OrderID]]))))</f>
        <v>Beverage+Hot Meal+Snack</v>
      </c>
      <c r="H369" s="2" cm="1">
        <f t="array" ref="H369">INT(VLOOKUP(OrderLines[[#This Row],[OrderID]:[OrderID]],Orders[],MATCH(OrderLines[[#Headers],[OrderDateTime]],Orders[#Headers],0),FALSE))</f>
        <v>45865</v>
      </c>
      <c r="I369" t="str" cm="1">
        <f t="array" ref="I369">VLOOKUP(OrderLines[[#This Row],[OrderID]:[OrderID]],Orders[],MATCH(OrderLines[[#Headers],[Branch]],Orders[#Headers],0),FALSE)</f>
        <v>Head Office Café</v>
      </c>
      <c r="J369" cm="1">
        <f t="array" ref="J369">VLOOKUP(OrderLines[[#This Row],[OrderID]:[OrderID]],Orders[],MATCH(OrderLines[[#Headers],[DiscountPct]],Orders[#Headers],0),FALSE)</f>
        <v>0.03</v>
      </c>
      <c r="K369" t="str" cm="1">
        <f t="array" ref="K369">VLOOKUP(OrderLines[[#This Row],[OrderID]:[OrderID]],Orders[],MATCH(OrderLines[[#Headers],[PaymentType]],Orders[#Headers],0),FALSE)</f>
        <v>Card</v>
      </c>
      <c r="L369" t="str" cm="1">
        <f t="array" ref="L369">VLOOKUP(OrderLines[[#This Row],[OrderID]:[OrderID]],Orders[],MATCH(OrderLines[[#Headers],[Shift]],Orders[#Headers],0),FALSE)</f>
        <v>Dinner</v>
      </c>
      <c r="M369" s="8">
        <f>(OrderLines[[#This Row],[Qty]]*OrderLines[[#This Row],[UnitPrice]])*(1-OrderLines[[#This Row],[DiscountPct]])</f>
        <v>95.971800000000002</v>
      </c>
      <c r="N369" t="str">
        <f>IF(AND(COUNTIFS(OrderLines[OrderID],OrderLines[[#This Row],[OrderID]],OrderLines[Category],"Hot Meal"),COUNTIFS(OrderLines[OrderID],OrderLines[[#This Row],[OrderID]],OrderLines[Category],"Beverage")),"Combo","Single")</f>
        <v>Combo</v>
      </c>
      <c r="O369" s="8" t="str" cm="1">
        <f t="array" ref="O369">IF(SUMPRODUCT(OrderLines[UnitPrice],OrderLines[Qty],OrderLines[DiscountPct],--(OrderLines[OrderID] = OrderLines[[#This Row],[OrderID]]))&gt;40,"High Discount","Ok")</f>
        <v>Ok</v>
      </c>
      <c r="P369">
        <f>OrderLines[[#This Row],[UnitCost]]*OrderLines[[#This Row],[Qty]]</f>
        <v>35.519999999999996</v>
      </c>
      <c r="Q369" s="8">
        <f>OrderLines[[#This Row],[LineNetAmount]]-OrderLines[[#This Row],[Food Cost]]</f>
        <v>60.451800000000006</v>
      </c>
    </row>
    <row r="370" spans="1:17" x14ac:dyDescent="0.3">
      <c r="A370" t="s">
        <v>184</v>
      </c>
      <c r="B370" t="s">
        <v>409</v>
      </c>
      <c r="C370">
        <v>1</v>
      </c>
      <c r="D370" cm="1">
        <f t="array" ref="D370">VLOOKUP(OrderLines[[#This Row],[SKU]:[SKU]],Menu[],MATCH(OrderLines[[#Headers],[UnitPrice]],Menu[#Headers],0),FALSE)</f>
        <v>28.43</v>
      </c>
      <c r="E370" cm="1">
        <f t="array" ref="E370">VLOOKUP(OrderLines[[#This Row],[SKU]:[SKU]],Menu[],MATCH(OrderLines[[#Headers],[UnitCost]],Menu[#Headers],0),FALSE)</f>
        <v>13.89</v>
      </c>
      <c r="F370" t="str" cm="1">
        <f t="array" ref="F370">VLOOKUP(OrderLines[[#This Row],[SKU]:[SKU]],Menu[],MATCH(OrderLines[[#Headers],[Category]],Menu[#Headers],0),FALSE)</f>
        <v>Beverage</v>
      </c>
      <c r="G370" t="str" cm="1">
        <f t="array" ref="G370">_xlfn.TEXTJOIN("+",TRUE,_xlfn._xlws.SORT(_xlfn.UNIQUE(_xlfn._xlws.FILTER(OrderLines[Category],OrderLines[OrderID]=OrderLines[[#This Row],[OrderID]]))))</f>
        <v>Beverage+Hot Meal+Snack</v>
      </c>
      <c r="H370" s="2" cm="1">
        <f t="array" ref="H370">INT(VLOOKUP(OrderLines[[#This Row],[OrderID]:[OrderID]],Orders[],MATCH(OrderLines[[#Headers],[OrderDateTime]],Orders[#Headers],0),FALSE))</f>
        <v>45865</v>
      </c>
      <c r="I370" t="str" cm="1">
        <f t="array" ref="I370">VLOOKUP(OrderLines[[#This Row],[OrderID]:[OrderID]],Orders[],MATCH(OrderLines[[#Headers],[Branch]],Orders[#Headers],0),FALSE)</f>
        <v>Head Office Café</v>
      </c>
      <c r="J370" cm="1">
        <f t="array" ref="J370">VLOOKUP(OrderLines[[#This Row],[OrderID]:[OrderID]],Orders[],MATCH(OrderLines[[#Headers],[DiscountPct]],Orders[#Headers],0),FALSE)</f>
        <v>0.03</v>
      </c>
      <c r="K370" t="str" cm="1">
        <f t="array" ref="K370">VLOOKUP(OrderLines[[#This Row],[OrderID]:[OrderID]],Orders[],MATCH(OrderLines[[#Headers],[PaymentType]],Orders[#Headers],0),FALSE)</f>
        <v>Card</v>
      </c>
      <c r="L370" t="str" cm="1">
        <f t="array" ref="L370">VLOOKUP(OrderLines[[#This Row],[OrderID]:[OrderID]],Orders[],MATCH(OrderLines[[#Headers],[Shift]],Orders[#Headers],0),FALSE)</f>
        <v>Dinner</v>
      </c>
      <c r="M370" s="8">
        <f>(OrderLines[[#This Row],[Qty]]*OrderLines[[#This Row],[UnitPrice]])*(1-OrderLines[[#This Row],[DiscountPct]])</f>
        <v>27.577099999999998</v>
      </c>
      <c r="N370" t="str">
        <f>IF(AND(COUNTIFS(OrderLines[OrderID],OrderLines[[#This Row],[OrderID]],OrderLines[Category],"Hot Meal"),COUNTIFS(OrderLines[OrderID],OrderLines[[#This Row],[OrderID]],OrderLines[Category],"Beverage")),"Combo","Single")</f>
        <v>Combo</v>
      </c>
      <c r="O370" s="8" t="str" cm="1">
        <f t="array" ref="O370">IF(SUMPRODUCT(OrderLines[UnitPrice],OrderLines[Qty],OrderLines[DiscountPct],--(OrderLines[OrderID] = OrderLines[[#This Row],[OrderID]]))&gt;40,"High Discount","Ok")</f>
        <v>Ok</v>
      </c>
      <c r="P370">
        <f>OrderLines[[#This Row],[UnitCost]]*OrderLines[[#This Row],[Qty]]</f>
        <v>13.89</v>
      </c>
      <c r="Q370" s="8">
        <f>OrderLines[[#This Row],[LineNetAmount]]-OrderLines[[#This Row],[Food Cost]]</f>
        <v>13.687099999999997</v>
      </c>
    </row>
    <row r="371" spans="1:17" x14ac:dyDescent="0.3">
      <c r="A371" t="s">
        <v>185</v>
      </c>
      <c r="B371" t="s">
        <v>402</v>
      </c>
      <c r="C371">
        <v>1</v>
      </c>
      <c r="D371" cm="1">
        <f t="array" ref="D371">VLOOKUP(OrderLines[[#This Row],[SKU]:[SKU]],Menu[],MATCH(OrderLines[[#Headers],[UnitPrice]],Menu[#Headers],0),FALSE)</f>
        <v>30.34</v>
      </c>
      <c r="E371" cm="1">
        <f t="array" ref="E371">VLOOKUP(OrderLines[[#This Row],[SKU]:[SKU]],Menu[],MATCH(OrderLines[[#Headers],[UnitCost]],Menu[#Headers],0),FALSE)</f>
        <v>14.18</v>
      </c>
      <c r="F371" t="str" cm="1">
        <f t="array" ref="F371">VLOOKUP(OrderLines[[#This Row],[SKU]:[SKU]],Menu[],MATCH(OrderLines[[#Headers],[Category]],Menu[#Headers],0),FALSE)</f>
        <v>Beverage</v>
      </c>
      <c r="G371" t="str" cm="1">
        <f t="array" ref="G371">_xlfn.TEXTJOIN("+",TRUE,_xlfn._xlws.SORT(_xlfn.UNIQUE(_xlfn._xlws.FILTER(OrderLines[Category],OrderLines[OrderID]=OrderLines[[#This Row],[OrderID]]))))</f>
        <v>Beverage+Snack</v>
      </c>
      <c r="H371" s="2" cm="1">
        <f t="array" ref="H371">INT(VLOOKUP(OrderLines[[#This Row],[OrderID]:[OrderID]],Orders[],MATCH(OrderLines[[#Headers],[OrderDateTime]],Orders[#Headers],0),FALSE))</f>
        <v>45847</v>
      </c>
      <c r="I371" t="str" cm="1">
        <f t="array" ref="I371">VLOOKUP(OrderLines[[#This Row],[OrderID]:[OrderID]],Orders[],MATCH(OrderLines[[#Headers],[Branch]],Orders[#Headers],0),FALSE)</f>
        <v>Head Office Café</v>
      </c>
      <c r="J371" cm="1">
        <f t="array" ref="J371">VLOOKUP(OrderLines[[#This Row],[OrderID]:[OrderID]],Orders[],MATCH(OrderLines[[#Headers],[DiscountPct]],Orders[#Headers],0),FALSE)</f>
        <v>0</v>
      </c>
      <c r="K371" t="str" cm="1">
        <f t="array" ref="K371">VLOOKUP(OrderLines[[#This Row],[OrderID]:[OrderID]],Orders[],MATCH(OrderLines[[#Headers],[PaymentType]],Orders[#Headers],0),FALSE)</f>
        <v>Card</v>
      </c>
      <c r="L371" t="str" cm="1">
        <f t="array" ref="L371">VLOOKUP(OrderLines[[#This Row],[OrderID]:[OrderID]],Orders[],MATCH(OrderLines[[#Headers],[Shift]],Orders[#Headers],0),FALSE)</f>
        <v>Breakfast</v>
      </c>
      <c r="M371" s="8">
        <f>(OrderLines[[#This Row],[Qty]]*OrderLines[[#This Row],[UnitPrice]])*(1-OrderLines[[#This Row],[DiscountPct]])</f>
        <v>30.34</v>
      </c>
      <c r="N371" t="str">
        <f>IF(AND(COUNTIFS(OrderLines[OrderID],OrderLines[[#This Row],[OrderID]],OrderLines[Category],"Hot Meal"),COUNTIFS(OrderLines[OrderID],OrderLines[[#This Row],[OrderID]],OrderLines[Category],"Beverage")),"Combo","Single")</f>
        <v>Single</v>
      </c>
      <c r="O371" s="8" t="str" cm="1">
        <f t="array" ref="O371">IF(SUMPRODUCT(OrderLines[UnitPrice],OrderLines[Qty],OrderLines[DiscountPct],--(OrderLines[OrderID] = OrderLines[[#This Row],[OrderID]]))&gt;40,"High Discount","Ok")</f>
        <v>Ok</v>
      </c>
      <c r="P371">
        <f>OrderLines[[#This Row],[UnitCost]]*OrderLines[[#This Row],[Qty]]</f>
        <v>14.18</v>
      </c>
      <c r="Q371" s="8">
        <f>OrderLines[[#This Row],[LineNetAmount]]-OrderLines[[#This Row],[Food Cost]]</f>
        <v>16.16</v>
      </c>
    </row>
    <row r="372" spans="1:17" x14ac:dyDescent="0.3">
      <c r="A372" t="s">
        <v>185</v>
      </c>
      <c r="B372" t="s">
        <v>418</v>
      </c>
      <c r="C372">
        <v>1</v>
      </c>
      <c r="D372" cm="1">
        <f t="array" ref="D372">VLOOKUP(OrderLines[[#This Row],[SKU]:[SKU]],Menu[],MATCH(OrderLines[[#Headers],[UnitPrice]],Menu[#Headers],0),FALSE)</f>
        <v>39.950000000000003</v>
      </c>
      <c r="E372" cm="1">
        <f t="array" ref="E372">VLOOKUP(OrderLines[[#This Row],[SKU]:[SKU]],Menu[],MATCH(OrderLines[[#Headers],[UnitCost]],Menu[#Headers],0),FALSE)</f>
        <v>15.51</v>
      </c>
      <c r="F372" t="str" cm="1">
        <f t="array" ref="F372">VLOOKUP(OrderLines[[#This Row],[SKU]:[SKU]],Menu[],MATCH(OrderLines[[#Headers],[Category]],Menu[#Headers],0),FALSE)</f>
        <v>Snack</v>
      </c>
      <c r="G372" t="str" cm="1">
        <f t="array" ref="G372">_xlfn.TEXTJOIN("+",TRUE,_xlfn._xlws.SORT(_xlfn.UNIQUE(_xlfn._xlws.FILTER(OrderLines[Category],OrderLines[OrderID]=OrderLines[[#This Row],[OrderID]]))))</f>
        <v>Beverage+Snack</v>
      </c>
      <c r="H372" s="2" cm="1">
        <f t="array" ref="H372">INT(VLOOKUP(OrderLines[[#This Row],[OrderID]:[OrderID]],Orders[],MATCH(OrderLines[[#Headers],[OrderDateTime]],Orders[#Headers],0),FALSE))</f>
        <v>45847</v>
      </c>
      <c r="I372" t="str" cm="1">
        <f t="array" ref="I372">VLOOKUP(OrderLines[[#This Row],[OrderID]:[OrderID]],Orders[],MATCH(OrderLines[[#Headers],[Branch]],Orders[#Headers],0),FALSE)</f>
        <v>Head Office Café</v>
      </c>
      <c r="J372" cm="1">
        <f t="array" ref="J372">VLOOKUP(OrderLines[[#This Row],[OrderID]:[OrderID]],Orders[],MATCH(OrderLines[[#Headers],[DiscountPct]],Orders[#Headers],0),FALSE)</f>
        <v>0</v>
      </c>
      <c r="K372" t="str" cm="1">
        <f t="array" ref="K372">VLOOKUP(OrderLines[[#This Row],[OrderID]:[OrderID]],Orders[],MATCH(OrderLines[[#Headers],[PaymentType]],Orders[#Headers],0),FALSE)</f>
        <v>Card</v>
      </c>
      <c r="L372" t="str" cm="1">
        <f t="array" ref="L372">VLOOKUP(OrderLines[[#This Row],[OrderID]:[OrderID]],Orders[],MATCH(OrderLines[[#Headers],[Shift]],Orders[#Headers],0),FALSE)</f>
        <v>Breakfast</v>
      </c>
      <c r="M372" s="8">
        <f>(OrderLines[[#This Row],[Qty]]*OrderLines[[#This Row],[UnitPrice]])*(1-OrderLines[[#This Row],[DiscountPct]])</f>
        <v>39.950000000000003</v>
      </c>
      <c r="N372" t="str">
        <f>IF(AND(COUNTIFS(OrderLines[OrderID],OrderLines[[#This Row],[OrderID]],OrderLines[Category],"Hot Meal"),COUNTIFS(OrderLines[OrderID],OrderLines[[#This Row],[OrderID]],OrderLines[Category],"Beverage")),"Combo","Single")</f>
        <v>Single</v>
      </c>
      <c r="O372" s="8" t="str" cm="1">
        <f t="array" ref="O372">IF(SUMPRODUCT(OrderLines[UnitPrice],OrderLines[Qty],OrderLines[DiscountPct],--(OrderLines[OrderID] = OrderLines[[#This Row],[OrderID]]))&gt;40,"High Discount","Ok")</f>
        <v>Ok</v>
      </c>
      <c r="P372">
        <f>OrderLines[[#This Row],[UnitCost]]*OrderLines[[#This Row],[Qty]]</f>
        <v>15.51</v>
      </c>
      <c r="Q372" s="8">
        <f>OrderLines[[#This Row],[LineNetAmount]]-OrderLines[[#This Row],[Food Cost]]</f>
        <v>24.440000000000005</v>
      </c>
    </row>
    <row r="373" spans="1:17" x14ac:dyDescent="0.3">
      <c r="A373" t="s">
        <v>186</v>
      </c>
      <c r="B373" t="s">
        <v>416</v>
      </c>
      <c r="C373">
        <v>1</v>
      </c>
      <c r="D373" cm="1">
        <f t="array" ref="D373">VLOOKUP(OrderLines[[#This Row],[SKU]:[SKU]],Menu[],MATCH(OrderLines[[#Headers],[UnitPrice]],Menu[#Headers],0),FALSE)</f>
        <v>227.61</v>
      </c>
      <c r="E373" cm="1">
        <f t="array" ref="E373">VLOOKUP(OrderLines[[#This Row],[SKU]:[SKU]],Menu[],MATCH(OrderLines[[#Headers],[UnitCost]],Menu[#Headers],0),FALSE)</f>
        <v>96.22</v>
      </c>
      <c r="F373" t="str" cm="1">
        <f t="array" ref="F373">VLOOKUP(OrderLines[[#This Row],[SKU]:[SKU]],Menu[],MATCH(OrderLines[[#Headers],[Category]],Menu[#Headers],0),FALSE)</f>
        <v>Hot Meal</v>
      </c>
      <c r="G373" t="str" cm="1">
        <f t="array" ref="G373">_xlfn.TEXTJOIN("+",TRUE,_xlfn._xlws.SORT(_xlfn.UNIQUE(_xlfn._xlws.FILTER(OrderLines[Category],OrderLines[OrderID]=OrderLines[[#This Row],[OrderID]]))))</f>
        <v>Hot Meal+Snack</v>
      </c>
      <c r="H373" s="2" cm="1">
        <f t="array" ref="H373">INT(VLOOKUP(OrderLines[[#This Row],[OrderID]:[OrderID]],Orders[],MATCH(OrderLines[[#Headers],[OrderDateTime]],Orders[#Headers],0),FALSE))</f>
        <v>45897</v>
      </c>
      <c r="I373" t="str" cm="1">
        <f t="array" ref="I373">VLOOKUP(OrderLines[[#This Row],[OrderID]:[OrderID]],Orders[],MATCH(OrderLines[[#Headers],[Branch]],Orders[#Headers],0),FALSE)</f>
        <v>Plant 2 Canteen</v>
      </c>
      <c r="J373" cm="1">
        <f t="array" ref="J373">VLOOKUP(OrderLines[[#This Row],[OrderID]:[OrderID]],Orders[],MATCH(OrderLines[[#Headers],[DiscountPct]],Orders[#Headers],0),FALSE)</f>
        <v>0.04</v>
      </c>
      <c r="K373" t="str" cm="1">
        <f t="array" ref="K373">VLOOKUP(OrderLines[[#This Row],[OrderID]:[OrderID]],Orders[],MATCH(OrderLines[[#Headers],[PaymentType]],Orders[#Headers],0),FALSE)</f>
        <v>Cash</v>
      </c>
      <c r="L373" t="str" cm="1">
        <f t="array" ref="L373">VLOOKUP(OrderLines[[#This Row],[OrderID]:[OrderID]],Orders[],MATCH(OrderLines[[#Headers],[Shift]],Orders[#Headers],0),FALSE)</f>
        <v>Dinner</v>
      </c>
      <c r="M373" s="8">
        <f>(OrderLines[[#This Row],[Qty]]*OrderLines[[#This Row],[UnitPrice]])*(1-OrderLines[[#This Row],[DiscountPct]])</f>
        <v>218.50560000000002</v>
      </c>
      <c r="N373" t="str">
        <f>IF(AND(COUNTIFS(OrderLines[OrderID],OrderLines[[#This Row],[OrderID]],OrderLines[Category],"Hot Meal"),COUNTIFS(OrderLines[OrderID],OrderLines[[#This Row],[OrderID]],OrderLines[Category],"Beverage")),"Combo","Single")</f>
        <v>Single</v>
      </c>
      <c r="O373" s="8" t="str" cm="1">
        <f t="array" ref="O373">IF(SUMPRODUCT(OrderLines[UnitPrice],OrderLines[Qty],OrderLines[DiscountPct],--(OrderLines[OrderID] = OrderLines[[#This Row],[OrderID]]))&gt;40,"High Discount","Ok")</f>
        <v>Ok</v>
      </c>
      <c r="P373">
        <f>OrderLines[[#This Row],[UnitCost]]*OrderLines[[#This Row],[Qty]]</f>
        <v>96.22</v>
      </c>
      <c r="Q373" s="8">
        <f>OrderLines[[#This Row],[LineNetAmount]]-OrderLines[[#This Row],[Food Cost]]</f>
        <v>122.28560000000002</v>
      </c>
    </row>
    <row r="374" spans="1:17" x14ac:dyDescent="0.3">
      <c r="A374" t="s">
        <v>186</v>
      </c>
      <c r="B374" t="s">
        <v>408</v>
      </c>
      <c r="C374">
        <v>1</v>
      </c>
      <c r="D374" cm="1">
        <f t="array" ref="D374">VLOOKUP(OrderLines[[#This Row],[SKU]:[SKU]],Menu[],MATCH(OrderLines[[#Headers],[UnitPrice]],Menu[#Headers],0),FALSE)</f>
        <v>70.540000000000006</v>
      </c>
      <c r="E374" cm="1">
        <f t="array" ref="E374">VLOOKUP(OrderLines[[#This Row],[SKU]:[SKU]],Menu[],MATCH(OrderLines[[#Headers],[UnitCost]],Menu[#Headers],0),FALSE)</f>
        <v>35.81</v>
      </c>
      <c r="F374" t="str" cm="1">
        <f t="array" ref="F374">VLOOKUP(OrderLines[[#This Row],[SKU]:[SKU]],Menu[],MATCH(OrderLines[[#Headers],[Category]],Menu[#Headers],0),FALSE)</f>
        <v>Snack</v>
      </c>
      <c r="G374" t="str" cm="1">
        <f t="array" ref="G374">_xlfn.TEXTJOIN("+",TRUE,_xlfn._xlws.SORT(_xlfn.UNIQUE(_xlfn._xlws.FILTER(OrderLines[Category],OrderLines[OrderID]=OrderLines[[#This Row],[OrderID]]))))</f>
        <v>Hot Meal+Snack</v>
      </c>
      <c r="H374" s="2" cm="1">
        <f t="array" ref="H374">INT(VLOOKUP(OrderLines[[#This Row],[OrderID]:[OrderID]],Orders[],MATCH(OrderLines[[#Headers],[OrderDateTime]],Orders[#Headers],0),FALSE))</f>
        <v>45897</v>
      </c>
      <c r="I374" t="str" cm="1">
        <f t="array" ref="I374">VLOOKUP(OrderLines[[#This Row],[OrderID]:[OrderID]],Orders[],MATCH(OrderLines[[#Headers],[Branch]],Orders[#Headers],0),FALSE)</f>
        <v>Plant 2 Canteen</v>
      </c>
      <c r="J374" cm="1">
        <f t="array" ref="J374">VLOOKUP(OrderLines[[#This Row],[OrderID]:[OrderID]],Orders[],MATCH(OrderLines[[#Headers],[DiscountPct]],Orders[#Headers],0),FALSE)</f>
        <v>0.04</v>
      </c>
      <c r="K374" t="str" cm="1">
        <f t="array" ref="K374">VLOOKUP(OrderLines[[#This Row],[OrderID]:[OrderID]],Orders[],MATCH(OrderLines[[#Headers],[PaymentType]],Orders[#Headers],0),FALSE)</f>
        <v>Cash</v>
      </c>
      <c r="L374" t="str" cm="1">
        <f t="array" ref="L374">VLOOKUP(OrderLines[[#This Row],[OrderID]:[OrderID]],Orders[],MATCH(OrderLines[[#Headers],[Shift]],Orders[#Headers],0),FALSE)</f>
        <v>Dinner</v>
      </c>
      <c r="M374" s="8">
        <f>(OrderLines[[#This Row],[Qty]]*OrderLines[[#This Row],[UnitPrice]])*(1-OrderLines[[#This Row],[DiscountPct]])</f>
        <v>67.718400000000003</v>
      </c>
      <c r="N374" t="str">
        <f>IF(AND(COUNTIFS(OrderLines[OrderID],OrderLines[[#This Row],[OrderID]],OrderLines[Category],"Hot Meal"),COUNTIFS(OrderLines[OrderID],OrderLines[[#This Row],[OrderID]],OrderLines[Category],"Beverage")),"Combo","Single")</f>
        <v>Single</v>
      </c>
      <c r="O374" s="8" t="str" cm="1">
        <f t="array" ref="O374">IF(SUMPRODUCT(OrderLines[UnitPrice],OrderLines[Qty],OrderLines[DiscountPct],--(OrderLines[OrderID] = OrderLines[[#This Row],[OrderID]]))&gt;40,"High Discount","Ok")</f>
        <v>Ok</v>
      </c>
      <c r="P374">
        <f>OrderLines[[#This Row],[UnitCost]]*OrderLines[[#This Row],[Qty]]</f>
        <v>35.81</v>
      </c>
      <c r="Q374" s="8">
        <f>OrderLines[[#This Row],[LineNetAmount]]-OrderLines[[#This Row],[Food Cost]]</f>
        <v>31.9084</v>
      </c>
    </row>
    <row r="375" spans="1:17" x14ac:dyDescent="0.3">
      <c r="A375" t="s">
        <v>187</v>
      </c>
      <c r="B375" t="s">
        <v>405</v>
      </c>
      <c r="C375">
        <v>2</v>
      </c>
      <c r="D375" cm="1">
        <f t="array" ref="D375">VLOOKUP(OrderLines[[#This Row],[SKU]:[SKU]],Menu[],MATCH(OrderLines[[#Headers],[UnitPrice]],Menu[#Headers],0),FALSE)</f>
        <v>170.83</v>
      </c>
      <c r="E375" cm="1">
        <f t="array" ref="E375">VLOOKUP(OrderLines[[#This Row],[SKU]:[SKU]],Menu[],MATCH(OrderLines[[#Headers],[UnitCost]],Menu[#Headers],0),FALSE)</f>
        <v>74.069999999999993</v>
      </c>
      <c r="F375" t="str" cm="1">
        <f t="array" ref="F375">VLOOKUP(OrderLines[[#This Row],[SKU]:[SKU]],Menu[],MATCH(OrderLines[[#Headers],[Category]],Menu[#Headers],0),FALSE)</f>
        <v>Hot Meal</v>
      </c>
      <c r="G375" t="str" cm="1">
        <f t="array" ref="G375">_xlfn.TEXTJOIN("+",TRUE,_xlfn._xlws.SORT(_xlfn.UNIQUE(_xlfn._xlws.FILTER(OrderLines[Category],OrderLines[OrderID]=OrderLines[[#This Row],[OrderID]]))))</f>
        <v>Hot Meal</v>
      </c>
      <c r="H375" s="2" cm="1">
        <f t="array" ref="H375">INT(VLOOKUP(OrderLines[[#This Row],[OrderID]:[OrderID]],Orders[],MATCH(OrderLines[[#Headers],[OrderDateTime]],Orders[#Headers],0),FALSE))</f>
        <v>45895</v>
      </c>
      <c r="I375" t="str" cm="1">
        <f t="array" ref="I375">VLOOKUP(OrderLines[[#This Row],[OrderID]:[OrderID]],Orders[],MATCH(OrderLines[[#Headers],[Branch]],Orders[#Headers],0),FALSE)</f>
        <v>Head Office Café</v>
      </c>
      <c r="J375" cm="1">
        <f t="array" ref="J375">VLOOKUP(OrderLines[[#This Row],[OrderID]:[OrderID]],Orders[],MATCH(OrderLines[[#Headers],[DiscountPct]],Orders[#Headers],0),FALSE)</f>
        <v>0.09</v>
      </c>
      <c r="K375" t="str" cm="1">
        <f t="array" ref="K375">VLOOKUP(OrderLines[[#This Row],[OrderID]:[OrderID]],Orders[],MATCH(OrderLines[[#Headers],[PaymentType]],Orders[#Headers],0),FALSE)</f>
        <v>UPI</v>
      </c>
      <c r="L375" t="str" cm="1">
        <f t="array" ref="L375">VLOOKUP(OrderLines[[#This Row],[OrderID]:[OrderID]],Orders[],MATCH(OrderLines[[#Headers],[Shift]],Orders[#Headers],0),FALSE)</f>
        <v>Breakfast</v>
      </c>
      <c r="M375" s="8">
        <f>(OrderLines[[#This Row],[Qty]]*OrderLines[[#This Row],[UnitPrice]])*(1-OrderLines[[#This Row],[DiscountPct]])</f>
        <v>310.91060000000004</v>
      </c>
      <c r="N375" t="str">
        <f>IF(AND(COUNTIFS(OrderLines[OrderID],OrderLines[[#This Row],[OrderID]],OrderLines[Category],"Hot Meal"),COUNTIFS(OrderLines[OrderID],OrderLines[[#This Row],[OrderID]],OrderLines[Category],"Beverage")),"Combo","Single")</f>
        <v>Single</v>
      </c>
      <c r="O375" s="8" t="str" cm="1">
        <f t="array" ref="O375">IF(SUMPRODUCT(OrderLines[UnitPrice],OrderLines[Qty],OrderLines[DiscountPct],--(OrderLines[OrderID] = OrderLines[[#This Row],[OrderID]]))&gt;40,"High Discount","Ok")</f>
        <v>High Discount</v>
      </c>
      <c r="P375">
        <f>OrderLines[[#This Row],[UnitCost]]*OrderLines[[#This Row],[Qty]]</f>
        <v>148.13999999999999</v>
      </c>
      <c r="Q375" s="8">
        <f>OrderLines[[#This Row],[LineNetAmount]]-OrderLines[[#This Row],[Food Cost]]</f>
        <v>162.77060000000006</v>
      </c>
    </row>
    <row r="376" spans="1:17" x14ac:dyDescent="0.3">
      <c r="A376" t="s">
        <v>187</v>
      </c>
      <c r="B376" t="s">
        <v>407</v>
      </c>
      <c r="C376">
        <v>1</v>
      </c>
      <c r="D376" cm="1">
        <f t="array" ref="D376">VLOOKUP(OrderLines[[#This Row],[SKU]:[SKU]],Menu[],MATCH(OrderLines[[#Headers],[UnitPrice]],Menu[#Headers],0),FALSE)</f>
        <v>246.09</v>
      </c>
      <c r="E376" cm="1">
        <f t="array" ref="E376">VLOOKUP(OrderLines[[#This Row],[SKU]:[SKU]],Menu[],MATCH(OrderLines[[#Headers],[UnitCost]],Menu[#Headers],0),FALSE)</f>
        <v>112.08</v>
      </c>
      <c r="F376" t="str" cm="1">
        <f t="array" ref="F376">VLOOKUP(OrderLines[[#This Row],[SKU]:[SKU]],Menu[],MATCH(OrderLines[[#Headers],[Category]],Menu[#Headers],0),FALSE)</f>
        <v>Hot Meal</v>
      </c>
      <c r="G376" t="str" cm="1">
        <f t="array" ref="G376">_xlfn.TEXTJOIN("+",TRUE,_xlfn._xlws.SORT(_xlfn.UNIQUE(_xlfn._xlws.FILTER(OrderLines[Category],OrderLines[OrderID]=OrderLines[[#This Row],[OrderID]]))))</f>
        <v>Hot Meal</v>
      </c>
      <c r="H376" s="2" cm="1">
        <f t="array" ref="H376">INT(VLOOKUP(OrderLines[[#This Row],[OrderID]:[OrderID]],Orders[],MATCH(OrderLines[[#Headers],[OrderDateTime]],Orders[#Headers],0),FALSE))</f>
        <v>45895</v>
      </c>
      <c r="I376" t="str" cm="1">
        <f t="array" ref="I376">VLOOKUP(OrderLines[[#This Row],[OrderID]:[OrderID]],Orders[],MATCH(OrderLines[[#Headers],[Branch]],Orders[#Headers],0),FALSE)</f>
        <v>Head Office Café</v>
      </c>
      <c r="J376" cm="1">
        <f t="array" ref="J376">VLOOKUP(OrderLines[[#This Row],[OrderID]:[OrderID]],Orders[],MATCH(OrderLines[[#Headers],[DiscountPct]],Orders[#Headers],0),FALSE)</f>
        <v>0.09</v>
      </c>
      <c r="K376" t="str" cm="1">
        <f t="array" ref="K376">VLOOKUP(OrderLines[[#This Row],[OrderID]:[OrderID]],Orders[],MATCH(OrderLines[[#Headers],[PaymentType]],Orders[#Headers],0),FALSE)</f>
        <v>UPI</v>
      </c>
      <c r="L376" t="str" cm="1">
        <f t="array" ref="L376">VLOOKUP(OrderLines[[#This Row],[OrderID]:[OrderID]],Orders[],MATCH(OrderLines[[#Headers],[Shift]],Orders[#Headers],0),FALSE)</f>
        <v>Breakfast</v>
      </c>
      <c r="M376" s="8">
        <f>(OrderLines[[#This Row],[Qty]]*OrderLines[[#This Row],[UnitPrice]])*(1-OrderLines[[#This Row],[DiscountPct]])</f>
        <v>223.9419</v>
      </c>
      <c r="N376" t="str">
        <f>IF(AND(COUNTIFS(OrderLines[OrderID],OrderLines[[#This Row],[OrderID]],OrderLines[Category],"Hot Meal"),COUNTIFS(OrderLines[OrderID],OrderLines[[#This Row],[OrderID]],OrderLines[Category],"Beverage")),"Combo","Single")</f>
        <v>Single</v>
      </c>
      <c r="O376" s="8" t="str" cm="1">
        <f t="array" ref="O376">IF(SUMPRODUCT(OrderLines[UnitPrice],OrderLines[Qty],OrderLines[DiscountPct],--(OrderLines[OrderID] = OrderLines[[#This Row],[OrderID]]))&gt;40,"High Discount","Ok")</f>
        <v>High Discount</v>
      </c>
      <c r="P376">
        <f>OrderLines[[#This Row],[UnitCost]]*OrderLines[[#This Row],[Qty]]</f>
        <v>112.08</v>
      </c>
      <c r="Q376" s="8">
        <f>OrderLines[[#This Row],[LineNetAmount]]-OrderLines[[#This Row],[Food Cost]]</f>
        <v>111.86190000000001</v>
      </c>
    </row>
    <row r="377" spans="1:17" x14ac:dyDescent="0.3">
      <c r="A377" t="s">
        <v>187</v>
      </c>
      <c r="B377" t="s">
        <v>416</v>
      </c>
      <c r="C377">
        <v>1</v>
      </c>
      <c r="D377" cm="1">
        <f t="array" ref="D377">VLOOKUP(OrderLines[[#This Row],[SKU]:[SKU]],Menu[],MATCH(OrderLines[[#Headers],[UnitPrice]],Menu[#Headers],0),FALSE)</f>
        <v>227.61</v>
      </c>
      <c r="E377" cm="1">
        <f t="array" ref="E377">VLOOKUP(OrderLines[[#This Row],[SKU]:[SKU]],Menu[],MATCH(OrderLines[[#Headers],[UnitCost]],Menu[#Headers],0),FALSE)</f>
        <v>96.22</v>
      </c>
      <c r="F377" t="str" cm="1">
        <f t="array" ref="F377">VLOOKUP(OrderLines[[#This Row],[SKU]:[SKU]],Menu[],MATCH(OrderLines[[#Headers],[Category]],Menu[#Headers],0),FALSE)</f>
        <v>Hot Meal</v>
      </c>
      <c r="G377" t="str" cm="1">
        <f t="array" ref="G377">_xlfn.TEXTJOIN("+",TRUE,_xlfn._xlws.SORT(_xlfn.UNIQUE(_xlfn._xlws.FILTER(OrderLines[Category],OrderLines[OrderID]=OrderLines[[#This Row],[OrderID]]))))</f>
        <v>Hot Meal</v>
      </c>
      <c r="H377" s="2" cm="1">
        <f t="array" ref="H377">INT(VLOOKUP(OrderLines[[#This Row],[OrderID]:[OrderID]],Orders[],MATCH(OrderLines[[#Headers],[OrderDateTime]],Orders[#Headers],0),FALSE))</f>
        <v>45895</v>
      </c>
      <c r="I377" t="str" cm="1">
        <f t="array" ref="I377">VLOOKUP(OrderLines[[#This Row],[OrderID]:[OrderID]],Orders[],MATCH(OrderLines[[#Headers],[Branch]],Orders[#Headers],0),FALSE)</f>
        <v>Head Office Café</v>
      </c>
      <c r="J377" cm="1">
        <f t="array" ref="J377">VLOOKUP(OrderLines[[#This Row],[OrderID]:[OrderID]],Orders[],MATCH(OrderLines[[#Headers],[DiscountPct]],Orders[#Headers],0),FALSE)</f>
        <v>0.09</v>
      </c>
      <c r="K377" t="str" cm="1">
        <f t="array" ref="K377">VLOOKUP(OrderLines[[#This Row],[OrderID]:[OrderID]],Orders[],MATCH(OrderLines[[#Headers],[PaymentType]],Orders[#Headers],0),FALSE)</f>
        <v>UPI</v>
      </c>
      <c r="L377" t="str" cm="1">
        <f t="array" ref="L377">VLOOKUP(OrderLines[[#This Row],[OrderID]:[OrderID]],Orders[],MATCH(OrderLines[[#Headers],[Shift]],Orders[#Headers],0),FALSE)</f>
        <v>Breakfast</v>
      </c>
      <c r="M377" s="8">
        <f>(OrderLines[[#This Row],[Qty]]*OrderLines[[#This Row],[UnitPrice]])*(1-OrderLines[[#This Row],[DiscountPct]])</f>
        <v>207.12510000000003</v>
      </c>
      <c r="N377" t="str">
        <f>IF(AND(COUNTIFS(OrderLines[OrderID],OrderLines[[#This Row],[OrderID]],OrderLines[Category],"Hot Meal"),COUNTIFS(OrderLines[OrderID],OrderLines[[#This Row],[OrderID]],OrderLines[Category],"Beverage")),"Combo","Single")</f>
        <v>Single</v>
      </c>
      <c r="O377" s="8" t="str" cm="1">
        <f t="array" ref="O377">IF(SUMPRODUCT(OrderLines[UnitPrice],OrderLines[Qty],OrderLines[DiscountPct],--(OrderLines[OrderID] = OrderLines[[#This Row],[OrderID]]))&gt;40,"High Discount","Ok")</f>
        <v>High Discount</v>
      </c>
      <c r="P377">
        <f>OrderLines[[#This Row],[UnitCost]]*OrderLines[[#This Row],[Qty]]</f>
        <v>96.22</v>
      </c>
      <c r="Q377" s="8">
        <f>OrderLines[[#This Row],[LineNetAmount]]-OrderLines[[#This Row],[Food Cost]]</f>
        <v>110.90510000000003</v>
      </c>
    </row>
    <row r="378" spans="1:17" x14ac:dyDescent="0.3">
      <c r="A378" t="s">
        <v>188</v>
      </c>
      <c r="B378" t="s">
        <v>416</v>
      </c>
      <c r="C378">
        <v>2</v>
      </c>
      <c r="D378" cm="1">
        <f t="array" ref="D378">VLOOKUP(OrderLines[[#This Row],[SKU]:[SKU]],Menu[],MATCH(OrderLines[[#Headers],[UnitPrice]],Menu[#Headers],0),FALSE)</f>
        <v>227.61</v>
      </c>
      <c r="E378" cm="1">
        <f t="array" ref="E378">VLOOKUP(OrderLines[[#This Row],[SKU]:[SKU]],Menu[],MATCH(OrderLines[[#Headers],[UnitCost]],Menu[#Headers],0),FALSE)</f>
        <v>96.22</v>
      </c>
      <c r="F378" t="str" cm="1">
        <f t="array" ref="F378">VLOOKUP(OrderLines[[#This Row],[SKU]:[SKU]],Menu[],MATCH(OrderLines[[#Headers],[Category]],Menu[#Headers],0),FALSE)</f>
        <v>Hot Meal</v>
      </c>
      <c r="G378" t="str" cm="1">
        <f t="array" ref="G378">_xlfn.TEXTJOIN("+",TRUE,_xlfn._xlws.SORT(_xlfn.UNIQUE(_xlfn._xlws.FILTER(OrderLines[Category],OrderLines[OrderID]=OrderLines[[#This Row],[OrderID]]))))</f>
        <v>Hot Meal</v>
      </c>
      <c r="H378" s="2" cm="1">
        <f t="array" ref="H378">INT(VLOOKUP(OrderLines[[#This Row],[OrderID]:[OrderID]],Orders[],MATCH(OrderLines[[#Headers],[OrderDateTime]],Orders[#Headers],0),FALSE))</f>
        <v>45895</v>
      </c>
      <c r="I378" t="str" cm="1">
        <f t="array" ref="I378">VLOOKUP(OrderLines[[#This Row],[OrderID]:[OrderID]],Orders[],MATCH(OrderLines[[#Headers],[Branch]],Orders[#Headers],0),FALSE)</f>
        <v>Plant 1 Canteen</v>
      </c>
      <c r="J378" cm="1">
        <f t="array" ref="J378">VLOOKUP(OrderLines[[#This Row],[OrderID]:[OrderID]],Orders[],MATCH(OrderLines[[#Headers],[DiscountPct]],Orders[#Headers],0),FALSE)</f>
        <v>7.0000000000000007E-2</v>
      </c>
      <c r="K378" t="str" cm="1">
        <f t="array" ref="K378">VLOOKUP(OrderLines[[#This Row],[OrderID]:[OrderID]],Orders[],MATCH(OrderLines[[#Headers],[PaymentType]],Orders[#Headers],0),FALSE)</f>
        <v>Card</v>
      </c>
      <c r="L378" t="str" cm="1">
        <f t="array" ref="L378">VLOOKUP(OrderLines[[#This Row],[OrderID]:[OrderID]],Orders[],MATCH(OrderLines[[#Headers],[Shift]],Orders[#Headers],0),FALSE)</f>
        <v>Breakfast</v>
      </c>
      <c r="M378" s="8">
        <f>(OrderLines[[#This Row],[Qty]]*OrderLines[[#This Row],[UnitPrice]])*(1-OrderLines[[#This Row],[DiscountPct]])</f>
        <v>423.3546</v>
      </c>
      <c r="N378" t="str">
        <f>IF(AND(COUNTIFS(OrderLines[OrderID],OrderLines[[#This Row],[OrderID]],OrderLines[Category],"Hot Meal"),COUNTIFS(OrderLines[OrderID],OrderLines[[#This Row],[OrderID]],OrderLines[Category],"Beverage")),"Combo","Single")</f>
        <v>Single</v>
      </c>
      <c r="O378" s="8" t="str" cm="1">
        <f t="array" ref="O378">IF(SUMPRODUCT(OrderLines[UnitPrice],OrderLines[Qty],OrderLines[DiscountPct],--(OrderLines[OrderID] = OrderLines[[#This Row],[OrderID]]))&gt;40,"High Discount","Ok")</f>
        <v>High Discount</v>
      </c>
      <c r="P378">
        <f>OrderLines[[#This Row],[UnitCost]]*OrderLines[[#This Row],[Qty]]</f>
        <v>192.44</v>
      </c>
      <c r="Q378" s="8">
        <f>OrderLines[[#This Row],[LineNetAmount]]-OrderLines[[#This Row],[Food Cost]]</f>
        <v>230.91460000000001</v>
      </c>
    </row>
    <row r="379" spans="1:17" x14ac:dyDescent="0.3">
      <c r="A379" t="s">
        <v>188</v>
      </c>
      <c r="B379" t="s">
        <v>417</v>
      </c>
      <c r="C379">
        <v>3</v>
      </c>
      <c r="D379" cm="1">
        <f t="array" ref="D379">VLOOKUP(OrderLines[[#This Row],[SKU]:[SKU]],Menu[],MATCH(OrderLines[[#Headers],[UnitPrice]],Menu[#Headers],0),FALSE)</f>
        <v>146.4</v>
      </c>
      <c r="E379" cm="1">
        <f t="array" ref="E379">VLOOKUP(OrderLines[[#This Row],[SKU]:[SKU]],Menu[],MATCH(OrderLines[[#Headers],[UnitCost]],Menu[#Headers],0),FALSE)</f>
        <v>80.92</v>
      </c>
      <c r="F379" t="str" cm="1">
        <f t="array" ref="F379">VLOOKUP(OrderLines[[#This Row],[SKU]:[SKU]],Menu[],MATCH(OrderLines[[#Headers],[Category]],Menu[#Headers],0),FALSE)</f>
        <v>Hot Meal</v>
      </c>
      <c r="G379" t="str" cm="1">
        <f t="array" ref="G379">_xlfn.TEXTJOIN("+",TRUE,_xlfn._xlws.SORT(_xlfn.UNIQUE(_xlfn._xlws.FILTER(OrderLines[Category],OrderLines[OrderID]=OrderLines[[#This Row],[OrderID]]))))</f>
        <v>Hot Meal</v>
      </c>
      <c r="H379" s="2" cm="1">
        <f t="array" ref="H379">INT(VLOOKUP(OrderLines[[#This Row],[OrderID]:[OrderID]],Orders[],MATCH(OrderLines[[#Headers],[OrderDateTime]],Orders[#Headers],0),FALSE))</f>
        <v>45895</v>
      </c>
      <c r="I379" t="str" cm="1">
        <f t="array" ref="I379">VLOOKUP(OrderLines[[#This Row],[OrderID]:[OrderID]],Orders[],MATCH(OrderLines[[#Headers],[Branch]],Orders[#Headers],0),FALSE)</f>
        <v>Plant 1 Canteen</v>
      </c>
      <c r="J379" cm="1">
        <f t="array" ref="J379">VLOOKUP(OrderLines[[#This Row],[OrderID]:[OrderID]],Orders[],MATCH(OrderLines[[#Headers],[DiscountPct]],Orders[#Headers],0),FALSE)</f>
        <v>7.0000000000000007E-2</v>
      </c>
      <c r="K379" t="str" cm="1">
        <f t="array" ref="K379">VLOOKUP(OrderLines[[#This Row],[OrderID]:[OrderID]],Orders[],MATCH(OrderLines[[#Headers],[PaymentType]],Orders[#Headers],0),FALSE)</f>
        <v>Card</v>
      </c>
      <c r="L379" t="str" cm="1">
        <f t="array" ref="L379">VLOOKUP(OrderLines[[#This Row],[OrderID]:[OrderID]],Orders[],MATCH(OrderLines[[#Headers],[Shift]],Orders[#Headers],0),FALSE)</f>
        <v>Breakfast</v>
      </c>
      <c r="M379" s="8">
        <f>(OrderLines[[#This Row],[Qty]]*OrderLines[[#This Row],[UnitPrice]])*(1-OrderLines[[#This Row],[DiscountPct]])</f>
        <v>408.45600000000002</v>
      </c>
      <c r="N379" t="str">
        <f>IF(AND(COUNTIFS(OrderLines[OrderID],OrderLines[[#This Row],[OrderID]],OrderLines[Category],"Hot Meal"),COUNTIFS(OrderLines[OrderID],OrderLines[[#This Row],[OrderID]],OrderLines[Category],"Beverage")),"Combo","Single")</f>
        <v>Single</v>
      </c>
      <c r="O379" s="8" t="str" cm="1">
        <f t="array" ref="O379">IF(SUMPRODUCT(OrderLines[UnitPrice],OrderLines[Qty],OrderLines[DiscountPct],--(OrderLines[OrderID] = OrderLines[[#This Row],[OrderID]]))&gt;40,"High Discount","Ok")</f>
        <v>High Discount</v>
      </c>
      <c r="P379">
        <f>OrderLines[[#This Row],[UnitCost]]*OrderLines[[#This Row],[Qty]]</f>
        <v>242.76</v>
      </c>
      <c r="Q379" s="8">
        <f>OrderLines[[#This Row],[LineNetAmount]]-OrderLines[[#This Row],[Food Cost]]</f>
        <v>165.69600000000003</v>
      </c>
    </row>
    <row r="380" spans="1:17" x14ac:dyDescent="0.3">
      <c r="A380" t="s">
        <v>188</v>
      </c>
      <c r="B380" t="s">
        <v>407</v>
      </c>
      <c r="C380">
        <v>3</v>
      </c>
      <c r="D380" cm="1">
        <f t="array" ref="D380">VLOOKUP(OrderLines[[#This Row],[SKU]:[SKU]],Menu[],MATCH(OrderLines[[#Headers],[UnitPrice]],Menu[#Headers],0),FALSE)</f>
        <v>246.09</v>
      </c>
      <c r="E380" cm="1">
        <f t="array" ref="E380">VLOOKUP(OrderLines[[#This Row],[SKU]:[SKU]],Menu[],MATCH(OrderLines[[#Headers],[UnitCost]],Menu[#Headers],0),FALSE)</f>
        <v>112.08</v>
      </c>
      <c r="F380" t="str" cm="1">
        <f t="array" ref="F380">VLOOKUP(OrderLines[[#This Row],[SKU]:[SKU]],Menu[],MATCH(OrderLines[[#Headers],[Category]],Menu[#Headers],0),FALSE)</f>
        <v>Hot Meal</v>
      </c>
      <c r="G380" t="str" cm="1">
        <f t="array" ref="G380">_xlfn.TEXTJOIN("+",TRUE,_xlfn._xlws.SORT(_xlfn.UNIQUE(_xlfn._xlws.FILTER(OrderLines[Category],OrderLines[OrderID]=OrderLines[[#This Row],[OrderID]]))))</f>
        <v>Hot Meal</v>
      </c>
      <c r="H380" s="2" cm="1">
        <f t="array" ref="H380">INT(VLOOKUP(OrderLines[[#This Row],[OrderID]:[OrderID]],Orders[],MATCH(OrderLines[[#Headers],[OrderDateTime]],Orders[#Headers],0),FALSE))</f>
        <v>45895</v>
      </c>
      <c r="I380" t="str" cm="1">
        <f t="array" ref="I380">VLOOKUP(OrderLines[[#This Row],[OrderID]:[OrderID]],Orders[],MATCH(OrderLines[[#Headers],[Branch]],Orders[#Headers],0),FALSE)</f>
        <v>Plant 1 Canteen</v>
      </c>
      <c r="J380" cm="1">
        <f t="array" ref="J380">VLOOKUP(OrderLines[[#This Row],[OrderID]:[OrderID]],Orders[],MATCH(OrderLines[[#Headers],[DiscountPct]],Orders[#Headers],0),FALSE)</f>
        <v>7.0000000000000007E-2</v>
      </c>
      <c r="K380" t="str" cm="1">
        <f t="array" ref="K380">VLOOKUP(OrderLines[[#This Row],[OrderID]:[OrderID]],Orders[],MATCH(OrderLines[[#Headers],[PaymentType]],Orders[#Headers],0),FALSE)</f>
        <v>Card</v>
      </c>
      <c r="L380" t="str" cm="1">
        <f t="array" ref="L380">VLOOKUP(OrderLines[[#This Row],[OrderID]:[OrderID]],Orders[],MATCH(OrderLines[[#Headers],[Shift]],Orders[#Headers],0),FALSE)</f>
        <v>Breakfast</v>
      </c>
      <c r="M380" s="8">
        <f>(OrderLines[[#This Row],[Qty]]*OrderLines[[#This Row],[UnitPrice]])*(1-OrderLines[[#This Row],[DiscountPct]])</f>
        <v>686.59109999999998</v>
      </c>
      <c r="N380" t="str">
        <f>IF(AND(COUNTIFS(OrderLines[OrderID],OrderLines[[#This Row],[OrderID]],OrderLines[Category],"Hot Meal"),COUNTIFS(OrderLines[OrderID],OrderLines[[#This Row],[OrderID]],OrderLines[Category],"Beverage")),"Combo","Single")</f>
        <v>Single</v>
      </c>
      <c r="O380" s="8" t="str" cm="1">
        <f t="array" ref="O380">IF(SUMPRODUCT(OrderLines[UnitPrice],OrderLines[Qty],OrderLines[DiscountPct],--(OrderLines[OrderID] = OrderLines[[#This Row],[OrderID]]))&gt;40,"High Discount","Ok")</f>
        <v>High Discount</v>
      </c>
      <c r="P380">
        <f>OrderLines[[#This Row],[UnitCost]]*OrderLines[[#This Row],[Qty]]</f>
        <v>336.24</v>
      </c>
      <c r="Q380" s="8">
        <f>OrderLines[[#This Row],[LineNetAmount]]-OrderLines[[#This Row],[Food Cost]]</f>
        <v>350.35109999999997</v>
      </c>
    </row>
    <row r="381" spans="1:17" x14ac:dyDescent="0.3">
      <c r="A381" t="s">
        <v>189</v>
      </c>
      <c r="B381" t="s">
        <v>417</v>
      </c>
      <c r="C381">
        <v>1</v>
      </c>
      <c r="D381" cm="1">
        <f t="array" ref="D381">VLOOKUP(OrderLines[[#This Row],[SKU]:[SKU]],Menu[],MATCH(OrderLines[[#Headers],[UnitPrice]],Menu[#Headers],0),FALSE)</f>
        <v>146.4</v>
      </c>
      <c r="E381" cm="1">
        <f t="array" ref="E381">VLOOKUP(OrderLines[[#This Row],[SKU]:[SKU]],Menu[],MATCH(OrderLines[[#Headers],[UnitCost]],Menu[#Headers],0),FALSE)</f>
        <v>80.92</v>
      </c>
      <c r="F381" t="str" cm="1">
        <f t="array" ref="F381">VLOOKUP(OrderLines[[#This Row],[SKU]:[SKU]],Menu[],MATCH(OrderLines[[#Headers],[Category]],Menu[#Headers],0),FALSE)</f>
        <v>Hot Meal</v>
      </c>
      <c r="G381" t="str" cm="1">
        <f t="array" ref="G381">_xlfn.TEXTJOIN("+",TRUE,_xlfn._xlws.SORT(_xlfn.UNIQUE(_xlfn._xlws.FILTER(OrderLines[Category],OrderLines[OrderID]=OrderLines[[#This Row],[OrderID]]))))</f>
        <v>Beverage+Hot Meal</v>
      </c>
      <c r="H381" s="2" cm="1">
        <f t="array" ref="H381">INT(VLOOKUP(OrderLines[[#This Row],[OrderID]:[OrderID]],Orders[],MATCH(OrderLines[[#Headers],[OrderDateTime]],Orders[#Headers],0),FALSE))</f>
        <v>45882</v>
      </c>
      <c r="I381" t="str" cm="1">
        <f t="array" ref="I381">VLOOKUP(OrderLines[[#This Row],[OrderID]:[OrderID]],Orders[],MATCH(OrderLines[[#Headers],[Branch]],Orders[#Headers],0),FALSE)</f>
        <v>Plant 2 Canteen</v>
      </c>
      <c r="J381" cm="1">
        <f t="array" ref="J381">VLOOKUP(OrderLines[[#This Row],[OrderID]:[OrderID]],Orders[],MATCH(OrderLines[[#Headers],[DiscountPct]],Orders[#Headers],0),FALSE)</f>
        <v>0.01</v>
      </c>
      <c r="K381" t="str" cm="1">
        <f t="array" ref="K381">VLOOKUP(OrderLines[[#This Row],[OrderID]:[OrderID]],Orders[],MATCH(OrderLines[[#Headers],[PaymentType]],Orders[#Headers],0),FALSE)</f>
        <v>UPI</v>
      </c>
      <c r="L381" t="str" cm="1">
        <f t="array" ref="L381">VLOOKUP(OrderLines[[#This Row],[OrderID]:[OrderID]],Orders[],MATCH(OrderLines[[#Headers],[Shift]],Orders[#Headers],0),FALSE)</f>
        <v>Breakfast</v>
      </c>
      <c r="M381" s="8">
        <f>(OrderLines[[#This Row],[Qty]]*OrderLines[[#This Row],[UnitPrice]])*(1-OrderLines[[#This Row],[DiscountPct]])</f>
        <v>144.93600000000001</v>
      </c>
      <c r="N381" t="str">
        <f>IF(AND(COUNTIFS(OrderLines[OrderID],OrderLines[[#This Row],[OrderID]],OrderLines[Category],"Hot Meal"),COUNTIFS(OrderLines[OrderID],OrderLines[[#This Row],[OrderID]],OrderLines[Category],"Beverage")),"Combo","Single")</f>
        <v>Combo</v>
      </c>
      <c r="O381" s="8" t="str" cm="1">
        <f t="array" ref="O381">IF(SUMPRODUCT(OrderLines[UnitPrice],OrderLines[Qty],OrderLines[DiscountPct],--(OrderLines[OrderID] = OrderLines[[#This Row],[OrderID]]))&gt;40,"High Discount","Ok")</f>
        <v>Ok</v>
      </c>
      <c r="P381">
        <f>OrderLines[[#This Row],[UnitCost]]*OrderLines[[#This Row],[Qty]]</f>
        <v>80.92</v>
      </c>
      <c r="Q381" s="8">
        <f>OrderLines[[#This Row],[LineNetAmount]]-OrderLines[[#This Row],[Food Cost]]</f>
        <v>64.016000000000005</v>
      </c>
    </row>
    <row r="382" spans="1:17" x14ac:dyDescent="0.3">
      <c r="A382" t="s">
        <v>189</v>
      </c>
      <c r="B382" t="s">
        <v>402</v>
      </c>
      <c r="C382">
        <v>3</v>
      </c>
      <c r="D382" cm="1">
        <f t="array" ref="D382">VLOOKUP(OrderLines[[#This Row],[SKU]:[SKU]],Menu[],MATCH(OrderLines[[#Headers],[UnitPrice]],Menu[#Headers],0),FALSE)</f>
        <v>30.34</v>
      </c>
      <c r="E382" cm="1">
        <f t="array" ref="E382">VLOOKUP(OrderLines[[#This Row],[SKU]:[SKU]],Menu[],MATCH(OrderLines[[#Headers],[UnitCost]],Menu[#Headers],0),FALSE)</f>
        <v>14.18</v>
      </c>
      <c r="F382" t="str" cm="1">
        <f t="array" ref="F382">VLOOKUP(OrderLines[[#This Row],[SKU]:[SKU]],Menu[],MATCH(OrderLines[[#Headers],[Category]],Menu[#Headers],0),FALSE)</f>
        <v>Beverage</v>
      </c>
      <c r="G382" t="str" cm="1">
        <f t="array" ref="G382">_xlfn.TEXTJOIN("+",TRUE,_xlfn._xlws.SORT(_xlfn.UNIQUE(_xlfn._xlws.FILTER(OrderLines[Category],OrderLines[OrderID]=OrderLines[[#This Row],[OrderID]]))))</f>
        <v>Beverage+Hot Meal</v>
      </c>
      <c r="H382" s="2" cm="1">
        <f t="array" ref="H382">INT(VLOOKUP(OrderLines[[#This Row],[OrderID]:[OrderID]],Orders[],MATCH(OrderLines[[#Headers],[OrderDateTime]],Orders[#Headers],0),FALSE))</f>
        <v>45882</v>
      </c>
      <c r="I382" t="str" cm="1">
        <f t="array" ref="I382">VLOOKUP(OrderLines[[#This Row],[OrderID]:[OrderID]],Orders[],MATCH(OrderLines[[#Headers],[Branch]],Orders[#Headers],0),FALSE)</f>
        <v>Plant 2 Canteen</v>
      </c>
      <c r="J382" cm="1">
        <f t="array" ref="J382">VLOOKUP(OrderLines[[#This Row],[OrderID]:[OrderID]],Orders[],MATCH(OrderLines[[#Headers],[DiscountPct]],Orders[#Headers],0),FALSE)</f>
        <v>0.01</v>
      </c>
      <c r="K382" t="str" cm="1">
        <f t="array" ref="K382">VLOOKUP(OrderLines[[#This Row],[OrderID]:[OrderID]],Orders[],MATCH(OrderLines[[#Headers],[PaymentType]],Orders[#Headers],0),FALSE)</f>
        <v>UPI</v>
      </c>
      <c r="L382" t="str" cm="1">
        <f t="array" ref="L382">VLOOKUP(OrderLines[[#This Row],[OrderID]:[OrderID]],Orders[],MATCH(OrderLines[[#Headers],[Shift]],Orders[#Headers],0),FALSE)</f>
        <v>Breakfast</v>
      </c>
      <c r="M382" s="8">
        <f>(OrderLines[[#This Row],[Qty]]*OrderLines[[#This Row],[UnitPrice]])*(1-OrderLines[[#This Row],[DiscountPct]])</f>
        <v>90.109799999999993</v>
      </c>
      <c r="N382" t="str">
        <f>IF(AND(COUNTIFS(OrderLines[OrderID],OrderLines[[#This Row],[OrderID]],OrderLines[Category],"Hot Meal"),COUNTIFS(OrderLines[OrderID],OrderLines[[#This Row],[OrderID]],OrderLines[Category],"Beverage")),"Combo","Single")</f>
        <v>Combo</v>
      </c>
      <c r="O382" s="8" t="str" cm="1">
        <f t="array" ref="O382">IF(SUMPRODUCT(OrderLines[UnitPrice],OrderLines[Qty],OrderLines[DiscountPct],--(OrderLines[OrderID] = OrderLines[[#This Row],[OrderID]]))&gt;40,"High Discount","Ok")</f>
        <v>Ok</v>
      </c>
      <c r="P382">
        <f>OrderLines[[#This Row],[UnitCost]]*OrderLines[[#This Row],[Qty]]</f>
        <v>42.54</v>
      </c>
      <c r="Q382" s="8">
        <f>OrderLines[[#This Row],[LineNetAmount]]-OrderLines[[#This Row],[Food Cost]]</f>
        <v>47.569799999999994</v>
      </c>
    </row>
    <row r="383" spans="1:17" x14ac:dyDescent="0.3">
      <c r="A383" t="s">
        <v>190</v>
      </c>
      <c r="B383" t="s">
        <v>410</v>
      </c>
      <c r="C383">
        <v>1</v>
      </c>
      <c r="D383" cm="1">
        <f t="array" ref="D383">VLOOKUP(OrderLines[[#This Row],[SKU]:[SKU]],Menu[],MATCH(OrderLines[[#Headers],[UnitPrice]],Menu[#Headers],0),FALSE)</f>
        <v>20.11</v>
      </c>
      <c r="E383" cm="1">
        <f t="array" ref="E383">VLOOKUP(OrderLines[[#This Row],[SKU]:[SKU]],Menu[],MATCH(OrderLines[[#Headers],[UnitCost]],Menu[#Headers],0),FALSE)</f>
        <v>8</v>
      </c>
      <c r="F383" t="str" cm="1">
        <f t="array" ref="F383">VLOOKUP(OrderLines[[#This Row],[SKU]:[SKU]],Menu[],MATCH(OrderLines[[#Headers],[Category]],Menu[#Headers],0),FALSE)</f>
        <v>Beverage</v>
      </c>
      <c r="G383" t="str" cm="1">
        <f t="array" ref="G383">_xlfn.TEXTJOIN("+",TRUE,_xlfn._xlws.SORT(_xlfn.UNIQUE(_xlfn._xlws.FILTER(OrderLines[Category],OrderLines[OrderID]=OrderLines[[#This Row],[OrderID]]))))</f>
        <v>Beverage</v>
      </c>
      <c r="H383" s="2" cm="1">
        <f t="array" ref="H383">INT(VLOOKUP(OrderLines[[#This Row],[OrderID]:[OrderID]],Orders[],MATCH(OrderLines[[#Headers],[OrderDateTime]],Orders[#Headers],0),FALSE))</f>
        <v>45886</v>
      </c>
      <c r="I383" t="str" cm="1">
        <f t="array" ref="I383">VLOOKUP(OrderLines[[#This Row],[OrderID]:[OrderID]],Orders[],MATCH(OrderLines[[#Headers],[Branch]],Orders[#Headers],0),FALSE)</f>
        <v>Plant 1 Canteen</v>
      </c>
      <c r="J383" cm="1">
        <f t="array" ref="J383">VLOOKUP(OrderLines[[#This Row],[OrderID]:[OrderID]],Orders[],MATCH(OrderLines[[#Headers],[DiscountPct]],Orders[#Headers],0),FALSE)</f>
        <v>7.0000000000000007E-2</v>
      </c>
      <c r="K383" t="str" cm="1">
        <f t="array" ref="K383">VLOOKUP(OrderLines[[#This Row],[OrderID]:[OrderID]],Orders[],MATCH(OrderLines[[#Headers],[PaymentType]],Orders[#Headers],0),FALSE)</f>
        <v>Card</v>
      </c>
      <c r="L383" t="str" cm="1">
        <f t="array" ref="L383">VLOOKUP(OrderLines[[#This Row],[OrderID]:[OrderID]],Orders[],MATCH(OrderLines[[#Headers],[Shift]],Orders[#Headers],0),FALSE)</f>
        <v>Dinner</v>
      </c>
      <c r="M383" s="8">
        <f>(OrderLines[[#This Row],[Qty]]*OrderLines[[#This Row],[UnitPrice]])*(1-OrderLines[[#This Row],[DiscountPct]])</f>
        <v>18.702299999999997</v>
      </c>
      <c r="N383" t="str">
        <f>IF(AND(COUNTIFS(OrderLines[OrderID],OrderLines[[#This Row],[OrderID]],OrderLines[Category],"Hot Meal"),COUNTIFS(OrderLines[OrderID],OrderLines[[#This Row],[OrderID]],OrderLines[Category],"Beverage")),"Combo","Single")</f>
        <v>Single</v>
      </c>
      <c r="O383" s="8" t="str" cm="1">
        <f t="array" ref="O383">IF(SUMPRODUCT(OrderLines[UnitPrice],OrderLines[Qty],OrderLines[DiscountPct],--(OrderLines[OrderID] = OrderLines[[#This Row],[OrderID]]))&gt;40,"High Discount","Ok")</f>
        <v>Ok</v>
      </c>
      <c r="P383">
        <f>OrderLines[[#This Row],[UnitCost]]*OrderLines[[#This Row],[Qty]]</f>
        <v>8</v>
      </c>
      <c r="Q383" s="8">
        <f>OrderLines[[#This Row],[LineNetAmount]]-OrderLines[[#This Row],[Food Cost]]</f>
        <v>10.702299999999997</v>
      </c>
    </row>
    <row r="384" spans="1:17" x14ac:dyDescent="0.3">
      <c r="A384" t="s">
        <v>190</v>
      </c>
      <c r="B384" t="s">
        <v>409</v>
      </c>
      <c r="C384">
        <v>2</v>
      </c>
      <c r="D384" cm="1">
        <f t="array" ref="D384">VLOOKUP(OrderLines[[#This Row],[SKU]:[SKU]],Menu[],MATCH(OrderLines[[#Headers],[UnitPrice]],Menu[#Headers],0),FALSE)</f>
        <v>28.43</v>
      </c>
      <c r="E384" cm="1">
        <f t="array" ref="E384">VLOOKUP(OrderLines[[#This Row],[SKU]:[SKU]],Menu[],MATCH(OrderLines[[#Headers],[UnitCost]],Menu[#Headers],0),FALSE)</f>
        <v>13.89</v>
      </c>
      <c r="F384" t="str" cm="1">
        <f t="array" ref="F384">VLOOKUP(OrderLines[[#This Row],[SKU]:[SKU]],Menu[],MATCH(OrderLines[[#Headers],[Category]],Menu[#Headers],0),FALSE)</f>
        <v>Beverage</v>
      </c>
      <c r="G384" t="str" cm="1">
        <f t="array" ref="G384">_xlfn.TEXTJOIN("+",TRUE,_xlfn._xlws.SORT(_xlfn.UNIQUE(_xlfn._xlws.FILTER(OrderLines[Category],OrderLines[OrderID]=OrderLines[[#This Row],[OrderID]]))))</f>
        <v>Beverage</v>
      </c>
      <c r="H384" s="2" cm="1">
        <f t="array" ref="H384">INT(VLOOKUP(OrderLines[[#This Row],[OrderID]:[OrderID]],Orders[],MATCH(OrderLines[[#Headers],[OrderDateTime]],Orders[#Headers],0),FALSE))</f>
        <v>45886</v>
      </c>
      <c r="I384" t="str" cm="1">
        <f t="array" ref="I384">VLOOKUP(OrderLines[[#This Row],[OrderID]:[OrderID]],Orders[],MATCH(OrderLines[[#Headers],[Branch]],Orders[#Headers],0),FALSE)</f>
        <v>Plant 1 Canteen</v>
      </c>
      <c r="J384" cm="1">
        <f t="array" ref="J384">VLOOKUP(OrderLines[[#This Row],[OrderID]:[OrderID]],Orders[],MATCH(OrderLines[[#Headers],[DiscountPct]],Orders[#Headers],0),FALSE)</f>
        <v>7.0000000000000007E-2</v>
      </c>
      <c r="K384" t="str" cm="1">
        <f t="array" ref="K384">VLOOKUP(OrderLines[[#This Row],[OrderID]:[OrderID]],Orders[],MATCH(OrderLines[[#Headers],[PaymentType]],Orders[#Headers],0),FALSE)</f>
        <v>Card</v>
      </c>
      <c r="L384" t="str" cm="1">
        <f t="array" ref="L384">VLOOKUP(OrderLines[[#This Row],[OrderID]:[OrderID]],Orders[],MATCH(OrderLines[[#Headers],[Shift]],Orders[#Headers],0),FALSE)</f>
        <v>Dinner</v>
      </c>
      <c r="M384" s="8">
        <f>(OrderLines[[#This Row],[Qty]]*OrderLines[[#This Row],[UnitPrice]])*(1-OrderLines[[#This Row],[DiscountPct]])</f>
        <v>52.879799999999996</v>
      </c>
      <c r="N384" t="str">
        <f>IF(AND(COUNTIFS(OrderLines[OrderID],OrderLines[[#This Row],[OrderID]],OrderLines[Category],"Hot Meal"),COUNTIFS(OrderLines[OrderID],OrderLines[[#This Row],[OrderID]],OrderLines[Category],"Beverage")),"Combo","Single")</f>
        <v>Single</v>
      </c>
      <c r="O384" s="8" t="str" cm="1">
        <f t="array" ref="O384">IF(SUMPRODUCT(OrderLines[UnitPrice],OrderLines[Qty],OrderLines[DiscountPct],--(OrderLines[OrderID] = OrderLines[[#This Row],[OrderID]]))&gt;40,"High Discount","Ok")</f>
        <v>Ok</v>
      </c>
      <c r="P384">
        <f>OrderLines[[#This Row],[UnitCost]]*OrderLines[[#This Row],[Qty]]</f>
        <v>27.78</v>
      </c>
      <c r="Q384" s="8">
        <f>OrderLines[[#This Row],[LineNetAmount]]-OrderLines[[#This Row],[Food Cost]]</f>
        <v>25.099799999999995</v>
      </c>
    </row>
    <row r="385" spans="1:17" x14ac:dyDescent="0.3">
      <c r="A385" t="s">
        <v>191</v>
      </c>
      <c r="B385" t="s">
        <v>419</v>
      </c>
      <c r="C385">
        <v>1</v>
      </c>
      <c r="D385" cm="1">
        <f t="array" ref="D385">VLOOKUP(OrderLines[[#This Row],[SKU]:[SKU]],Menu[],MATCH(OrderLines[[#Headers],[UnitPrice]],Menu[#Headers],0),FALSE)</f>
        <v>50.19</v>
      </c>
      <c r="E385" cm="1">
        <f t="array" ref="E385">VLOOKUP(OrderLines[[#This Row],[SKU]:[SKU]],Menu[],MATCH(OrderLines[[#Headers],[UnitCost]],Menu[#Headers],0),FALSE)</f>
        <v>22.61</v>
      </c>
      <c r="F385" t="str" cm="1">
        <f t="array" ref="F385">VLOOKUP(OrderLines[[#This Row],[SKU]:[SKU]],Menu[],MATCH(OrderLines[[#Headers],[Category]],Menu[#Headers],0),FALSE)</f>
        <v>Snack</v>
      </c>
      <c r="G385" t="str" cm="1">
        <f t="array" ref="G385">_xlfn.TEXTJOIN("+",TRUE,_xlfn._xlws.SORT(_xlfn.UNIQUE(_xlfn._xlws.FILTER(OrderLines[Category],OrderLines[OrderID]=OrderLines[[#This Row],[OrderID]]))))</f>
        <v>Beverage+Dessert+Snack</v>
      </c>
      <c r="H385" s="2" cm="1">
        <f t="array" ref="H385">INT(VLOOKUP(OrderLines[[#This Row],[OrderID]:[OrderID]],Orders[],MATCH(OrderLines[[#Headers],[OrderDateTime]],Orders[#Headers],0),FALSE))</f>
        <v>45871</v>
      </c>
      <c r="I385" t="str" cm="1">
        <f t="array" ref="I385">VLOOKUP(OrderLines[[#This Row],[OrderID]:[OrderID]],Orders[],MATCH(OrderLines[[#Headers],[Branch]],Orders[#Headers],0),FALSE)</f>
        <v>Plant 2 Canteen</v>
      </c>
      <c r="J385" cm="1">
        <f t="array" ref="J385">VLOOKUP(OrderLines[[#This Row],[OrderID]:[OrderID]],Orders[],MATCH(OrderLines[[#Headers],[DiscountPct]],Orders[#Headers],0),FALSE)</f>
        <v>0.08</v>
      </c>
      <c r="K385" t="str" cm="1">
        <f t="array" ref="K385">VLOOKUP(OrderLines[[#This Row],[OrderID]:[OrderID]],Orders[],MATCH(OrderLines[[#Headers],[PaymentType]],Orders[#Headers],0),FALSE)</f>
        <v>Cash</v>
      </c>
      <c r="L385" t="str" cm="1">
        <f t="array" ref="L385">VLOOKUP(OrderLines[[#This Row],[OrderID]:[OrderID]],Orders[],MATCH(OrderLines[[#Headers],[Shift]],Orders[#Headers],0),FALSE)</f>
        <v>Lunch</v>
      </c>
      <c r="M385" s="8">
        <f>(OrderLines[[#This Row],[Qty]]*OrderLines[[#This Row],[UnitPrice]])*(1-OrderLines[[#This Row],[DiscountPct]])</f>
        <v>46.174799999999998</v>
      </c>
      <c r="N385" t="str">
        <f>IF(AND(COUNTIFS(OrderLines[OrderID],OrderLines[[#This Row],[OrderID]],OrderLines[Category],"Hot Meal"),COUNTIFS(OrderLines[OrderID],OrderLines[[#This Row],[OrderID]],OrderLines[Category],"Beverage")),"Combo","Single")</f>
        <v>Single</v>
      </c>
      <c r="O385" s="8" t="str" cm="1">
        <f t="array" ref="O385">IF(SUMPRODUCT(OrderLines[UnitPrice],OrderLines[Qty],OrderLines[DiscountPct],--(OrderLines[OrderID] = OrderLines[[#This Row],[OrderID]]))&gt;40,"High Discount","Ok")</f>
        <v>Ok</v>
      </c>
      <c r="P385">
        <f>OrderLines[[#This Row],[UnitCost]]*OrderLines[[#This Row],[Qty]]</f>
        <v>22.61</v>
      </c>
      <c r="Q385" s="8">
        <f>OrderLines[[#This Row],[LineNetAmount]]-OrderLines[[#This Row],[Food Cost]]</f>
        <v>23.564799999999998</v>
      </c>
    </row>
    <row r="386" spans="1:17" x14ac:dyDescent="0.3">
      <c r="A386" t="s">
        <v>191</v>
      </c>
      <c r="B386" t="s">
        <v>409</v>
      </c>
      <c r="C386">
        <v>2</v>
      </c>
      <c r="D386" cm="1">
        <f t="array" ref="D386">VLOOKUP(OrderLines[[#This Row],[SKU]:[SKU]],Menu[],MATCH(OrderLines[[#Headers],[UnitPrice]],Menu[#Headers],0),FALSE)</f>
        <v>28.43</v>
      </c>
      <c r="E386" cm="1">
        <f t="array" ref="E386">VLOOKUP(OrderLines[[#This Row],[SKU]:[SKU]],Menu[],MATCH(OrderLines[[#Headers],[UnitCost]],Menu[#Headers],0),FALSE)</f>
        <v>13.89</v>
      </c>
      <c r="F386" t="str" cm="1">
        <f t="array" ref="F386">VLOOKUP(OrderLines[[#This Row],[SKU]:[SKU]],Menu[],MATCH(OrderLines[[#Headers],[Category]],Menu[#Headers],0),FALSE)</f>
        <v>Beverage</v>
      </c>
      <c r="G386" t="str" cm="1">
        <f t="array" ref="G386">_xlfn.TEXTJOIN("+",TRUE,_xlfn._xlws.SORT(_xlfn.UNIQUE(_xlfn._xlws.FILTER(OrderLines[Category],OrderLines[OrderID]=OrderLines[[#This Row],[OrderID]]))))</f>
        <v>Beverage+Dessert+Snack</v>
      </c>
      <c r="H386" s="2" cm="1">
        <f t="array" ref="H386">INT(VLOOKUP(OrderLines[[#This Row],[OrderID]:[OrderID]],Orders[],MATCH(OrderLines[[#Headers],[OrderDateTime]],Orders[#Headers],0),FALSE))</f>
        <v>45871</v>
      </c>
      <c r="I386" t="str" cm="1">
        <f t="array" ref="I386">VLOOKUP(OrderLines[[#This Row],[OrderID]:[OrderID]],Orders[],MATCH(OrderLines[[#Headers],[Branch]],Orders[#Headers],0),FALSE)</f>
        <v>Plant 2 Canteen</v>
      </c>
      <c r="J386" cm="1">
        <f t="array" ref="J386">VLOOKUP(OrderLines[[#This Row],[OrderID]:[OrderID]],Orders[],MATCH(OrderLines[[#Headers],[DiscountPct]],Orders[#Headers],0),FALSE)</f>
        <v>0.08</v>
      </c>
      <c r="K386" t="str" cm="1">
        <f t="array" ref="K386">VLOOKUP(OrderLines[[#This Row],[OrderID]:[OrderID]],Orders[],MATCH(OrderLines[[#Headers],[PaymentType]],Orders[#Headers],0),FALSE)</f>
        <v>Cash</v>
      </c>
      <c r="L386" t="str" cm="1">
        <f t="array" ref="L386">VLOOKUP(OrderLines[[#This Row],[OrderID]:[OrderID]],Orders[],MATCH(OrderLines[[#Headers],[Shift]],Orders[#Headers],0),FALSE)</f>
        <v>Lunch</v>
      </c>
      <c r="M386" s="8">
        <f>(OrderLines[[#This Row],[Qty]]*OrderLines[[#This Row],[UnitPrice]])*(1-OrderLines[[#This Row],[DiscountPct]])</f>
        <v>52.311199999999999</v>
      </c>
      <c r="N386" t="str">
        <f>IF(AND(COUNTIFS(OrderLines[OrderID],OrderLines[[#This Row],[OrderID]],OrderLines[Category],"Hot Meal"),COUNTIFS(OrderLines[OrderID],OrderLines[[#This Row],[OrderID]],OrderLines[Category],"Beverage")),"Combo","Single")</f>
        <v>Single</v>
      </c>
      <c r="O386" s="8" t="str" cm="1">
        <f t="array" ref="O386">IF(SUMPRODUCT(OrderLines[UnitPrice],OrderLines[Qty],OrderLines[DiscountPct],--(OrderLines[OrderID] = OrderLines[[#This Row],[OrderID]]))&gt;40,"High Discount","Ok")</f>
        <v>Ok</v>
      </c>
      <c r="P386">
        <f>OrderLines[[#This Row],[UnitCost]]*OrderLines[[#This Row],[Qty]]</f>
        <v>27.78</v>
      </c>
      <c r="Q386" s="8">
        <f>OrderLines[[#This Row],[LineNetAmount]]-OrderLines[[#This Row],[Food Cost]]</f>
        <v>24.531199999999998</v>
      </c>
    </row>
    <row r="387" spans="1:17" x14ac:dyDescent="0.3">
      <c r="A387" t="s">
        <v>191</v>
      </c>
      <c r="B387" t="s">
        <v>414</v>
      </c>
      <c r="C387">
        <v>2</v>
      </c>
      <c r="D387" cm="1">
        <f t="array" ref="D387">VLOOKUP(OrderLines[[#This Row],[SKU]:[SKU]],Menu[],MATCH(OrderLines[[#Headers],[UnitPrice]],Menu[#Headers],0),FALSE)</f>
        <v>116.8</v>
      </c>
      <c r="E387" cm="1">
        <f t="array" ref="E387">VLOOKUP(OrderLines[[#This Row],[SKU]:[SKU]],Menu[],MATCH(OrderLines[[#Headers],[UnitCost]],Menu[#Headers],0),FALSE)</f>
        <v>48.97</v>
      </c>
      <c r="F387" t="str" cm="1">
        <f t="array" ref="F387">VLOOKUP(OrderLines[[#This Row],[SKU]:[SKU]],Menu[],MATCH(OrderLines[[#Headers],[Category]],Menu[#Headers],0),FALSE)</f>
        <v>Dessert</v>
      </c>
      <c r="G387" t="str" cm="1">
        <f t="array" ref="G387">_xlfn.TEXTJOIN("+",TRUE,_xlfn._xlws.SORT(_xlfn.UNIQUE(_xlfn._xlws.FILTER(OrderLines[Category],OrderLines[OrderID]=OrderLines[[#This Row],[OrderID]]))))</f>
        <v>Beverage+Dessert+Snack</v>
      </c>
      <c r="H387" s="2" cm="1">
        <f t="array" ref="H387">INT(VLOOKUP(OrderLines[[#This Row],[OrderID]:[OrderID]],Orders[],MATCH(OrderLines[[#Headers],[OrderDateTime]],Orders[#Headers],0),FALSE))</f>
        <v>45871</v>
      </c>
      <c r="I387" t="str" cm="1">
        <f t="array" ref="I387">VLOOKUP(OrderLines[[#This Row],[OrderID]:[OrderID]],Orders[],MATCH(OrderLines[[#Headers],[Branch]],Orders[#Headers],0),FALSE)</f>
        <v>Plant 2 Canteen</v>
      </c>
      <c r="J387" cm="1">
        <f t="array" ref="J387">VLOOKUP(OrderLines[[#This Row],[OrderID]:[OrderID]],Orders[],MATCH(OrderLines[[#Headers],[DiscountPct]],Orders[#Headers],0),FALSE)</f>
        <v>0.08</v>
      </c>
      <c r="K387" t="str" cm="1">
        <f t="array" ref="K387">VLOOKUP(OrderLines[[#This Row],[OrderID]:[OrderID]],Orders[],MATCH(OrderLines[[#Headers],[PaymentType]],Orders[#Headers],0),FALSE)</f>
        <v>Cash</v>
      </c>
      <c r="L387" t="str" cm="1">
        <f t="array" ref="L387">VLOOKUP(OrderLines[[#This Row],[OrderID]:[OrderID]],Orders[],MATCH(OrderLines[[#Headers],[Shift]],Orders[#Headers],0),FALSE)</f>
        <v>Lunch</v>
      </c>
      <c r="M387" s="8">
        <f>(OrderLines[[#This Row],[Qty]]*OrderLines[[#This Row],[UnitPrice]])*(1-OrderLines[[#This Row],[DiscountPct]])</f>
        <v>214.91200000000001</v>
      </c>
      <c r="N387" t="str">
        <f>IF(AND(COUNTIFS(OrderLines[OrderID],OrderLines[[#This Row],[OrderID]],OrderLines[Category],"Hot Meal"),COUNTIFS(OrderLines[OrderID],OrderLines[[#This Row],[OrderID]],OrderLines[Category],"Beverage")),"Combo","Single")</f>
        <v>Single</v>
      </c>
      <c r="O387" s="8" t="str" cm="1">
        <f t="array" ref="O387">IF(SUMPRODUCT(OrderLines[UnitPrice],OrderLines[Qty],OrderLines[DiscountPct],--(OrderLines[OrderID] = OrderLines[[#This Row],[OrderID]]))&gt;40,"High Discount","Ok")</f>
        <v>Ok</v>
      </c>
      <c r="P387">
        <f>OrderLines[[#This Row],[UnitCost]]*OrderLines[[#This Row],[Qty]]</f>
        <v>97.94</v>
      </c>
      <c r="Q387" s="8">
        <f>OrderLines[[#This Row],[LineNetAmount]]-OrderLines[[#This Row],[Food Cost]]</f>
        <v>116.97200000000001</v>
      </c>
    </row>
    <row r="388" spans="1:17" x14ac:dyDescent="0.3">
      <c r="A388" t="s">
        <v>191</v>
      </c>
      <c r="B388" t="s">
        <v>404</v>
      </c>
      <c r="C388">
        <v>1</v>
      </c>
      <c r="D388" cm="1">
        <f t="array" ref="D388">VLOOKUP(OrderLines[[#This Row],[SKU]:[SKU]],Menu[],MATCH(OrderLines[[#Headers],[UnitPrice]],Menu[#Headers],0),FALSE)</f>
        <v>32.979999999999997</v>
      </c>
      <c r="E388" cm="1">
        <f t="array" ref="E388">VLOOKUP(OrderLines[[#This Row],[SKU]:[SKU]],Menu[],MATCH(OrderLines[[#Headers],[UnitCost]],Menu[#Headers],0),FALSE)</f>
        <v>11.84</v>
      </c>
      <c r="F388" t="str" cm="1">
        <f t="array" ref="F388">VLOOKUP(OrderLines[[#This Row],[SKU]:[SKU]],Menu[],MATCH(OrderLines[[#Headers],[Category]],Menu[#Headers],0),FALSE)</f>
        <v>Beverage</v>
      </c>
      <c r="G388" t="str" cm="1">
        <f t="array" ref="G388">_xlfn.TEXTJOIN("+",TRUE,_xlfn._xlws.SORT(_xlfn.UNIQUE(_xlfn._xlws.FILTER(OrderLines[Category],OrderLines[OrderID]=OrderLines[[#This Row],[OrderID]]))))</f>
        <v>Beverage+Dessert+Snack</v>
      </c>
      <c r="H388" s="2" cm="1">
        <f t="array" ref="H388">INT(VLOOKUP(OrderLines[[#This Row],[OrderID]:[OrderID]],Orders[],MATCH(OrderLines[[#Headers],[OrderDateTime]],Orders[#Headers],0),FALSE))</f>
        <v>45871</v>
      </c>
      <c r="I388" t="str" cm="1">
        <f t="array" ref="I388">VLOOKUP(OrderLines[[#This Row],[OrderID]:[OrderID]],Orders[],MATCH(OrderLines[[#Headers],[Branch]],Orders[#Headers],0),FALSE)</f>
        <v>Plant 2 Canteen</v>
      </c>
      <c r="J388" cm="1">
        <f t="array" ref="J388">VLOOKUP(OrderLines[[#This Row],[OrderID]:[OrderID]],Orders[],MATCH(OrderLines[[#Headers],[DiscountPct]],Orders[#Headers],0),FALSE)</f>
        <v>0.08</v>
      </c>
      <c r="K388" t="str" cm="1">
        <f t="array" ref="K388">VLOOKUP(OrderLines[[#This Row],[OrderID]:[OrderID]],Orders[],MATCH(OrderLines[[#Headers],[PaymentType]],Orders[#Headers],0),FALSE)</f>
        <v>Cash</v>
      </c>
      <c r="L388" t="str" cm="1">
        <f t="array" ref="L388">VLOOKUP(OrderLines[[#This Row],[OrderID]:[OrderID]],Orders[],MATCH(OrderLines[[#Headers],[Shift]],Orders[#Headers],0),FALSE)</f>
        <v>Lunch</v>
      </c>
      <c r="M388" s="8">
        <f>(OrderLines[[#This Row],[Qty]]*OrderLines[[#This Row],[UnitPrice]])*(1-OrderLines[[#This Row],[DiscountPct]])</f>
        <v>30.3416</v>
      </c>
      <c r="N388" t="str">
        <f>IF(AND(COUNTIFS(OrderLines[OrderID],OrderLines[[#This Row],[OrderID]],OrderLines[Category],"Hot Meal"),COUNTIFS(OrderLines[OrderID],OrderLines[[#This Row],[OrderID]],OrderLines[Category],"Beverage")),"Combo","Single")</f>
        <v>Single</v>
      </c>
      <c r="O388" s="8" t="str" cm="1">
        <f t="array" ref="O388">IF(SUMPRODUCT(OrderLines[UnitPrice],OrderLines[Qty],OrderLines[DiscountPct],--(OrderLines[OrderID] = OrderLines[[#This Row],[OrderID]]))&gt;40,"High Discount","Ok")</f>
        <v>Ok</v>
      </c>
      <c r="P388">
        <f>OrderLines[[#This Row],[UnitCost]]*OrderLines[[#This Row],[Qty]]</f>
        <v>11.84</v>
      </c>
      <c r="Q388" s="8">
        <f>OrderLines[[#This Row],[LineNetAmount]]-OrderLines[[#This Row],[Food Cost]]</f>
        <v>18.5016</v>
      </c>
    </row>
    <row r="389" spans="1:17" x14ac:dyDescent="0.3">
      <c r="A389" t="s">
        <v>192</v>
      </c>
      <c r="B389" t="s">
        <v>418</v>
      </c>
      <c r="C389">
        <v>2</v>
      </c>
      <c r="D389" cm="1">
        <f t="array" ref="D389">VLOOKUP(OrderLines[[#This Row],[SKU]:[SKU]],Menu[],MATCH(OrderLines[[#Headers],[UnitPrice]],Menu[#Headers],0),FALSE)</f>
        <v>39.950000000000003</v>
      </c>
      <c r="E389" cm="1">
        <f t="array" ref="E389">VLOOKUP(OrderLines[[#This Row],[SKU]:[SKU]],Menu[],MATCH(OrderLines[[#Headers],[UnitCost]],Menu[#Headers],0),FALSE)</f>
        <v>15.51</v>
      </c>
      <c r="F389" t="str" cm="1">
        <f t="array" ref="F389">VLOOKUP(OrderLines[[#This Row],[SKU]:[SKU]],Menu[],MATCH(OrderLines[[#Headers],[Category]],Menu[#Headers],0),FALSE)</f>
        <v>Snack</v>
      </c>
      <c r="G389" t="str" cm="1">
        <f t="array" ref="G389">_xlfn.TEXTJOIN("+",TRUE,_xlfn._xlws.SORT(_xlfn.UNIQUE(_xlfn._xlws.FILTER(OrderLines[Category],OrderLines[OrderID]=OrderLines[[#This Row],[OrderID]]))))</f>
        <v>Dessert+Hot Meal+Snack</v>
      </c>
      <c r="H389" s="2" cm="1">
        <f t="array" ref="H389">INT(VLOOKUP(OrderLines[[#This Row],[OrderID]:[OrderID]],Orders[],MATCH(OrderLines[[#Headers],[OrderDateTime]],Orders[#Headers],0),FALSE))</f>
        <v>45871</v>
      </c>
      <c r="I389" t="str" cm="1">
        <f t="array" ref="I389">VLOOKUP(OrderLines[[#This Row],[OrderID]:[OrderID]],Orders[],MATCH(OrderLines[[#Headers],[Branch]],Orders[#Headers],0),FALSE)</f>
        <v>Plant 2 Canteen</v>
      </c>
      <c r="J389" cm="1">
        <f t="array" ref="J389">VLOOKUP(OrderLines[[#This Row],[OrderID]:[OrderID]],Orders[],MATCH(OrderLines[[#Headers],[DiscountPct]],Orders[#Headers],0),FALSE)</f>
        <v>0.02</v>
      </c>
      <c r="K389" t="str" cm="1">
        <f t="array" ref="K389">VLOOKUP(OrderLines[[#This Row],[OrderID]:[OrderID]],Orders[],MATCH(OrderLines[[#Headers],[PaymentType]],Orders[#Headers],0),FALSE)</f>
        <v>Card</v>
      </c>
      <c r="L389" t="str" cm="1">
        <f t="array" ref="L389">VLOOKUP(OrderLines[[#This Row],[OrderID]:[OrderID]],Orders[],MATCH(OrderLines[[#Headers],[Shift]],Orders[#Headers],0),FALSE)</f>
        <v>Breakfast</v>
      </c>
      <c r="M389" s="8">
        <f>(OrderLines[[#This Row],[Qty]]*OrderLines[[#This Row],[UnitPrice]])*(1-OrderLines[[#This Row],[DiscountPct]])</f>
        <v>78.302000000000007</v>
      </c>
      <c r="N389" t="str">
        <f>IF(AND(COUNTIFS(OrderLines[OrderID],OrderLines[[#This Row],[OrderID]],OrderLines[Category],"Hot Meal"),COUNTIFS(OrderLines[OrderID],OrderLines[[#This Row],[OrderID]],OrderLines[Category],"Beverage")),"Combo","Single")</f>
        <v>Single</v>
      </c>
      <c r="O389" s="8" t="str" cm="1">
        <f t="array" ref="O389">IF(SUMPRODUCT(OrderLines[UnitPrice],OrderLines[Qty],OrderLines[DiscountPct],--(OrderLines[OrderID] = OrderLines[[#This Row],[OrderID]]))&gt;40,"High Discount","Ok")</f>
        <v>Ok</v>
      </c>
      <c r="P389">
        <f>OrderLines[[#This Row],[UnitCost]]*OrderLines[[#This Row],[Qty]]</f>
        <v>31.02</v>
      </c>
      <c r="Q389" s="8">
        <f>OrderLines[[#This Row],[LineNetAmount]]-OrderLines[[#This Row],[Food Cost]]</f>
        <v>47.282000000000011</v>
      </c>
    </row>
    <row r="390" spans="1:17" x14ac:dyDescent="0.3">
      <c r="A390" t="s">
        <v>192</v>
      </c>
      <c r="B390" t="s">
        <v>401</v>
      </c>
      <c r="C390">
        <v>3</v>
      </c>
      <c r="D390" cm="1">
        <f t="array" ref="D390">VLOOKUP(OrderLines[[#This Row],[SKU]:[SKU]],Menu[],MATCH(OrderLines[[#Headers],[UnitPrice]],Menu[#Headers],0),FALSE)</f>
        <v>52.45</v>
      </c>
      <c r="E390" cm="1">
        <f t="array" ref="E390">VLOOKUP(OrderLines[[#This Row],[SKU]:[SKU]],Menu[],MATCH(OrderLines[[#Headers],[UnitCost]],Menu[#Headers],0),FALSE)</f>
        <v>25.8</v>
      </c>
      <c r="F390" t="str" cm="1">
        <f t="array" ref="F390">VLOOKUP(OrderLines[[#This Row],[SKU]:[SKU]],Menu[],MATCH(OrderLines[[#Headers],[Category]],Menu[#Headers],0),FALSE)</f>
        <v>Snack</v>
      </c>
      <c r="G390" t="str" cm="1">
        <f t="array" ref="G390">_xlfn.TEXTJOIN("+",TRUE,_xlfn._xlws.SORT(_xlfn.UNIQUE(_xlfn._xlws.FILTER(OrderLines[Category],OrderLines[OrderID]=OrderLines[[#This Row],[OrderID]]))))</f>
        <v>Dessert+Hot Meal+Snack</v>
      </c>
      <c r="H390" s="2" cm="1">
        <f t="array" ref="H390">INT(VLOOKUP(OrderLines[[#This Row],[OrderID]:[OrderID]],Orders[],MATCH(OrderLines[[#Headers],[OrderDateTime]],Orders[#Headers],0),FALSE))</f>
        <v>45871</v>
      </c>
      <c r="I390" t="str" cm="1">
        <f t="array" ref="I390">VLOOKUP(OrderLines[[#This Row],[OrderID]:[OrderID]],Orders[],MATCH(OrderLines[[#Headers],[Branch]],Orders[#Headers],0),FALSE)</f>
        <v>Plant 2 Canteen</v>
      </c>
      <c r="J390" cm="1">
        <f t="array" ref="J390">VLOOKUP(OrderLines[[#This Row],[OrderID]:[OrderID]],Orders[],MATCH(OrderLines[[#Headers],[DiscountPct]],Orders[#Headers],0),FALSE)</f>
        <v>0.02</v>
      </c>
      <c r="K390" t="str" cm="1">
        <f t="array" ref="K390">VLOOKUP(OrderLines[[#This Row],[OrderID]:[OrderID]],Orders[],MATCH(OrderLines[[#Headers],[PaymentType]],Orders[#Headers],0),FALSE)</f>
        <v>Card</v>
      </c>
      <c r="L390" t="str" cm="1">
        <f t="array" ref="L390">VLOOKUP(OrderLines[[#This Row],[OrderID]:[OrderID]],Orders[],MATCH(OrderLines[[#Headers],[Shift]],Orders[#Headers],0),FALSE)</f>
        <v>Breakfast</v>
      </c>
      <c r="M390" s="8">
        <f>(OrderLines[[#This Row],[Qty]]*OrderLines[[#This Row],[UnitPrice]])*(1-OrderLines[[#This Row],[DiscountPct]])</f>
        <v>154.20300000000003</v>
      </c>
      <c r="N390" t="str">
        <f>IF(AND(COUNTIFS(OrderLines[OrderID],OrderLines[[#This Row],[OrderID]],OrderLines[Category],"Hot Meal"),COUNTIFS(OrderLines[OrderID],OrderLines[[#This Row],[OrderID]],OrderLines[Category],"Beverage")),"Combo","Single")</f>
        <v>Single</v>
      </c>
      <c r="O390" s="8" t="str" cm="1">
        <f t="array" ref="O390">IF(SUMPRODUCT(OrderLines[UnitPrice],OrderLines[Qty],OrderLines[DiscountPct],--(OrderLines[OrderID] = OrderLines[[#This Row],[OrderID]]))&gt;40,"High Discount","Ok")</f>
        <v>Ok</v>
      </c>
      <c r="P390">
        <f>OrderLines[[#This Row],[UnitCost]]*OrderLines[[#This Row],[Qty]]</f>
        <v>77.400000000000006</v>
      </c>
      <c r="Q390" s="8">
        <f>OrderLines[[#This Row],[LineNetAmount]]-OrderLines[[#This Row],[Food Cost]]</f>
        <v>76.803000000000026</v>
      </c>
    </row>
    <row r="391" spans="1:17" x14ac:dyDescent="0.3">
      <c r="A391" t="s">
        <v>192</v>
      </c>
      <c r="B391" t="s">
        <v>415</v>
      </c>
      <c r="C391">
        <v>2</v>
      </c>
      <c r="D391" cm="1">
        <f t="array" ref="D391">VLOOKUP(OrderLines[[#This Row],[SKU]:[SKU]],Menu[],MATCH(OrderLines[[#Headers],[UnitPrice]],Menu[#Headers],0),FALSE)</f>
        <v>256.91000000000003</v>
      </c>
      <c r="E391" cm="1">
        <f t="array" ref="E391">VLOOKUP(OrderLines[[#This Row],[SKU]:[SKU]],Menu[],MATCH(OrderLines[[#Headers],[UnitCost]],Menu[#Headers],0),FALSE)</f>
        <v>121.24</v>
      </c>
      <c r="F391" t="str" cm="1">
        <f t="array" ref="F391">VLOOKUP(OrderLines[[#This Row],[SKU]:[SKU]],Menu[],MATCH(OrderLines[[#Headers],[Category]],Menu[#Headers],0),FALSE)</f>
        <v>Hot Meal</v>
      </c>
      <c r="G391" t="str" cm="1">
        <f t="array" ref="G391">_xlfn.TEXTJOIN("+",TRUE,_xlfn._xlws.SORT(_xlfn.UNIQUE(_xlfn._xlws.FILTER(OrderLines[Category],OrderLines[OrderID]=OrderLines[[#This Row],[OrderID]]))))</f>
        <v>Dessert+Hot Meal+Snack</v>
      </c>
      <c r="H391" s="2" cm="1">
        <f t="array" ref="H391">INT(VLOOKUP(OrderLines[[#This Row],[OrderID]:[OrderID]],Orders[],MATCH(OrderLines[[#Headers],[OrderDateTime]],Orders[#Headers],0),FALSE))</f>
        <v>45871</v>
      </c>
      <c r="I391" t="str" cm="1">
        <f t="array" ref="I391">VLOOKUP(OrderLines[[#This Row],[OrderID]:[OrderID]],Orders[],MATCH(OrderLines[[#Headers],[Branch]],Orders[#Headers],0),FALSE)</f>
        <v>Plant 2 Canteen</v>
      </c>
      <c r="J391" cm="1">
        <f t="array" ref="J391">VLOOKUP(OrderLines[[#This Row],[OrderID]:[OrderID]],Orders[],MATCH(OrderLines[[#Headers],[DiscountPct]],Orders[#Headers],0),FALSE)</f>
        <v>0.02</v>
      </c>
      <c r="K391" t="str" cm="1">
        <f t="array" ref="K391">VLOOKUP(OrderLines[[#This Row],[OrderID]:[OrderID]],Orders[],MATCH(OrderLines[[#Headers],[PaymentType]],Orders[#Headers],0),FALSE)</f>
        <v>Card</v>
      </c>
      <c r="L391" t="str" cm="1">
        <f t="array" ref="L391">VLOOKUP(OrderLines[[#This Row],[OrderID]:[OrderID]],Orders[],MATCH(OrderLines[[#Headers],[Shift]],Orders[#Headers],0),FALSE)</f>
        <v>Breakfast</v>
      </c>
      <c r="M391" s="8">
        <f>(OrderLines[[#This Row],[Qty]]*OrderLines[[#This Row],[UnitPrice]])*(1-OrderLines[[#This Row],[DiscountPct]])</f>
        <v>503.54360000000003</v>
      </c>
      <c r="N391" t="str">
        <f>IF(AND(COUNTIFS(OrderLines[OrderID],OrderLines[[#This Row],[OrderID]],OrderLines[Category],"Hot Meal"),COUNTIFS(OrderLines[OrderID],OrderLines[[#This Row],[OrderID]],OrderLines[Category],"Beverage")),"Combo","Single")</f>
        <v>Single</v>
      </c>
      <c r="O391" s="8" t="str" cm="1">
        <f t="array" ref="O391">IF(SUMPRODUCT(OrderLines[UnitPrice],OrderLines[Qty],OrderLines[DiscountPct],--(OrderLines[OrderID] = OrderLines[[#This Row],[OrderID]]))&gt;40,"High Discount","Ok")</f>
        <v>Ok</v>
      </c>
      <c r="P391">
        <f>OrderLines[[#This Row],[UnitCost]]*OrderLines[[#This Row],[Qty]]</f>
        <v>242.48</v>
      </c>
      <c r="Q391" s="8">
        <f>OrderLines[[#This Row],[LineNetAmount]]-OrderLines[[#This Row],[Food Cost]]</f>
        <v>261.06360000000006</v>
      </c>
    </row>
    <row r="392" spans="1:17" x14ac:dyDescent="0.3">
      <c r="A392" t="s">
        <v>192</v>
      </c>
      <c r="B392" t="s">
        <v>412</v>
      </c>
      <c r="C392">
        <v>1</v>
      </c>
      <c r="D392" cm="1">
        <f t="array" ref="D392">VLOOKUP(OrderLines[[#This Row],[SKU]:[SKU]],Menu[],MATCH(OrderLines[[#Headers],[UnitPrice]],Menu[#Headers],0),FALSE)</f>
        <v>57.07</v>
      </c>
      <c r="E392" cm="1">
        <f t="array" ref="E392">VLOOKUP(OrderLines[[#This Row],[SKU]:[SKU]],Menu[],MATCH(OrderLines[[#Headers],[UnitCost]],Menu[#Headers],0),FALSE)</f>
        <v>29.14</v>
      </c>
      <c r="F392" t="str" cm="1">
        <f t="array" ref="F392">VLOOKUP(OrderLines[[#This Row],[SKU]:[SKU]],Menu[],MATCH(OrderLines[[#Headers],[Category]],Menu[#Headers],0),FALSE)</f>
        <v>Dessert</v>
      </c>
      <c r="G392" t="str" cm="1">
        <f t="array" ref="G392">_xlfn.TEXTJOIN("+",TRUE,_xlfn._xlws.SORT(_xlfn.UNIQUE(_xlfn._xlws.FILTER(OrderLines[Category],OrderLines[OrderID]=OrderLines[[#This Row],[OrderID]]))))</f>
        <v>Dessert+Hot Meal+Snack</v>
      </c>
      <c r="H392" s="2" cm="1">
        <f t="array" ref="H392">INT(VLOOKUP(OrderLines[[#This Row],[OrderID]:[OrderID]],Orders[],MATCH(OrderLines[[#Headers],[OrderDateTime]],Orders[#Headers],0),FALSE))</f>
        <v>45871</v>
      </c>
      <c r="I392" t="str" cm="1">
        <f t="array" ref="I392">VLOOKUP(OrderLines[[#This Row],[OrderID]:[OrderID]],Orders[],MATCH(OrderLines[[#Headers],[Branch]],Orders[#Headers],0),FALSE)</f>
        <v>Plant 2 Canteen</v>
      </c>
      <c r="J392" cm="1">
        <f t="array" ref="J392">VLOOKUP(OrderLines[[#This Row],[OrderID]:[OrderID]],Orders[],MATCH(OrderLines[[#Headers],[DiscountPct]],Orders[#Headers],0),FALSE)</f>
        <v>0.02</v>
      </c>
      <c r="K392" t="str" cm="1">
        <f t="array" ref="K392">VLOOKUP(OrderLines[[#This Row],[OrderID]:[OrderID]],Orders[],MATCH(OrderLines[[#Headers],[PaymentType]],Orders[#Headers],0),FALSE)</f>
        <v>Card</v>
      </c>
      <c r="L392" t="str" cm="1">
        <f t="array" ref="L392">VLOOKUP(OrderLines[[#This Row],[OrderID]:[OrderID]],Orders[],MATCH(OrderLines[[#Headers],[Shift]],Orders[#Headers],0),FALSE)</f>
        <v>Breakfast</v>
      </c>
      <c r="M392" s="8">
        <f>(OrderLines[[#This Row],[Qty]]*OrderLines[[#This Row],[UnitPrice]])*(1-OrderLines[[#This Row],[DiscountPct]])</f>
        <v>55.928599999999996</v>
      </c>
      <c r="N392" t="str">
        <f>IF(AND(COUNTIFS(OrderLines[OrderID],OrderLines[[#This Row],[OrderID]],OrderLines[Category],"Hot Meal"),COUNTIFS(OrderLines[OrderID],OrderLines[[#This Row],[OrderID]],OrderLines[Category],"Beverage")),"Combo","Single")</f>
        <v>Single</v>
      </c>
      <c r="O392" s="8" t="str" cm="1">
        <f t="array" ref="O392">IF(SUMPRODUCT(OrderLines[UnitPrice],OrderLines[Qty],OrderLines[DiscountPct],--(OrderLines[OrderID] = OrderLines[[#This Row],[OrderID]]))&gt;40,"High Discount","Ok")</f>
        <v>Ok</v>
      </c>
      <c r="P392">
        <f>OrderLines[[#This Row],[UnitCost]]*OrderLines[[#This Row],[Qty]]</f>
        <v>29.14</v>
      </c>
      <c r="Q392" s="8">
        <f>OrderLines[[#This Row],[LineNetAmount]]-OrderLines[[#This Row],[Food Cost]]</f>
        <v>26.788599999999995</v>
      </c>
    </row>
    <row r="393" spans="1:17" x14ac:dyDescent="0.3">
      <c r="A393" t="s">
        <v>193</v>
      </c>
      <c r="B393" t="s">
        <v>402</v>
      </c>
      <c r="C393">
        <v>3</v>
      </c>
      <c r="D393" cm="1">
        <f t="array" ref="D393">VLOOKUP(OrderLines[[#This Row],[SKU]:[SKU]],Menu[],MATCH(OrderLines[[#Headers],[UnitPrice]],Menu[#Headers],0),FALSE)</f>
        <v>30.34</v>
      </c>
      <c r="E393" cm="1">
        <f t="array" ref="E393">VLOOKUP(OrderLines[[#This Row],[SKU]:[SKU]],Menu[],MATCH(OrderLines[[#Headers],[UnitCost]],Menu[#Headers],0),FALSE)</f>
        <v>14.18</v>
      </c>
      <c r="F393" t="str" cm="1">
        <f t="array" ref="F393">VLOOKUP(OrderLines[[#This Row],[SKU]:[SKU]],Menu[],MATCH(OrderLines[[#Headers],[Category]],Menu[#Headers],0),FALSE)</f>
        <v>Beverage</v>
      </c>
      <c r="G393" t="str" cm="1">
        <f t="array" ref="G393">_xlfn.TEXTJOIN("+",TRUE,_xlfn._xlws.SORT(_xlfn.UNIQUE(_xlfn._xlws.FILTER(OrderLines[Category],OrderLines[OrderID]=OrderLines[[#This Row],[OrderID]]))))</f>
        <v>Beverage+Dessert+Hot Meal+Snack</v>
      </c>
      <c r="H393" s="2" cm="1">
        <f t="array" ref="H393">INT(VLOOKUP(OrderLines[[#This Row],[OrderID]:[OrderID]],Orders[],MATCH(OrderLines[[#Headers],[OrderDateTime]],Orders[#Headers],0),FALSE))</f>
        <v>45878</v>
      </c>
      <c r="I393" t="str" cm="1">
        <f t="array" ref="I393">VLOOKUP(OrderLines[[#This Row],[OrderID]:[OrderID]],Orders[],MATCH(OrderLines[[#Headers],[Branch]],Orders[#Headers],0),FALSE)</f>
        <v>Head Office Café</v>
      </c>
      <c r="J393" cm="1">
        <f t="array" ref="J393">VLOOKUP(OrderLines[[#This Row],[OrderID]:[OrderID]],Orders[],MATCH(OrderLines[[#Headers],[DiscountPct]],Orders[#Headers],0),FALSE)</f>
        <v>7.0000000000000007E-2</v>
      </c>
      <c r="K393" t="str" cm="1">
        <f t="array" ref="K393">VLOOKUP(OrderLines[[#This Row],[OrderID]:[OrderID]],Orders[],MATCH(OrderLines[[#Headers],[PaymentType]],Orders[#Headers],0),FALSE)</f>
        <v>Card</v>
      </c>
      <c r="L393" t="str" cm="1">
        <f t="array" ref="L393">VLOOKUP(OrderLines[[#This Row],[OrderID]:[OrderID]],Orders[],MATCH(OrderLines[[#Headers],[Shift]],Orders[#Headers],0),FALSE)</f>
        <v>Breakfast</v>
      </c>
      <c r="M393" s="8">
        <f>(OrderLines[[#This Row],[Qty]]*OrderLines[[#This Row],[UnitPrice]])*(1-OrderLines[[#This Row],[DiscountPct]])</f>
        <v>84.648599999999988</v>
      </c>
      <c r="N393" t="str">
        <f>IF(AND(COUNTIFS(OrderLines[OrderID],OrderLines[[#This Row],[OrderID]],OrderLines[Category],"Hot Meal"),COUNTIFS(OrderLines[OrderID],OrderLines[[#This Row],[OrderID]],OrderLines[Category],"Beverage")),"Combo","Single")</f>
        <v>Combo</v>
      </c>
      <c r="O393" s="8" t="str" cm="1">
        <f t="array" ref="O393">IF(SUMPRODUCT(OrderLines[UnitPrice],OrderLines[Qty],OrderLines[DiscountPct],--(OrderLines[OrderID] = OrderLines[[#This Row],[OrderID]]))&gt;40,"High Discount","Ok")</f>
        <v>High Discount</v>
      </c>
      <c r="P393">
        <f>OrderLines[[#This Row],[UnitCost]]*OrderLines[[#This Row],[Qty]]</f>
        <v>42.54</v>
      </c>
      <c r="Q393" s="8">
        <f>OrderLines[[#This Row],[LineNetAmount]]-OrderLines[[#This Row],[Food Cost]]</f>
        <v>42.108599999999988</v>
      </c>
    </row>
    <row r="394" spans="1:17" x14ac:dyDescent="0.3">
      <c r="A394" t="s">
        <v>193</v>
      </c>
      <c r="B394" t="s">
        <v>414</v>
      </c>
      <c r="C394">
        <v>1</v>
      </c>
      <c r="D394" cm="1">
        <f t="array" ref="D394">VLOOKUP(OrderLines[[#This Row],[SKU]:[SKU]],Menu[],MATCH(OrderLines[[#Headers],[UnitPrice]],Menu[#Headers],0),FALSE)</f>
        <v>116.8</v>
      </c>
      <c r="E394" cm="1">
        <f t="array" ref="E394">VLOOKUP(OrderLines[[#This Row],[SKU]:[SKU]],Menu[],MATCH(OrderLines[[#Headers],[UnitCost]],Menu[#Headers],0),FALSE)</f>
        <v>48.97</v>
      </c>
      <c r="F394" t="str" cm="1">
        <f t="array" ref="F394">VLOOKUP(OrderLines[[#This Row],[SKU]:[SKU]],Menu[],MATCH(OrderLines[[#Headers],[Category]],Menu[#Headers],0),FALSE)</f>
        <v>Dessert</v>
      </c>
      <c r="G394" t="str" cm="1">
        <f t="array" ref="G394">_xlfn.TEXTJOIN("+",TRUE,_xlfn._xlws.SORT(_xlfn.UNIQUE(_xlfn._xlws.FILTER(OrderLines[Category],OrderLines[OrderID]=OrderLines[[#This Row],[OrderID]]))))</f>
        <v>Beverage+Dessert+Hot Meal+Snack</v>
      </c>
      <c r="H394" s="2" cm="1">
        <f t="array" ref="H394">INT(VLOOKUP(OrderLines[[#This Row],[OrderID]:[OrderID]],Orders[],MATCH(OrderLines[[#Headers],[OrderDateTime]],Orders[#Headers],0),FALSE))</f>
        <v>45878</v>
      </c>
      <c r="I394" t="str" cm="1">
        <f t="array" ref="I394">VLOOKUP(OrderLines[[#This Row],[OrderID]:[OrderID]],Orders[],MATCH(OrderLines[[#Headers],[Branch]],Orders[#Headers],0),FALSE)</f>
        <v>Head Office Café</v>
      </c>
      <c r="J394" cm="1">
        <f t="array" ref="J394">VLOOKUP(OrderLines[[#This Row],[OrderID]:[OrderID]],Orders[],MATCH(OrderLines[[#Headers],[DiscountPct]],Orders[#Headers],0),FALSE)</f>
        <v>7.0000000000000007E-2</v>
      </c>
      <c r="K394" t="str" cm="1">
        <f t="array" ref="K394">VLOOKUP(OrderLines[[#This Row],[OrderID]:[OrderID]],Orders[],MATCH(OrderLines[[#Headers],[PaymentType]],Orders[#Headers],0),FALSE)</f>
        <v>Card</v>
      </c>
      <c r="L394" t="str" cm="1">
        <f t="array" ref="L394">VLOOKUP(OrderLines[[#This Row],[OrderID]:[OrderID]],Orders[],MATCH(OrderLines[[#Headers],[Shift]],Orders[#Headers],0),FALSE)</f>
        <v>Breakfast</v>
      </c>
      <c r="M394" s="8">
        <f>(OrderLines[[#This Row],[Qty]]*OrderLines[[#This Row],[UnitPrice]])*(1-OrderLines[[#This Row],[DiscountPct]])</f>
        <v>108.624</v>
      </c>
      <c r="N394" t="str">
        <f>IF(AND(COUNTIFS(OrderLines[OrderID],OrderLines[[#This Row],[OrderID]],OrderLines[Category],"Hot Meal"),COUNTIFS(OrderLines[OrderID],OrderLines[[#This Row],[OrderID]],OrderLines[Category],"Beverage")),"Combo","Single")</f>
        <v>Combo</v>
      </c>
      <c r="O394" s="8" t="str" cm="1">
        <f t="array" ref="O394">IF(SUMPRODUCT(OrderLines[UnitPrice],OrderLines[Qty],OrderLines[DiscountPct],--(OrderLines[OrderID] = OrderLines[[#This Row],[OrderID]]))&gt;40,"High Discount","Ok")</f>
        <v>High Discount</v>
      </c>
      <c r="P394">
        <f>OrderLines[[#This Row],[UnitCost]]*OrderLines[[#This Row],[Qty]]</f>
        <v>48.97</v>
      </c>
      <c r="Q394" s="8">
        <f>OrderLines[[#This Row],[LineNetAmount]]-OrderLines[[#This Row],[Food Cost]]</f>
        <v>59.653999999999996</v>
      </c>
    </row>
    <row r="395" spans="1:17" x14ac:dyDescent="0.3">
      <c r="A395" t="s">
        <v>193</v>
      </c>
      <c r="B395" t="s">
        <v>416</v>
      </c>
      <c r="C395">
        <v>3</v>
      </c>
      <c r="D395" cm="1">
        <f t="array" ref="D395">VLOOKUP(OrderLines[[#This Row],[SKU]:[SKU]],Menu[],MATCH(OrderLines[[#Headers],[UnitPrice]],Menu[#Headers],0),FALSE)</f>
        <v>227.61</v>
      </c>
      <c r="E395" cm="1">
        <f t="array" ref="E395">VLOOKUP(OrderLines[[#This Row],[SKU]:[SKU]],Menu[],MATCH(OrderLines[[#Headers],[UnitCost]],Menu[#Headers],0),FALSE)</f>
        <v>96.22</v>
      </c>
      <c r="F395" t="str" cm="1">
        <f t="array" ref="F395">VLOOKUP(OrderLines[[#This Row],[SKU]:[SKU]],Menu[],MATCH(OrderLines[[#Headers],[Category]],Menu[#Headers],0),FALSE)</f>
        <v>Hot Meal</v>
      </c>
      <c r="G395" t="str" cm="1">
        <f t="array" ref="G395">_xlfn.TEXTJOIN("+",TRUE,_xlfn._xlws.SORT(_xlfn.UNIQUE(_xlfn._xlws.FILTER(OrderLines[Category],OrderLines[OrderID]=OrderLines[[#This Row],[OrderID]]))))</f>
        <v>Beverage+Dessert+Hot Meal+Snack</v>
      </c>
      <c r="H395" s="2" cm="1">
        <f t="array" ref="H395">INT(VLOOKUP(OrderLines[[#This Row],[OrderID]:[OrderID]],Orders[],MATCH(OrderLines[[#Headers],[OrderDateTime]],Orders[#Headers],0),FALSE))</f>
        <v>45878</v>
      </c>
      <c r="I395" t="str" cm="1">
        <f t="array" ref="I395">VLOOKUP(OrderLines[[#This Row],[OrderID]:[OrderID]],Orders[],MATCH(OrderLines[[#Headers],[Branch]],Orders[#Headers],0),FALSE)</f>
        <v>Head Office Café</v>
      </c>
      <c r="J395" cm="1">
        <f t="array" ref="J395">VLOOKUP(OrderLines[[#This Row],[OrderID]:[OrderID]],Orders[],MATCH(OrderLines[[#Headers],[DiscountPct]],Orders[#Headers],0),FALSE)</f>
        <v>7.0000000000000007E-2</v>
      </c>
      <c r="K395" t="str" cm="1">
        <f t="array" ref="K395">VLOOKUP(OrderLines[[#This Row],[OrderID]:[OrderID]],Orders[],MATCH(OrderLines[[#Headers],[PaymentType]],Orders[#Headers],0),FALSE)</f>
        <v>Card</v>
      </c>
      <c r="L395" t="str" cm="1">
        <f t="array" ref="L395">VLOOKUP(OrderLines[[#This Row],[OrderID]:[OrderID]],Orders[],MATCH(OrderLines[[#Headers],[Shift]],Orders[#Headers],0),FALSE)</f>
        <v>Breakfast</v>
      </c>
      <c r="M395" s="8">
        <f>(OrderLines[[#This Row],[Qty]]*OrderLines[[#This Row],[UnitPrice]])*(1-OrderLines[[#This Row],[DiscountPct]])</f>
        <v>635.03189999999995</v>
      </c>
      <c r="N395" t="str">
        <f>IF(AND(COUNTIFS(OrderLines[OrderID],OrderLines[[#This Row],[OrderID]],OrderLines[Category],"Hot Meal"),COUNTIFS(OrderLines[OrderID],OrderLines[[#This Row],[OrderID]],OrderLines[Category],"Beverage")),"Combo","Single")</f>
        <v>Combo</v>
      </c>
      <c r="O395" s="8" t="str" cm="1">
        <f t="array" ref="O395">IF(SUMPRODUCT(OrderLines[UnitPrice],OrderLines[Qty],OrderLines[DiscountPct],--(OrderLines[OrderID] = OrderLines[[#This Row],[OrderID]]))&gt;40,"High Discount","Ok")</f>
        <v>High Discount</v>
      </c>
      <c r="P395">
        <f>OrderLines[[#This Row],[UnitCost]]*OrderLines[[#This Row],[Qty]]</f>
        <v>288.65999999999997</v>
      </c>
      <c r="Q395" s="8">
        <f>OrderLines[[#This Row],[LineNetAmount]]-OrderLines[[#This Row],[Food Cost]]</f>
        <v>346.37189999999998</v>
      </c>
    </row>
    <row r="396" spans="1:17" x14ac:dyDescent="0.3">
      <c r="A396" t="s">
        <v>193</v>
      </c>
      <c r="B396" t="s">
        <v>418</v>
      </c>
      <c r="C396">
        <v>3</v>
      </c>
      <c r="D396" cm="1">
        <f t="array" ref="D396">VLOOKUP(OrderLines[[#This Row],[SKU]:[SKU]],Menu[],MATCH(OrderLines[[#Headers],[UnitPrice]],Menu[#Headers],0),FALSE)</f>
        <v>39.950000000000003</v>
      </c>
      <c r="E396" cm="1">
        <f t="array" ref="E396">VLOOKUP(OrderLines[[#This Row],[SKU]:[SKU]],Menu[],MATCH(OrderLines[[#Headers],[UnitCost]],Menu[#Headers],0),FALSE)</f>
        <v>15.51</v>
      </c>
      <c r="F396" t="str" cm="1">
        <f t="array" ref="F396">VLOOKUP(OrderLines[[#This Row],[SKU]:[SKU]],Menu[],MATCH(OrderLines[[#Headers],[Category]],Menu[#Headers],0),FALSE)</f>
        <v>Snack</v>
      </c>
      <c r="G396" t="str" cm="1">
        <f t="array" ref="G396">_xlfn.TEXTJOIN("+",TRUE,_xlfn._xlws.SORT(_xlfn.UNIQUE(_xlfn._xlws.FILTER(OrderLines[Category],OrderLines[OrderID]=OrderLines[[#This Row],[OrderID]]))))</f>
        <v>Beverage+Dessert+Hot Meal+Snack</v>
      </c>
      <c r="H396" s="2" cm="1">
        <f t="array" ref="H396">INT(VLOOKUP(OrderLines[[#This Row],[OrderID]:[OrderID]],Orders[],MATCH(OrderLines[[#Headers],[OrderDateTime]],Orders[#Headers],0),FALSE))</f>
        <v>45878</v>
      </c>
      <c r="I396" t="str" cm="1">
        <f t="array" ref="I396">VLOOKUP(OrderLines[[#This Row],[OrderID]:[OrderID]],Orders[],MATCH(OrderLines[[#Headers],[Branch]],Orders[#Headers],0),FALSE)</f>
        <v>Head Office Café</v>
      </c>
      <c r="J396" cm="1">
        <f t="array" ref="J396">VLOOKUP(OrderLines[[#This Row],[OrderID]:[OrderID]],Orders[],MATCH(OrderLines[[#Headers],[DiscountPct]],Orders[#Headers],0),FALSE)</f>
        <v>7.0000000000000007E-2</v>
      </c>
      <c r="K396" t="str" cm="1">
        <f t="array" ref="K396">VLOOKUP(OrderLines[[#This Row],[OrderID]:[OrderID]],Orders[],MATCH(OrderLines[[#Headers],[PaymentType]],Orders[#Headers],0),FALSE)</f>
        <v>Card</v>
      </c>
      <c r="L396" t="str" cm="1">
        <f t="array" ref="L396">VLOOKUP(OrderLines[[#This Row],[OrderID]:[OrderID]],Orders[],MATCH(OrderLines[[#Headers],[Shift]],Orders[#Headers],0),FALSE)</f>
        <v>Breakfast</v>
      </c>
      <c r="M396" s="8">
        <f>(OrderLines[[#This Row],[Qty]]*OrderLines[[#This Row],[UnitPrice]])*(1-OrderLines[[#This Row],[DiscountPct]])</f>
        <v>111.4605</v>
      </c>
      <c r="N396" t="str">
        <f>IF(AND(COUNTIFS(OrderLines[OrderID],OrderLines[[#This Row],[OrderID]],OrderLines[Category],"Hot Meal"),COUNTIFS(OrderLines[OrderID],OrderLines[[#This Row],[OrderID]],OrderLines[Category],"Beverage")),"Combo","Single")</f>
        <v>Combo</v>
      </c>
      <c r="O396" s="8" t="str" cm="1">
        <f t="array" ref="O396">IF(SUMPRODUCT(OrderLines[UnitPrice],OrderLines[Qty],OrderLines[DiscountPct],--(OrderLines[OrderID] = OrderLines[[#This Row],[OrderID]]))&gt;40,"High Discount","Ok")</f>
        <v>High Discount</v>
      </c>
      <c r="P396">
        <f>OrderLines[[#This Row],[UnitCost]]*OrderLines[[#This Row],[Qty]]</f>
        <v>46.53</v>
      </c>
      <c r="Q396" s="8">
        <f>OrderLines[[#This Row],[LineNetAmount]]-OrderLines[[#This Row],[Food Cost]]</f>
        <v>64.930499999999995</v>
      </c>
    </row>
    <row r="397" spans="1:17" x14ac:dyDescent="0.3">
      <c r="A397" t="s">
        <v>194</v>
      </c>
      <c r="B397" t="s">
        <v>418</v>
      </c>
      <c r="C397">
        <v>3</v>
      </c>
      <c r="D397" cm="1">
        <f t="array" ref="D397">VLOOKUP(OrderLines[[#This Row],[SKU]:[SKU]],Menu[],MATCH(OrderLines[[#Headers],[UnitPrice]],Menu[#Headers],0),FALSE)</f>
        <v>39.950000000000003</v>
      </c>
      <c r="E397" cm="1">
        <f t="array" ref="E397">VLOOKUP(OrderLines[[#This Row],[SKU]:[SKU]],Menu[],MATCH(OrderLines[[#Headers],[UnitCost]],Menu[#Headers],0),FALSE)</f>
        <v>15.51</v>
      </c>
      <c r="F397" t="str" cm="1">
        <f t="array" ref="F397">VLOOKUP(OrderLines[[#This Row],[SKU]:[SKU]],Menu[],MATCH(OrderLines[[#Headers],[Category]],Menu[#Headers],0),FALSE)</f>
        <v>Snack</v>
      </c>
      <c r="G397" t="str" cm="1">
        <f t="array" ref="G397">_xlfn.TEXTJOIN("+",TRUE,_xlfn._xlws.SORT(_xlfn.UNIQUE(_xlfn._xlws.FILTER(OrderLines[Category],OrderLines[OrderID]=OrderLines[[#This Row],[OrderID]]))))</f>
        <v>Dessert+Hot Meal+Snack</v>
      </c>
      <c r="H397" s="2" cm="1">
        <f t="array" ref="H397">INT(VLOOKUP(OrderLines[[#This Row],[OrderID]:[OrderID]],Orders[],MATCH(OrderLines[[#Headers],[OrderDateTime]],Orders[#Headers],0),FALSE))</f>
        <v>45869</v>
      </c>
      <c r="I397" t="str" cm="1">
        <f t="array" ref="I397">VLOOKUP(OrderLines[[#This Row],[OrderID]:[OrderID]],Orders[],MATCH(OrderLines[[#Headers],[Branch]],Orders[#Headers],0),FALSE)</f>
        <v>Plant 2 Canteen</v>
      </c>
      <c r="J397" cm="1">
        <f t="array" ref="J397">VLOOKUP(OrderLines[[#This Row],[OrderID]:[OrderID]],Orders[],MATCH(OrderLines[[#Headers],[DiscountPct]],Orders[#Headers],0),FALSE)</f>
        <v>0.06</v>
      </c>
      <c r="K397" t="str" cm="1">
        <f t="array" ref="K397">VLOOKUP(OrderLines[[#This Row],[OrderID]:[OrderID]],Orders[],MATCH(OrderLines[[#Headers],[PaymentType]],Orders[#Headers],0),FALSE)</f>
        <v>Cash</v>
      </c>
      <c r="L397" t="str" cm="1">
        <f t="array" ref="L397">VLOOKUP(OrderLines[[#This Row],[OrderID]:[OrderID]],Orders[],MATCH(OrderLines[[#Headers],[Shift]],Orders[#Headers],0),FALSE)</f>
        <v>Dinner</v>
      </c>
      <c r="M397" s="8">
        <f>(OrderLines[[#This Row],[Qty]]*OrderLines[[#This Row],[UnitPrice]])*(1-OrderLines[[#This Row],[DiscountPct]])</f>
        <v>112.65900000000001</v>
      </c>
      <c r="N397" t="str">
        <f>IF(AND(COUNTIFS(OrderLines[OrderID],OrderLines[[#This Row],[OrderID]],OrderLines[Category],"Hot Meal"),COUNTIFS(OrderLines[OrderID],OrderLines[[#This Row],[OrderID]],OrderLines[Category],"Beverage")),"Combo","Single")</f>
        <v>Single</v>
      </c>
      <c r="O397" s="8" t="str" cm="1">
        <f t="array" ref="O397">IF(SUMPRODUCT(OrderLines[UnitPrice],OrderLines[Qty],OrderLines[DiscountPct],--(OrderLines[OrderID] = OrderLines[[#This Row],[OrderID]]))&gt;40,"High Discount","Ok")</f>
        <v>High Discount</v>
      </c>
      <c r="P397">
        <f>OrderLines[[#This Row],[UnitCost]]*OrderLines[[#This Row],[Qty]]</f>
        <v>46.53</v>
      </c>
      <c r="Q397" s="8">
        <f>OrderLines[[#This Row],[LineNetAmount]]-OrderLines[[#This Row],[Food Cost]]</f>
        <v>66.129000000000005</v>
      </c>
    </row>
    <row r="398" spans="1:17" x14ac:dyDescent="0.3">
      <c r="A398" t="s">
        <v>194</v>
      </c>
      <c r="B398" t="s">
        <v>407</v>
      </c>
      <c r="C398">
        <v>3</v>
      </c>
      <c r="D398" cm="1">
        <f t="array" ref="D398">VLOOKUP(OrderLines[[#This Row],[SKU]:[SKU]],Menu[],MATCH(OrderLines[[#Headers],[UnitPrice]],Menu[#Headers],0),FALSE)</f>
        <v>246.09</v>
      </c>
      <c r="E398" cm="1">
        <f t="array" ref="E398">VLOOKUP(OrderLines[[#This Row],[SKU]:[SKU]],Menu[],MATCH(OrderLines[[#Headers],[UnitCost]],Menu[#Headers],0),FALSE)</f>
        <v>112.08</v>
      </c>
      <c r="F398" t="str" cm="1">
        <f t="array" ref="F398">VLOOKUP(OrderLines[[#This Row],[SKU]:[SKU]],Menu[],MATCH(OrderLines[[#Headers],[Category]],Menu[#Headers],0),FALSE)</f>
        <v>Hot Meal</v>
      </c>
      <c r="G398" t="str" cm="1">
        <f t="array" ref="G398">_xlfn.TEXTJOIN("+",TRUE,_xlfn._xlws.SORT(_xlfn.UNIQUE(_xlfn._xlws.FILTER(OrderLines[Category],OrderLines[OrderID]=OrderLines[[#This Row],[OrderID]]))))</f>
        <v>Dessert+Hot Meal+Snack</v>
      </c>
      <c r="H398" s="2" cm="1">
        <f t="array" ref="H398">INT(VLOOKUP(OrderLines[[#This Row],[OrderID]:[OrderID]],Orders[],MATCH(OrderLines[[#Headers],[OrderDateTime]],Orders[#Headers],0),FALSE))</f>
        <v>45869</v>
      </c>
      <c r="I398" t="str" cm="1">
        <f t="array" ref="I398">VLOOKUP(OrderLines[[#This Row],[OrderID]:[OrderID]],Orders[],MATCH(OrderLines[[#Headers],[Branch]],Orders[#Headers],0),FALSE)</f>
        <v>Plant 2 Canteen</v>
      </c>
      <c r="J398" cm="1">
        <f t="array" ref="J398">VLOOKUP(OrderLines[[#This Row],[OrderID]:[OrderID]],Orders[],MATCH(OrderLines[[#Headers],[DiscountPct]],Orders[#Headers],0),FALSE)</f>
        <v>0.06</v>
      </c>
      <c r="K398" t="str" cm="1">
        <f t="array" ref="K398">VLOOKUP(OrderLines[[#This Row],[OrderID]:[OrderID]],Orders[],MATCH(OrderLines[[#Headers],[PaymentType]],Orders[#Headers],0),FALSE)</f>
        <v>Cash</v>
      </c>
      <c r="L398" t="str" cm="1">
        <f t="array" ref="L398">VLOOKUP(OrderLines[[#This Row],[OrderID]:[OrderID]],Orders[],MATCH(OrderLines[[#Headers],[Shift]],Orders[#Headers],0),FALSE)</f>
        <v>Dinner</v>
      </c>
      <c r="M398" s="8">
        <f>(OrderLines[[#This Row],[Qty]]*OrderLines[[#This Row],[UnitPrice]])*(1-OrderLines[[#This Row],[DiscountPct]])</f>
        <v>693.97379999999998</v>
      </c>
      <c r="N398" t="str">
        <f>IF(AND(COUNTIFS(OrderLines[OrderID],OrderLines[[#This Row],[OrderID]],OrderLines[Category],"Hot Meal"),COUNTIFS(OrderLines[OrderID],OrderLines[[#This Row],[OrderID]],OrderLines[Category],"Beverage")),"Combo","Single")</f>
        <v>Single</v>
      </c>
      <c r="O398" s="8" t="str" cm="1">
        <f t="array" ref="O398">IF(SUMPRODUCT(OrderLines[UnitPrice],OrderLines[Qty],OrderLines[DiscountPct],--(OrderLines[OrderID] = OrderLines[[#This Row],[OrderID]]))&gt;40,"High Discount","Ok")</f>
        <v>High Discount</v>
      </c>
      <c r="P398">
        <f>OrderLines[[#This Row],[UnitCost]]*OrderLines[[#This Row],[Qty]]</f>
        <v>336.24</v>
      </c>
      <c r="Q398" s="8">
        <f>OrderLines[[#This Row],[LineNetAmount]]-OrderLines[[#This Row],[Food Cost]]</f>
        <v>357.73379999999997</v>
      </c>
    </row>
    <row r="399" spans="1:17" x14ac:dyDescent="0.3">
      <c r="A399" t="s">
        <v>194</v>
      </c>
      <c r="B399" t="s">
        <v>412</v>
      </c>
      <c r="C399">
        <v>1</v>
      </c>
      <c r="D399" cm="1">
        <f t="array" ref="D399">VLOOKUP(OrderLines[[#This Row],[SKU]:[SKU]],Menu[],MATCH(OrderLines[[#Headers],[UnitPrice]],Menu[#Headers],0),FALSE)</f>
        <v>57.07</v>
      </c>
      <c r="E399" cm="1">
        <f t="array" ref="E399">VLOOKUP(OrderLines[[#This Row],[SKU]:[SKU]],Menu[],MATCH(OrderLines[[#Headers],[UnitCost]],Menu[#Headers],0),FALSE)</f>
        <v>29.14</v>
      </c>
      <c r="F399" t="str" cm="1">
        <f t="array" ref="F399">VLOOKUP(OrderLines[[#This Row],[SKU]:[SKU]],Menu[],MATCH(OrderLines[[#Headers],[Category]],Menu[#Headers],0),FALSE)</f>
        <v>Dessert</v>
      </c>
      <c r="G399" t="str" cm="1">
        <f t="array" ref="G399">_xlfn.TEXTJOIN("+",TRUE,_xlfn._xlws.SORT(_xlfn.UNIQUE(_xlfn._xlws.FILTER(OrderLines[Category],OrderLines[OrderID]=OrderLines[[#This Row],[OrderID]]))))</f>
        <v>Dessert+Hot Meal+Snack</v>
      </c>
      <c r="H399" s="2" cm="1">
        <f t="array" ref="H399">INT(VLOOKUP(OrderLines[[#This Row],[OrderID]:[OrderID]],Orders[],MATCH(OrderLines[[#Headers],[OrderDateTime]],Orders[#Headers],0),FALSE))</f>
        <v>45869</v>
      </c>
      <c r="I399" t="str" cm="1">
        <f t="array" ref="I399">VLOOKUP(OrderLines[[#This Row],[OrderID]:[OrderID]],Orders[],MATCH(OrderLines[[#Headers],[Branch]],Orders[#Headers],0),FALSE)</f>
        <v>Plant 2 Canteen</v>
      </c>
      <c r="J399" cm="1">
        <f t="array" ref="J399">VLOOKUP(OrderLines[[#This Row],[OrderID]:[OrderID]],Orders[],MATCH(OrderLines[[#Headers],[DiscountPct]],Orders[#Headers],0),FALSE)</f>
        <v>0.06</v>
      </c>
      <c r="K399" t="str" cm="1">
        <f t="array" ref="K399">VLOOKUP(OrderLines[[#This Row],[OrderID]:[OrderID]],Orders[],MATCH(OrderLines[[#Headers],[PaymentType]],Orders[#Headers],0),FALSE)</f>
        <v>Cash</v>
      </c>
      <c r="L399" t="str" cm="1">
        <f t="array" ref="L399">VLOOKUP(OrderLines[[#This Row],[OrderID]:[OrderID]],Orders[],MATCH(OrderLines[[#Headers],[Shift]],Orders[#Headers],0),FALSE)</f>
        <v>Dinner</v>
      </c>
      <c r="M399" s="8">
        <f>(OrderLines[[#This Row],[Qty]]*OrderLines[[#This Row],[UnitPrice]])*(1-OrderLines[[#This Row],[DiscountPct]])</f>
        <v>53.645799999999994</v>
      </c>
      <c r="N399" t="str">
        <f>IF(AND(COUNTIFS(OrderLines[OrderID],OrderLines[[#This Row],[OrderID]],OrderLines[Category],"Hot Meal"),COUNTIFS(OrderLines[OrderID],OrderLines[[#This Row],[OrderID]],OrderLines[Category],"Beverage")),"Combo","Single")</f>
        <v>Single</v>
      </c>
      <c r="O399" s="8" t="str" cm="1">
        <f t="array" ref="O399">IF(SUMPRODUCT(OrderLines[UnitPrice],OrderLines[Qty],OrderLines[DiscountPct],--(OrderLines[OrderID] = OrderLines[[#This Row],[OrderID]]))&gt;40,"High Discount","Ok")</f>
        <v>High Discount</v>
      </c>
      <c r="P399">
        <f>OrderLines[[#This Row],[UnitCost]]*OrderLines[[#This Row],[Qty]]</f>
        <v>29.14</v>
      </c>
      <c r="Q399" s="8">
        <f>OrderLines[[#This Row],[LineNetAmount]]-OrderLines[[#This Row],[Food Cost]]</f>
        <v>24.505799999999994</v>
      </c>
    </row>
    <row r="400" spans="1:17" x14ac:dyDescent="0.3">
      <c r="A400" t="s">
        <v>195</v>
      </c>
      <c r="B400" t="s">
        <v>410</v>
      </c>
      <c r="C400">
        <v>1</v>
      </c>
      <c r="D400" cm="1">
        <f t="array" ref="D400">VLOOKUP(OrderLines[[#This Row],[SKU]:[SKU]],Menu[],MATCH(OrderLines[[#Headers],[UnitPrice]],Menu[#Headers],0),FALSE)</f>
        <v>20.11</v>
      </c>
      <c r="E400" cm="1">
        <f t="array" ref="E400">VLOOKUP(OrderLines[[#This Row],[SKU]:[SKU]],Menu[],MATCH(OrderLines[[#Headers],[UnitCost]],Menu[#Headers],0),FALSE)</f>
        <v>8</v>
      </c>
      <c r="F400" t="str" cm="1">
        <f t="array" ref="F400">VLOOKUP(OrderLines[[#This Row],[SKU]:[SKU]],Menu[],MATCH(OrderLines[[#Headers],[Category]],Menu[#Headers],0),FALSE)</f>
        <v>Beverage</v>
      </c>
      <c r="G400" t="str" cm="1">
        <f t="array" ref="G400">_xlfn.TEXTJOIN("+",TRUE,_xlfn._xlws.SORT(_xlfn.UNIQUE(_xlfn._xlws.FILTER(OrderLines[Category],OrderLines[OrderID]=OrderLines[[#This Row],[OrderID]]))))</f>
        <v>Beverage+Dessert+Snack</v>
      </c>
      <c r="H400" s="2" cm="1">
        <f t="array" ref="H400">INT(VLOOKUP(OrderLines[[#This Row],[OrderID]:[OrderID]],Orders[],MATCH(OrderLines[[#Headers],[OrderDateTime]],Orders[#Headers],0),FALSE))</f>
        <v>45889</v>
      </c>
      <c r="I400" t="str" cm="1">
        <f t="array" ref="I400">VLOOKUP(OrderLines[[#This Row],[OrderID]:[OrderID]],Orders[],MATCH(OrderLines[[#Headers],[Branch]],Orders[#Headers],0),FALSE)</f>
        <v>Plant 1 Canteen</v>
      </c>
      <c r="J400" cm="1">
        <f t="array" ref="J400">VLOOKUP(OrderLines[[#This Row],[OrderID]:[OrderID]],Orders[],MATCH(OrderLines[[#Headers],[DiscountPct]],Orders[#Headers],0),FALSE)</f>
        <v>0.01</v>
      </c>
      <c r="K400" t="str" cm="1">
        <f t="array" ref="K400">VLOOKUP(OrderLines[[#This Row],[OrderID]:[OrderID]],Orders[],MATCH(OrderLines[[#Headers],[PaymentType]],Orders[#Headers],0),FALSE)</f>
        <v>UPI</v>
      </c>
      <c r="L400" t="str" cm="1">
        <f t="array" ref="L400">VLOOKUP(OrderLines[[#This Row],[OrderID]:[OrderID]],Orders[],MATCH(OrderLines[[#Headers],[Shift]],Orders[#Headers],0),FALSE)</f>
        <v>Breakfast</v>
      </c>
      <c r="M400" s="8">
        <f>(OrderLines[[#This Row],[Qty]]*OrderLines[[#This Row],[UnitPrice]])*(1-OrderLines[[#This Row],[DiscountPct]])</f>
        <v>19.908899999999999</v>
      </c>
      <c r="N400" t="str">
        <f>IF(AND(COUNTIFS(OrderLines[OrderID],OrderLines[[#This Row],[OrderID]],OrderLines[Category],"Hot Meal"),COUNTIFS(OrderLines[OrderID],OrderLines[[#This Row],[OrderID]],OrderLines[Category],"Beverage")),"Combo","Single")</f>
        <v>Single</v>
      </c>
      <c r="O400" s="8" t="str" cm="1">
        <f t="array" ref="O400">IF(SUMPRODUCT(OrderLines[UnitPrice],OrderLines[Qty],OrderLines[DiscountPct],--(OrderLines[OrderID] = OrderLines[[#This Row],[OrderID]]))&gt;40,"High Discount","Ok")</f>
        <v>Ok</v>
      </c>
      <c r="P400">
        <f>OrderLines[[#This Row],[UnitCost]]*OrderLines[[#This Row],[Qty]]</f>
        <v>8</v>
      </c>
      <c r="Q400" s="8">
        <f>OrderLines[[#This Row],[LineNetAmount]]-OrderLines[[#This Row],[Food Cost]]</f>
        <v>11.908899999999999</v>
      </c>
    </row>
    <row r="401" spans="1:17" x14ac:dyDescent="0.3">
      <c r="A401" t="s">
        <v>195</v>
      </c>
      <c r="B401" t="s">
        <v>413</v>
      </c>
      <c r="C401">
        <v>2</v>
      </c>
      <c r="D401" cm="1">
        <f t="array" ref="D401">VLOOKUP(OrderLines[[#This Row],[SKU]:[SKU]],Menu[],MATCH(OrderLines[[#Headers],[UnitPrice]],Menu[#Headers],0),FALSE)</f>
        <v>54.2</v>
      </c>
      <c r="E401" cm="1">
        <f t="array" ref="E401">VLOOKUP(OrderLines[[#This Row],[SKU]:[SKU]],Menu[],MATCH(OrderLines[[#Headers],[UnitCost]],Menu[#Headers],0),FALSE)</f>
        <v>21.95</v>
      </c>
      <c r="F401" t="str" cm="1">
        <f t="array" ref="F401">VLOOKUP(OrderLines[[#This Row],[SKU]:[SKU]],Menu[],MATCH(OrderLines[[#Headers],[Category]],Menu[#Headers],0),FALSE)</f>
        <v>Dessert</v>
      </c>
      <c r="G401" t="str" cm="1">
        <f t="array" ref="G401">_xlfn.TEXTJOIN("+",TRUE,_xlfn._xlws.SORT(_xlfn.UNIQUE(_xlfn._xlws.FILTER(OrderLines[Category],OrderLines[OrderID]=OrderLines[[#This Row],[OrderID]]))))</f>
        <v>Beverage+Dessert+Snack</v>
      </c>
      <c r="H401" s="2" cm="1">
        <f t="array" ref="H401">INT(VLOOKUP(OrderLines[[#This Row],[OrderID]:[OrderID]],Orders[],MATCH(OrderLines[[#Headers],[OrderDateTime]],Orders[#Headers],0),FALSE))</f>
        <v>45889</v>
      </c>
      <c r="I401" t="str" cm="1">
        <f t="array" ref="I401">VLOOKUP(OrderLines[[#This Row],[OrderID]:[OrderID]],Orders[],MATCH(OrderLines[[#Headers],[Branch]],Orders[#Headers],0),FALSE)</f>
        <v>Plant 1 Canteen</v>
      </c>
      <c r="J401" cm="1">
        <f t="array" ref="J401">VLOOKUP(OrderLines[[#This Row],[OrderID]:[OrderID]],Orders[],MATCH(OrderLines[[#Headers],[DiscountPct]],Orders[#Headers],0),FALSE)</f>
        <v>0.01</v>
      </c>
      <c r="K401" t="str" cm="1">
        <f t="array" ref="K401">VLOOKUP(OrderLines[[#This Row],[OrderID]:[OrderID]],Orders[],MATCH(OrderLines[[#Headers],[PaymentType]],Orders[#Headers],0),FALSE)</f>
        <v>UPI</v>
      </c>
      <c r="L401" t="str" cm="1">
        <f t="array" ref="L401">VLOOKUP(OrderLines[[#This Row],[OrderID]:[OrderID]],Orders[],MATCH(OrderLines[[#Headers],[Shift]],Orders[#Headers],0),FALSE)</f>
        <v>Breakfast</v>
      </c>
      <c r="M401" s="8">
        <f>(OrderLines[[#This Row],[Qty]]*OrderLines[[#This Row],[UnitPrice]])*(1-OrderLines[[#This Row],[DiscountPct]])</f>
        <v>107.316</v>
      </c>
      <c r="N401" t="str">
        <f>IF(AND(COUNTIFS(OrderLines[OrderID],OrderLines[[#This Row],[OrderID]],OrderLines[Category],"Hot Meal"),COUNTIFS(OrderLines[OrderID],OrderLines[[#This Row],[OrderID]],OrderLines[Category],"Beverage")),"Combo","Single")</f>
        <v>Single</v>
      </c>
      <c r="O401" s="8" t="str" cm="1">
        <f t="array" ref="O401">IF(SUMPRODUCT(OrderLines[UnitPrice],OrderLines[Qty],OrderLines[DiscountPct],--(OrderLines[OrderID] = OrderLines[[#This Row],[OrderID]]))&gt;40,"High Discount","Ok")</f>
        <v>Ok</v>
      </c>
      <c r="P401">
        <f>OrderLines[[#This Row],[UnitCost]]*OrderLines[[#This Row],[Qty]]</f>
        <v>43.9</v>
      </c>
      <c r="Q401" s="8">
        <f>OrderLines[[#This Row],[LineNetAmount]]-OrderLines[[#This Row],[Food Cost]]</f>
        <v>63.416000000000004</v>
      </c>
    </row>
    <row r="402" spans="1:17" x14ac:dyDescent="0.3">
      <c r="A402" t="s">
        <v>195</v>
      </c>
      <c r="B402" t="s">
        <v>412</v>
      </c>
      <c r="C402">
        <v>3</v>
      </c>
      <c r="D402" cm="1">
        <f t="array" ref="D402">VLOOKUP(OrderLines[[#This Row],[SKU]:[SKU]],Menu[],MATCH(OrderLines[[#Headers],[UnitPrice]],Menu[#Headers],0),FALSE)</f>
        <v>57.07</v>
      </c>
      <c r="E402" cm="1">
        <f t="array" ref="E402">VLOOKUP(OrderLines[[#This Row],[SKU]:[SKU]],Menu[],MATCH(OrderLines[[#Headers],[UnitCost]],Menu[#Headers],0),FALSE)</f>
        <v>29.14</v>
      </c>
      <c r="F402" t="str" cm="1">
        <f t="array" ref="F402">VLOOKUP(OrderLines[[#This Row],[SKU]:[SKU]],Menu[],MATCH(OrderLines[[#Headers],[Category]],Menu[#Headers],0),FALSE)</f>
        <v>Dessert</v>
      </c>
      <c r="G402" t="str" cm="1">
        <f t="array" ref="G402">_xlfn.TEXTJOIN("+",TRUE,_xlfn._xlws.SORT(_xlfn.UNIQUE(_xlfn._xlws.FILTER(OrderLines[Category],OrderLines[OrderID]=OrderLines[[#This Row],[OrderID]]))))</f>
        <v>Beverage+Dessert+Snack</v>
      </c>
      <c r="H402" s="2" cm="1">
        <f t="array" ref="H402">INT(VLOOKUP(OrderLines[[#This Row],[OrderID]:[OrderID]],Orders[],MATCH(OrderLines[[#Headers],[OrderDateTime]],Orders[#Headers],0),FALSE))</f>
        <v>45889</v>
      </c>
      <c r="I402" t="str" cm="1">
        <f t="array" ref="I402">VLOOKUP(OrderLines[[#This Row],[OrderID]:[OrderID]],Orders[],MATCH(OrderLines[[#Headers],[Branch]],Orders[#Headers],0),FALSE)</f>
        <v>Plant 1 Canteen</v>
      </c>
      <c r="J402" cm="1">
        <f t="array" ref="J402">VLOOKUP(OrderLines[[#This Row],[OrderID]:[OrderID]],Orders[],MATCH(OrderLines[[#Headers],[DiscountPct]],Orders[#Headers],0),FALSE)</f>
        <v>0.01</v>
      </c>
      <c r="K402" t="str" cm="1">
        <f t="array" ref="K402">VLOOKUP(OrderLines[[#This Row],[OrderID]:[OrderID]],Orders[],MATCH(OrderLines[[#Headers],[PaymentType]],Orders[#Headers],0),FALSE)</f>
        <v>UPI</v>
      </c>
      <c r="L402" t="str" cm="1">
        <f t="array" ref="L402">VLOOKUP(OrderLines[[#This Row],[OrderID]:[OrderID]],Orders[],MATCH(OrderLines[[#Headers],[Shift]],Orders[#Headers],0),FALSE)</f>
        <v>Breakfast</v>
      </c>
      <c r="M402" s="8">
        <f>(OrderLines[[#This Row],[Qty]]*OrderLines[[#This Row],[UnitPrice]])*(1-OrderLines[[#This Row],[DiscountPct]])</f>
        <v>169.49790000000002</v>
      </c>
      <c r="N402" t="str">
        <f>IF(AND(COUNTIFS(OrderLines[OrderID],OrderLines[[#This Row],[OrderID]],OrderLines[Category],"Hot Meal"),COUNTIFS(OrderLines[OrderID],OrderLines[[#This Row],[OrderID]],OrderLines[Category],"Beverage")),"Combo","Single")</f>
        <v>Single</v>
      </c>
      <c r="O402" s="8" t="str" cm="1">
        <f t="array" ref="O402">IF(SUMPRODUCT(OrderLines[UnitPrice],OrderLines[Qty],OrderLines[DiscountPct],--(OrderLines[OrderID] = OrderLines[[#This Row],[OrderID]]))&gt;40,"High Discount","Ok")</f>
        <v>Ok</v>
      </c>
      <c r="P402">
        <f>OrderLines[[#This Row],[UnitCost]]*OrderLines[[#This Row],[Qty]]</f>
        <v>87.42</v>
      </c>
      <c r="Q402" s="8">
        <f>OrderLines[[#This Row],[LineNetAmount]]-OrderLines[[#This Row],[Food Cost]]</f>
        <v>82.077900000000014</v>
      </c>
    </row>
    <row r="403" spans="1:17" x14ac:dyDescent="0.3">
      <c r="A403" t="s">
        <v>195</v>
      </c>
      <c r="B403" t="s">
        <v>406</v>
      </c>
      <c r="C403">
        <v>1</v>
      </c>
      <c r="D403" cm="1">
        <f t="array" ref="D403">VLOOKUP(OrderLines[[#This Row],[SKU]:[SKU]],Menu[],MATCH(OrderLines[[#Headers],[UnitPrice]],Menu[#Headers],0),FALSE)</f>
        <v>38.06</v>
      </c>
      <c r="E403" cm="1">
        <f t="array" ref="E403">VLOOKUP(OrderLines[[#This Row],[SKU]:[SKU]],Menu[],MATCH(OrderLines[[#Headers],[UnitCost]],Menu[#Headers],0),FALSE)</f>
        <v>19.55</v>
      </c>
      <c r="F403" t="str" cm="1">
        <f t="array" ref="F403">VLOOKUP(OrderLines[[#This Row],[SKU]:[SKU]],Menu[],MATCH(OrderLines[[#Headers],[Category]],Menu[#Headers],0),FALSE)</f>
        <v>Snack</v>
      </c>
      <c r="G403" t="str" cm="1">
        <f t="array" ref="G403">_xlfn.TEXTJOIN("+",TRUE,_xlfn._xlws.SORT(_xlfn.UNIQUE(_xlfn._xlws.FILTER(OrderLines[Category],OrderLines[OrderID]=OrderLines[[#This Row],[OrderID]]))))</f>
        <v>Beverage+Dessert+Snack</v>
      </c>
      <c r="H403" s="2" cm="1">
        <f t="array" ref="H403">INT(VLOOKUP(OrderLines[[#This Row],[OrderID]:[OrderID]],Orders[],MATCH(OrderLines[[#Headers],[OrderDateTime]],Orders[#Headers],0),FALSE))</f>
        <v>45889</v>
      </c>
      <c r="I403" t="str" cm="1">
        <f t="array" ref="I403">VLOOKUP(OrderLines[[#This Row],[OrderID]:[OrderID]],Orders[],MATCH(OrderLines[[#Headers],[Branch]],Orders[#Headers],0),FALSE)</f>
        <v>Plant 1 Canteen</v>
      </c>
      <c r="J403" cm="1">
        <f t="array" ref="J403">VLOOKUP(OrderLines[[#This Row],[OrderID]:[OrderID]],Orders[],MATCH(OrderLines[[#Headers],[DiscountPct]],Orders[#Headers],0),FALSE)</f>
        <v>0.01</v>
      </c>
      <c r="K403" t="str" cm="1">
        <f t="array" ref="K403">VLOOKUP(OrderLines[[#This Row],[OrderID]:[OrderID]],Orders[],MATCH(OrderLines[[#Headers],[PaymentType]],Orders[#Headers],0),FALSE)</f>
        <v>UPI</v>
      </c>
      <c r="L403" t="str" cm="1">
        <f t="array" ref="L403">VLOOKUP(OrderLines[[#This Row],[OrderID]:[OrderID]],Orders[],MATCH(OrderLines[[#Headers],[Shift]],Orders[#Headers],0),FALSE)</f>
        <v>Breakfast</v>
      </c>
      <c r="M403" s="8">
        <f>(OrderLines[[#This Row],[Qty]]*OrderLines[[#This Row],[UnitPrice]])*(1-OrderLines[[#This Row],[DiscountPct]])</f>
        <v>37.679400000000001</v>
      </c>
      <c r="N403" t="str">
        <f>IF(AND(COUNTIFS(OrderLines[OrderID],OrderLines[[#This Row],[OrderID]],OrderLines[Category],"Hot Meal"),COUNTIFS(OrderLines[OrderID],OrderLines[[#This Row],[OrderID]],OrderLines[Category],"Beverage")),"Combo","Single")</f>
        <v>Single</v>
      </c>
      <c r="O403" s="8" t="str" cm="1">
        <f t="array" ref="O403">IF(SUMPRODUCT(OrderLines[UnitPrice],OrderLines[Qty],OrderLines[DiscountPct],--(OrderLines[OrderID] = OrderLines[[#This Row],[OrderID]]))&gt;40,"High Discount","Ok")</f>
        <v>Ok</v>
      </c>
      <c r="P403">
        <f>OrderLines[[#This Row],[UnitCost]]*OrderLines[[#This Row],[Qty]]</f>
        <v>19.55</v>
      </c>
      <c r="Q403" s="8">
        <f>OrderLines[[#This Row],[LineNetAmount]]-OrderLines[[#This Row],[Food Cost]]</f>
        <v>18.1294</v>
      </c>
    </row>
    <row r="404" spans="1:17" x14ac:dyDescent="0.3">
      <c r="A404" t="s">
        <v>196</v>
      </c>
      <c r="B404" t="s">
        <v>407</v>
      </c>
      <c r="C404">
        <v>1</v>
      </c>
      <c r="D404" cm="1">
        <f t="array" ref="D404">VLOOKUP(OrderLines[[#This Row],[SKU]:[SKU]],Menu[],MATCH(OrderLines[[#Headers],[UnitPrice]],Menu[#Headers],0),FALSE)</f>
        <v>246.09</v>
      </c>
      <c r="E404" cm="1">
        <f t="array" ref="E404">VLOOKUP(OrderLines[[#This Row],[SKU]:[SKU]],Menu[],MATCH(OrderLines[[#Headers],[UnitCost]],Menu[#Headers],0),FALSE)</f>
        <v>112.08</v>
      </c>
      <c r="F404" t="str" cm="1">
        <f t="array" ref="F404">VLOOKUP(OrderLines[[#This Row],[SKU]:[SKU]],Menu[],MATCH(OrderLines[[#Headers],[Category]],Menu[#Headers],0),FALSE)</f>
        <v>Hot Meal</v>
      </c>
      <c r="G404" t="str" cm="1">
        <f t="array" ref="G404">_xlfn.TEXTJOIN("+",TRUE,_xlfn._xlws.SORT(_xlfn.UNIQUE(_xlfn._xlws.FILTER(OrderLines[Category],OrderLines[OrderID]=OrderLines[[#This Row],[OrderID]]))))</f>
        <v>Hot Meal</v>
      </c>
      <c r="H404" s="2" cm="1">
        <f t="array" ref="H404">INT(VLOOKUP(OrderLines[[#This Row],[OrderID]:[OrderID]],Orders[],MATCH(OrderLines[[#Headers],[OrderDateTime]],Orders[#Headers],0),FALSE))</f>
        <v>45879</v>
      </c>
      <c r="I404" t="str" cm="1">
        <f t="array" ref="I404">VLOOKUP(OrderLines[[#This Row],[OrderID]:[OrderID]],Orders[],MATCH(OrderLines[[#Headers],[Branch]],Orders[#Headers],0),FALSE)</f>
        <v>Plant 1 Canteen</v>
      </c>
      <c r="J404" cm="1">
        <f t="array" ref="J404">VLOOKUP(OrderLines[[#This Row],[OrderID]:[OrderID]],Orders[],MATCH(OrderLines[[#Headers],[DiscountPct]],Orders[#Headers],0),FALSE)</f>
        <v>7.0000000000000007E-2</v>
      </c>
      <c r="K404" t="str" cm="1">
        <f t="array" ref="K404">VLOOKUP(OrderLines[[#This Row],[OrderID]:[OrderID]],Orders[],MATCH(OrderLines[[#Headers],[PaymentType]],Orders[#Headers],0),FALSE)</f>
        <v>UPI</v>
      </c>
      <c r="L404" t="str" cm="1">
        <f t="array" ref="L404">VLOOKUP(OrderLines[[#This Row],[OrderID]:[OrderID]],Orders[],MATCH(OrderLines[[#Headers],[Shift]],Orders[#Headers],0),FALSE)</f>
        <v>Breakfast</v>
      </c>
      <c r="M404" s="8">
        <f>(OrderLines[[#This Row],[Qty]]*OrderLines[[#This Row],[UnitPrice]])*(1-OrderLines[[#This Row],[DiscountPct]])</f>
        <v>228.86369999999999</v>
      </c>
      <c r="N404" t="str">
        <f>IF(AND(COUNTIFS(OrderLines[OrderID],OrderLines[[#This Row],[OrderID]],OrderLines[Category],"Hot Meal"),COUNTIFS(OrderLines[OrderID],OrderLines[[#This Row],[OrderID]],OrderLines[Category],"Beverage")),"Combo","Single")</f>
        <v>Single</v>
      </c>
      <c r="O404" s="8" t="str" cm="1">
        <f t="array" ref="O404">IF(SUMPRODUCT(OrderLines[UnitPrice],OrderLines[Qty],OrderLines[DiscountPct],--(OrderLines[OrderID] = OrderLines[[#This Row],[OrderID]]))&gt;40,"High Discount","Ok")</f>
        <v>Ok</v>
      </c>
      <c r="P404">
        <f>OrderLines[[#This Row],[UnitCost]]*OrderLines[[#This Row],[Qty]]</f>
        <v>112.08</v>
      </c>
      <c r="Q404" s="8">
        <f>OrderLines[[#This Row],[LineNetAmount]]-OrderLines[[#This Row],[Food Cost]]</f>
        <v>116.7837</v>
      </c>
    </row>
    <row r="405" spans="1:17" x14ac:dyDescent="0.3">
      <c r="A405" t="s">
        <v>197</v>
      </c>
      <c r="B405" t="s">
        <v>405</v>
      </c>
      <c r="C405">
        <v>2</v>
      </c>
      <c r="D405" cm="1">
        <f t="array" ref="D405">VLOOKUP(OrderLines[[#This Row],[SKU]:[SKU]],Menu[],MATCH(OrderLines[[#Headers],[UnitPrice]],Menu[#Headers],0),FALSE)</f>
        <v>170.83</v>
      </c>
      <c r="E405" cm="1">
        <f t="array" ref="E405">VLOOKUP(OrderLines[[#This Row],[SKU]:[SKU]],Menu[],MATCH(OrderLines[[#Headers],[UnitCost]],Menu[#Headers],0),FALSE)</f>
        <v>74.069999999999993</v>
      </c>
      <c r="F405" t="str" cm="1">
        <f t="array" ref="F405">VLOOKUP(OrderLines[[#This Row],[SKU]:[SKU]],Menu[],MATCH(OrderLines[[#Headers],[Category]],Menu[#Headers],0),FALSE)</f>
        <v>Hot Meal</v>
      </c>
      <c r="G405" t="str" cm="1">
        <f t="array" ref="G405">_xlfn.TEXTJOIN("+",TRUE,_xlfn._xlws.SORT(_xlfn.UNIQUE(_xlfn._xlws.FILTER(OrderLines[Category],OrderLines[OrderID]=OrderLines[[#This Row],[OrderID]]))))</f>
        <v>Hot Meal</v>
      </c>
      <c r="H405" s="2" cm="1">
        <f t="array" ref="H405">INT(VLOOKUP(OrderLines[[#This Row],[OrderID]:[OrderID]],Orders[],MATCH(OrderLines[[#Headers],[OrderDateTime]],Orders[#Headers],0),FALSE))</f>
        <v>45887</v>
      </c>
      <c r="I405" t="str" cm="1">
        <f t="array" ref="I405">VLOOKUP(OrderLines[[#This Row],[OrderID]:[OrderID]],Orders[],MATCH(OrderLines[[#Headers],[Branch]],Orders[#Headers],0),FALSE)</f>
        <v>Head Office Café</v>
      </c>
      <c r="J405" cm="1">
        <f t="array" ref="J405">VLOOKUP(OrderLines[[#This Row],[OrderID]:[OrderID]],Orders[],MATCH(OrderLines[[#Headers],[DiscountPct]],Orders[#Headers],0),FALSE)</f>
        <v>0.08</v>
      </c>
      <c r="K405" t="str" cm="1">
        <f t="array" ref="K405">VLOOKUP(OrderLines[[#This Row],[OrderID]:[OrderID]],Orders[],MATCH(OrderLines[[#Headers],[PaymentType]],Orders[#Headers],0),FALSE)</f>
        <v>Cash</v>
      </c>
      <c r="L405" t="str" cm="1">
        <f t="array" ref="L405">VLOOKUP(OrderLines[[#This Row],[OrderID]:[OrderID]],Orders[],MATCH(OrderLines[[#Headers],[Shift]],Orders[#Headers],0),FALSE)</f>
        <v>Lunch</v>
      </c>
      <c r="M405" s="8">
        <f>(OrderLines[[#This Row],[Qty]]*OrderLines[[#This Row],[UnitPrice]])*(1-OrderLines[[#This Row],[DiscountPct]])</f>
        <v>314.32720000000006</v>
      </c>
      <c r="N405" t="str">
        <f>IF(AND(COUNTIFS(OrderLines[OrderID],OrderLines[[#This Row],[OrderID]],OrderLines[Category],"Hot Meal"),COUNTIFS(OrderLines[OrderID],OrderLines[[#This Row],[OrderID]],OrderLines[Category],"Beverage")),"Combo","Single")</f>
        <v>Single</v>
      </c>
      <c r="O405" s="8" t="str" cm="1">
        <f t="array" ref="O405">IF(SUMPRODUCT(OrderLines[UnitPrice],OrderLines[Qty],OrderLines[DiscountPct],--(OrderLines[OrderID] = OrderLines[[#This Row],[OrderID]]))&gt;40,"High Discount","Ok")</f>
        <v>Ok</v>
      </c>
      <c r="P405">
        <f>OrderLines[[#This Row],[UnitCost]]*OrderLines[[#This Row],[Qty]]</f>
        <v>148.13999999999999</v>
      </c>
      <c r="Q405" s="8">
        <f>OrderLines[[#This Row],[LineNetAmount]]-OrderLines[[#This Row],[Food Cost]]</f>
        <v>166.18720000000008</v>
      </c>
    </row>
    <row r="406" spans="1:17" x14ac:dyDescent="0.3">
      <c r="A406" t="s">
        <v>198</v>
      </c>
      <c r="B406" t="s">
        <v>412</v>
      </c>
      <c r="C406">
        <v>1</v>
      </c>
      <c r="D406" cm="1">
        <f t="array" ref="D406">VLOOKUP(OrderLines[[#This Row],[SKU]:[SKU]],Menu[],MATCH(OrderLines[[#Headers],[UnitPrice]],Menu[#Headers],0),FALSE)</f>
        <v>57.07</v>
      </c>
      <c r="E406" cm="1">
        <f t="array" ref="E406">VLOOKUP(OrderLines[[#This Row],[SKU]:[SKU]],Menu[],MATCH(OrderLines[[#Headers],[UnitCost]],Menu[#Headers],0),FALSE)</f>
        <v>29.14</v>
      </c>
      <c r="F406" t="str" cm="1">
        <f t="array" ref="F406">VLOOKUP(OrderLines[[#This Row],[SKU]:[SKU]],Menu[],MATCH(OrderLines[[#Headers],[Category]],Menu[#Headers],0),FALSE)</f>
        <v>Dessert</v>
      </c>
      <c r="G406" t="str" cm="1">
        <f t="array" ref="G406">_xlfn.TEXTJOIN("+",TRUE,_xlfn._xlws.SORT(_xlfn.UNIQUE(_xlfn._xlws.FILTER(OrderLines[Category],OrderLines[OrderID]=OrderLines[[#This Row],[OrderID]]))))</f>
        <v>Beverage+Dessert+Hot Meal</v>
      </c>
      <c r="H406" s="2" cm="1">
        <f t="array" ref="H406">INT(VLOOKUP(OrderLines[[#This Row],[OrderID]:[OrderID]],Orders[],MATCH(OrderLines[[#Headers],[OrderDateTime]],Orders[#Headers],0),FALSE))</f>
        <v>45865</v>
      </c>
      <c r="I406" t="str" cm="1">
        <f t="array" ref="I406">VLOOKUP(OrderLines[[#This Row],[OrderID]:[OrderID]],Orders[],MATCH(OrderLines[[#Headers],[Branch]],Orders[#Headers],0),FALSE)</f>
        <v>Head Office Café</v>
      </c>
      <c r="J406" cm="1">
        <f t="array" ref="J406">VLOOKUP(OrderLines[[#This Row],[OrderID]:[OrderID]],Orders[],MATCH(OrderLines[[#Headers],[DiscountPct]],Orders[#Headers],0),FALSE)</f>
        <v>0.1</v>
      </c>
      <c r="K406" t="str" cm="1">
        <f t="array" ref="K406">VLOOKUP(OrderLines[[#This Row],[OrderID]:[OrderID]],Orders[],MATCH(OrderLines[[#Headers],[PaymentType]],Orders[#Headers],0),FALSE)</f>
        <v>Card</v>
      </c>
      <c r="L406" t="str" cm="1">
        <f t="array" ref="L406">VLOOKUP(OrderLines[[#This Row],[OrderID]:[OrderID]],Orders[],MATCH(OrderLines[[#Headers],[Shift]],Orders[#Headers],0),FALSE)</f>
        <v>Breakfast</v>
      </c>
      <c r="M406" s="8">
        <f>(OrderLines[[#This Row],[Qty]]*OrderLines[[#This Row],[UnitPrice]])*(1-OrderLines[[#This Row],[DiscountPct]])</f>
        <v>51.363</v>
      </c>
      <c r="N406" t="str">
        <f>IF(AND(COUNTIFS(OrderLines[OrderID],OrderLines[[#This Row],[OrderID]],OrderLines[Category],"Hot Meal"),COUNTIFS(OrderLines[OrderID],OrderLines[[#This Row],[OrderID]],OrderLines[Category],"Beverage")),"Combo","Single")</f>
        <v>Combo</v>
      </c>
      <c r="O406" s="8" t="str" cm="1">
        <f t="array" ref="O406">IF(SUMPRODUCT(OrderLines[UnitPrice],OrderLines[Qty],OrderLines[DiscountPct],--(OrderLines[OrderID] = OrderLines[[#This Row],[OrderID]]))&gt;40,"High Discount","Ok")</f>
        <v>High Discount</v>
      </c>
      <c r="P406">
        <f>OrderLines[[#This Row],[UnitCost]]*OrderLines[[#This Row],[Qty]]</f>
        <v>29.14</v>
      </c>
      <c r="Q406" s="8">
        <f>OrderLines[[#This Row],[LineNetAmount]]-OrderLines[[#This Row],[Food Cost]]</f>
        <v>22.222999999999999</v>
      </c>
    </row>
    <row r="407" spans="1:17" x14ac:dyDescent="0.3">
      <c r="A407" t="s">
        <v>198</v>
      </c>
      <c r="B407" t="s">
        <v>415</v>
      </c>
      <c r="C407">
        <v>2</v>
      </c>
      <c r="D407" cm="1">
        <f t="array" ref="D407">VLOOKUP(OrderLines[[#This Row],[SKU]:[SKU]],Menu[],MATCH(OrderLines[[#Headers],[UnitPrice]],Menu[#Headers],0),FALSE)</f>
        <v>256.91000000000003</v>
      </c>
      <c r="E407" cm="1">
        <f t="array" ref="E407">VLOOKUP(OrderLines[[#This Row],[SKU]:[SKU]],Menu[],MATCH(OrderLines[[#Headers],[UnitCost]],Menu[#Headers],0),FALSE)</f>
        <v>121.24</v>
      </c>
      <c r="F407" t="str" cm="1">
        <f t="array" ref="F407">VLOOKUP(OrderLines[[#This Row],[SKU]:[SKU]],Menu[],MATCH(OrderLines[[#Headers],[Category]],Menu[#Headers],0),FALSE)</f>
        <v>Hot Meal</v>
      </c>
      <c r="G407" t="str" cm="1">
        <f t="array" ref="G407">_xlfn.TEXTJOIN("+",TRUE,_xlfn._xlws.SORT(_xlfn.UNIQUE(_xlfn._xlws.FILTER(OrderLines[Category],OrderLines[OrderID]=OrderLines[[#This Row],[OrderID]]))))</f>
        <v>Beverage+Dessert+Hot Meal</v>
      </c>
      <c r="H407" s="2" cm="1">
        <f t="array" ref="H407">INT(VLOOKUP(OrderLines[[#This Row],[OrderID]:[OrderID]],Orders[],MATCH(OrderLines[[#Headers],[OrderDateTime]],Orders[#Headers],0),FALSE))</f>
        <v>45865</v>
      </c>
      <c r="I407" t="str" cm="1">
        <f t="array" ref="I407">VLOOKUP(OrderLines[[#This Row],[OrderID]:[OrderID]],Orders[],MATCH(OrderLines[[#Headers],[Branch]],Orders[#Headers],0),FALSE)</f>
        <v>Head Office Café</v>
      </c>
      <c r="J407" cm="1">
        <f t="array" ref="J407">VLOOKUP(OrderLines[[#This Row],[OrderID]:[OrderID]],Orders[],MATCH(OrderLines[[#Headers],[DiscountPct]],Orders[#Headers],0),FALSE)</f>
        <v>0.1</v>
      </c>
      <c r="K407" t="str" cm="1">
        <f t="array" ref="K407">VLOOKUP(OrderLines[[#This Row],[OrderID]:[OrderID]],Orders[],MATCH(OrderLines[[#Headers],[PaymentType]],Orders[#Headers],0),FALSE)</f>
        <v>Card</v>
      </c>
      <c r="L407" t="str" cm="1">
        <f t="array" ref="L407">VLOOKUP(OrderLines[[#This Row],[OrderID]:[OrderID]],Orders[],MATCH(OrderLines[[#Headers],[Shift]],Orders[#Headers],0),FALSE)</f>
        <v>Breakfast</v>
      </c>
      <c r="M407" s="8">
        <f>(OrderLines[[#This Row],[Qty]]*OrderLines[[#This Row],[UnitPrice]])*(1-OrderLines[[#This Row],[DiscountPct]])</f>
        <v>462.43800000000005</v>
      </c>
      <c r="N407" t="str">
        <f>IF(AND(COUNTIFS(OrderLines[OrderID],OrderLines[[#This Row],[OrderID]],OrderLines[Category],"Hot Meal"),COUNTIFS(OrderLines[OrderID],OrderLines[[#This Row],[OrderID]],OrderLines[Category],"Beverage")),"Combo","Single")</f>
        <v>Combo</v>
      </c>
      <c r="O407" s="8" t="str" cm="1">
        <f t="array" ref="O407">IF(SUMPRODUCT(OrderLines[UnitPrice],OrderLines[Qty],OrderLines[DiscountPct],--(OrderLines[OrderID] = OrderLines[[#This Row],[OrderID]]))&gt;40,"High Discount","Ok")</f>
        <v>High Discount</v>
      </c>
      <c r="P407">
        <f>OrderLines[[#This Row],[UnitCost]]*OrderLines[[#This Row],[Qty]]</f>
        <v>242.48</v>
      </c>
      <c r="Q407" s="8">
        <f>OrderLines[[#This Row],[LineNetAmount]]-OrderLines[[#This Row],[Food Cost]]</f>
        <v>219.95800000000006</v>
      </c>
    </row>
    <row r="408" spans="1:17" x14ac:dyDescent="0.3">
      <c r="A408" t="s">
        <v>198</v>
      </c>
      <c r="B408" t="s">
        <v>409</v>
      </c>
      <c r="C408">
        <v>1</v>
      </c>
      <c r="D408" cm="1">
        <f t="array" ref="D408">VLOOKUP(OrderLines[[#This Row],[SKU]:[SKU]],Menu[],MATCH(OrderLines[[#Headers],[UnitPrice]],Menu[#Headers],0),FALSE)</f>
        <v>28.43</v>
      </c>
      <c r="E408" cm="1">
        <f t="array" ref="E408">VLOOKUP(OrderLines[[#This Row],[SKU]:[SKU]],Menu[],MATCH(OrderLines[[#Headers],[UnitCost]],Menu[#Headers],0),FALSE)</f>
        <v>13.89</v>
      </c>
      <c r="F408" t="str" cm="1">
        <f t="array" ref="F408">VLOOKUP(OrderLines[[#This Row],[SKU]:[SKU]],Menu[],MATCH(OrderLines[[#Headers],[Category]],Menu[#Headers],0),FALSE)</f>
        <v>Beverage</v>
      </c>
      <c r="G408" t="str" cm="1">
        <f t="array" ref="G408">_xlfn.TEXTJOIN("+",TRUE,_xlfn._xlws.SORT(_xlfn.UNIQUE(_xlfn._xlws.FILTER(OrderLines[Category],OrderLines[OrderID]=OrderLines[[#This Row],[OrderID]]))))</f>
        <v>Beverage+Dessert+Hot Meal</v>
      </c>
      <c r="H408" s="2" cm="1">
        <f t="array" ref="H408">INT(VLOOKUP(OrderLines[[#This Row],[OrderID]:[OrderID]],Orders[],MATCH(OrderLines[[#Headers],[OrderDateTime]],Orders[#Headers],0),FALSE))</f>
        <v>45865</v>
      </c>
      <c r="I408" t="str" cm="1">
        <f t="array" ref="I408">VLOOKUP(OrderLines[[#This Row],[OrderID]:[OrderID]],Orders[],MATCH(OrderLines[[#Headers],[Branch]],Orders[#Headers],0),FALSE)</f>
        <v>Head Office Café</v>
      </c>
      <c r="J408" cm="1">
        <f t="array" ref="J408">VLOOKUP(OrderLines[[#This Row],[OrderID]:[OrderID]],Orders[],MATCH(OrderLines[[#Headers],[DiscountPct]],Orders[#Headers],0),FALSE)</f>
        <v>0.1</v>
      </c>
      <c r="K408" t="str" cm="1">
        <f t="array" ref="K408">VLOOKUP(OrderLines[[#This Row],[OrderID]:[OrderID]],Orders[],MATCH(OrderLines[[#Headers],[PaymentType]],Orders[#Headers],0),FALSE)</f>
        <v>Card</v>
      </c>
      <c r="L408" t="str" cm="1">
        <f t="array" ref="L408">VLOOKUP(OrderLines[[#This Row],[OrderID]:[OrderID]],Orders[],MATCH(OrderLines[[#Headers],[Shift]],Orders[#Headers],0),FALSE)</f>
        <v>Breakfast</v>
      </c>
      <c r="M408" s="8">
        <f>(OrderLines[[#This Row],[Qty]]*OrderLines[[#This Row],[UnitPrice]])*(1-OrderLines[[#This Row],[DiscountPct]])</f>
        <v>25.587</v>
      </c>
      <c r="N408" t="str">
        <f>IF(AND(COUNTIFS(OrderLines[OrderID],OrderLines[[#This Row],[OrderID]],OrderLines[Category],"Hot Meal"),COUNTIFS(OrderLines[OrderID],OrderLines[[#This Row],[OrderID]],OrderLines[Category],"Beverage")),"Combo","Single")</f>
        <v>Combo</v>
      </c>
      <c r="O408" s="8" t="str" cm="1">
        <f t="array" ref="O408">IF(SUMPRODUCT(OrderLines[UnitPrice],OrderLines[Qty],OrderLines[DiscountPct],--(OrderLines[OrderID] = OrderLines[[#This Row],[OrderID]]))&gt;40,"High Discount","Ok")</f>
        <v>High Discount</v>
      </c>
      <c r="P408">
        <f>OrderLines[[#This Row],[UnitCost]]*OrderLines[[#This Row],[Qty]]</f>
        <v>13.89</v>
      </c>
      <c r="Q408" s="8">
        <f>OrderLines[[#This Row],[LineNetAmount]]-OrderLines[[#This Row],[Food Cost]]</f>
        <v>11.696999999999999</v>
      </c>
    </row>
    <row r="409" spans="1:17" x14ac:dyDescent="0.3">
      <c r="A409" t="s">
        <v>198</v>
      </c>
      <c r="B409" t="s">
        <v>413</v>
      </c>
      <c r="C409">
        <v>2</v>
      </c>
      <c r="D409" cm="1">
        <f t="array" ref="D409">VLOOKUP(OrderLines[[#This Row],[SKU]:[SKU]],Menu[],MATCH(OrderLines[[#Headers],[UnitPrice]],Menu[#Headers],0),FALSE)</f>
        <v>54.2</v>
      </c>
      <c r="E409" cm="1">
        <f t="array" ref="E409">VLOOKUP(OrderLines[[#This Row],[SKU]:[SKU]],Menu[],MATCH(OrderLines[[#Headers],[UnitCost]],Menu[#Headers],0),FALSE)</f>
        <v>21.95</v>
      </c>
      <c r="F409" t="str" cm="1">
        <f t="array" ref="F409">VLOOKUP(OrderLines[[#This Row],[SKU]:[SKU]],Menu[],MATCH(OrderLines[[#Headers],[Category]],Menu[#Headers],0),FALSE)</f>
        <v>Dessert</v>
      </c>
      <c r="G409" t="str" cm="1">
        <f t="array" ref="G409">_xlfn.TEXTJOIN("+",TRUE,_xlfn._xlws.SORT(_xlfn.UNIQUE(_xlfn._xlws.FILTER(OrderLines[Category],OrderLines[OrderID]=OrderLines[[#This Row],[OrderID]]))))</f>
        <v>Beverage+Dessert+Hot Meal</v>
      </c>
      <c r="H409" s="2" cm="1">
        <f t="array" ref="H409">INT(VLOOKUP(OrderLines[[#This Row],[OrderID]:[OrderID]],Orders[],MATCH(OrderLines[[#Headers],[OrderDateTime]],Orders[#Headers],0),FALSE))</f>
        <v>45865</v>
      </c>
      <c r="I409" t="str" cm="1">
        <f t="array" ref="I409">VLOOKUP(OrderLines[[#This Row],[OrderID]:[OrderID]],Orders[],MATCH(OrderLines[[#Headers],[Branch]],Orders[#Headers],0),FALSE)</f>
        <v>Head Office Café</v>
      </c>
      <c r="J409" cm="1">
        <f t="array" ref="J409">VLOOKUP(OrderLines[[#This Row],[OrderID]:[OrderID]],Orders[],MATCH(OrderLines[[#Headers],[DiscountPct]],Orders[#Headers],0),FALSE)</f>
        <v>0.1</v>
      </c>
      <c r="K409" t="str" cm="1">
        <f t="array" ref="K409">VLOOKUP(OrderLines[[#This Row],[OrderID]:[OrderID]],Orders[],MATCH(OrderLines[[#Headers],[PaymentType]],Orders[#Headers],0),FALSE)</f>
        <v>Card</v>
      </c>
      <c r="L409" t="str" cm="1">
        <f t="array" ref="L409">VLOOKUP(OrderLines[[#This Row],[OrderID]:[OrderID]],Orders[],MATCH(OrderLines[[#Headers],[Shift]],Orders[#Headers],0),FALSE)</f>
        <v>Breakfast</v>
      </c>
      <c r="M409" s="8">
        <f>(OrderLines[[#This Row],[Qty]]*OrderLines[[#This Row],[UnitPrice]])*(1-OrderLines[[#This Row],[DiscountPct]])</f>
        <v>97.56</v>
      </c>
      <c r="N409" t="str">
        <f>IF(AND(COUNTIFS(OrderLines[OrderID],OrderLines[[#This Row],[OrderID]],OrderLines[Category],"Hot Meal"),COUNTIFS(OrderLines[OrderID],OrderLines[[#This Row],[OrderID]],OrderLines[Category],"Beverage")),"Combo","Single")</f>
        <v>Combo</v>
      </c>
      <c r="O409" s="8" t="str" cm="1">
        <f t="array" ref="O409">IF(SUMPRODUCT(OrderLines[UnitPrice],OrderLines[Qty],OrderLines[DiscountPct],--(OrderLines[OrderID] = OrderLines[[#This Row],[OrderID]]))&gt;40,"High Discount","Ok")</f>
        <v>High Discount</v>
      </c>
      <c r="P409">
        <f>OrderLines[[#This Row],[UnitCost]]*OrderLines[[#This Row],[Qty]]</f>
        <v>43.9</v>
      </c>
      <c r="Q409" s="8">
        <f>OrderLines[[#This Row],[LineNetAmount]]-OrderLines[[#This Row],[Food Cost]]</f>
        <v>53.660000000000004</v>
      </c>
    </row>
    <row r="410" spans="1:17" x14ac:dyDescent="0.3">
      <c r="A410" t="s">
        <v>199</v>
      </c>
      <c r="B410" t="s">
        <v>418</v>
      </c>
      <c r="C410">
        <v>2</v>
      </c>
      <c r="D410" cm="1">
        <f t="array" ref="D410">VLOOKUP(OrderLines[[#This Row],[SKU]:[SKU]],Menu[],MATCH(OrderLines[[#Headers],[UnitPrice]],Menu[#Headers],0),FALSE)</f>
        <v>39.950000000000003</v>
      </c>
      <c r="E410" cm="1">
        <f t="array" ref="E410">VLOOKUP(OrderLines[[#This Row],[SKU]:[SKU]],Menu[],MATCH(OrderLines[[#Headers],[UnitCost]],Menu[#Headers],0),FALSE)</f>
        <v>15.51</v>
      </c>
      <c r="F410" t="str" cm="1">
        <f t="array" ref="F410">VLOOKUP(OrderLines[[#This Row],[SKU]:[SKU]],Menu[],MATCH(OrderLines[[#Headers],[Category]],Menu[#Headers],0),FALSE)</f>
        <v>Snack</v>
      </c>
      <c r="G410" t="str" cm="1">
        <f t="array" ref="G410">_xlfn.TEXTJOIN("+",TRUE,_xlfn._xlws.SORT(_xlfn.UNIQUE(_xlfn._xlws.FILTER(OrderLines[Category],OrderLines[OrderID]=OrderLines[[#This Row],[OrderID]]))))</f>
        <v>Dessert+Hot Meal+Snack</v>
      </c>
      <c r="H410" s="2" cm="1">
        <f t="array" ref="H410">INT(VLOOKUP(OrderLines[[#This Row],[OrderID]:[OrderID]],Orders[],MATCH(OrderLines[[#Headers],[OrderDateTime]],Orders[#Headers],0),FALSE))</f>
        <v>45886</v>
      </c>
      <c r="I410" t="str" cm="1">
        <f t="array" ref="I410">VLOOKUP(OrderLines[[#This Row],[OrderID]:[OrderID]],Orders[],MATCH(OrderLines[[#Headers],[Branch]],Orders[#Headers],0),FALSE)</f>
        <v>Plant 1 Canteen</v>
      </c>
      <c r="J410" cm="1">
        <f t="array" ref="J410">VLOOKUP(OrderLines[[#This Row],[OrderID]:[OrderID]],Orders[],MATCH(OrderLines[[#Headers],[DiscountPct]],Orders[#Headers],0),FALSE)</f>
        <v>0.1</v>
      </c>
      <c r="K410" t="str" cm="1">
        <f t="array" ref="K410">VLOOKUP(OrderLines[[#This Row],[OrderID]:[OrderID]],Orders[],MATCH(OrderLines[[#Headers],[PaymentType]],Orders[#Headers],0),FALSE)</f>
        <v>UPI</v>
      </c>
      <c r="L410" t="str" cm="1">
        <f t="array" ref="L410">VLOOKUP(OrderLines[[#This Row],[OrderID]:[OrderID]],Orders[],MATCH(OrderLines[[#Headers],[Shift]],Orders[#Headers],0),FALSE)</f>
        <v>Breakfast</v>
      </c>
      <c r="M410" s="8">
        <f>(OrderLines[[#This Row],[Qty]]*OrderLines[[#This Row],[UnitPrice]])*(1-OrderLines[[#This Row],[DiscountPct]])</f>
        <v>71.910000000000011</v>
      </c>
      <c r="N410" t="str">
        <f>IF(AND(COUNTIFS(OrderLines[OrderID],OrderLines[[#This Row],[OrderID]],OrderLines[Category],"Hot Meal"),COUNTIFS(OrderLines[OrderID],OrderLines[[#This Row],[OrderID]],OrderLines[Category],"Beverage")),"Combo","Single")</f>
        <v>Single</v>
      </c>
      <c r="O410" s="8" t="str" cm="1">
        <f t="array" ref="O410">IF(SUMPRODUCT(OrderLines[UnitPrice],OrderLines[Qty],OrderLines[DiscountPct],--(OrderLines[OrderID] = OrderLines[[#This Row],[OrderID]]))&gt;40,"High Discount","Ok")</f>
        <v>High Discount</v>
      </c>
      <c r="P410">
        <f>OrderLines[[#This Row],[UnitCost]]*OrderLines[[#This Row],[Qty]]</f>
        <v>31.02</v>
      </c>
      <c r="Q410" s="8">
        <f>OrderLines[[#This Row],[LineNetAmount]]-OrderLines[[#This Row],[Food Cost]]</f>
        <v>40.890000000000015</v>
      </c>
    </row>
    <row r="411" spans="1:17" x14ac:dyDescent="0.3">
      <c r="A411" t="s">
        <v>199</v>
      </c>
      <c r="B411" t="s">
        <v>412</v>
      </c>
      <c r="C411">
        <v>3</v>
      </c>
      <c r="D411" cm="1">
        <f t="array" ref="D411">VLOOKUP(OrderLines[[#This Row],[SKU]:[SKU]],Menu[],MATCH(OrderLines[[#Headers],[UnitPrice]],Menu[#Headers],0),FALSE)</f>
        <v>57.07</v>
      </c>
      <c r="E411" cm="1">
        <f t="array" ref="E411">VLOOKUP(OrderLines[[#This Row],[SKU]:[SKU]],Menu[],MATCH(OrderLines[[#Headers],[UnitCost]],Menu[#Headers],0),FALSE)</f>
        <v>29.14</v>
      </c>
      <c r="F411" t="str" cm="1">
        <f t="array" ref="F411">VLOOKUP(OrderLines[[#This Row],[SKU]:[SKU]],Menu[],MATCH(OrderLines[[#Headers],[Category]],Menu[#Headers],0),FALSE)</f>
        <v>Dessert</v>
      </c>
      <c r="G411" t="str" cm="1">
        <f t="array" ref="G411">_xlfn.TEXTJOIN("+",TRUE,_xlfn._xlws.SORT(_xlfn.UNIQUE(_xlfn._xlws.FILTER(OrderLines[Category],OrderLines[OrderID]=OrderLines[[#This Row],[OrderID]]))))</f>
        <v>Dessert+Hot Meal+Snack</v>
      </c>
      <c r="H411" s="2" cm="1">
        <f t="array" ref="H411">INT(VLOOKUP(OrderLines[[#This Row],[OrderID]:[OrderID]],Orders[],MATCH(OrderLines[[#Headers],[OrderDateTime]],Orders[#Headers],0),FALSE))</f>
        <v>45886</v>
      </c>
      <c r="I411" t="str" cm="1">
        <f t="array" ref="I411">VLOOKUP(OrderLines[[#This Row],[OrderID]:[OrderID]],Orders[],MATCH(OrderLines[[#Headers],[Branch]],Orders[#Headers],0),FALSE)</f>
        <v>Plant 1 Canteen</v>
      </c>
      <c r="J411" cm="1">
        <f t="array" ref="J411">VLOOKUP(OrderLines[[#This Row],[OrderID]:[OrderID]],Orders[],MATCH(OrderLines[[#Headers],[DiscountPct]],Orders[#Headers],0),FALSE)</f>
        <v>0.1</v>
      </c>
      <c r="K411" t="str" cm="1">
        <f t="array" ref="K411">VLOOKUP(OrderLines[[#This Row],[OrderID]:[OrderID]],Orders[],MATCH(OrderLines[[#Headers],[PaymentType]],Orders[#Headers],0),FALSE)</f>
        <v>UPI</v>
      </c>
      <c r="L411" t="str" cm="1">
        <f t="array" ref="L411">VLOOKUP(OrderLines[[#This Row],[OrderID]:[OrderID]],Orders[],MATCH(OrderLines[[#Headers],[Shift]],Orders[#Headers],0),FALSE)</f>
        <v>Breakfast</v>
      </c>
      <c r="M411" s="8">
        <f>(OrderLines[[#This Row],[Qty]]*OrderLines[[#This Row],[UnitPrice]])*(1-OrderLines[[#This Row],[DiscountPct]])</f>
        <v>154.089</v>
      </c>
      <c r="N411" t="str">
        <f>IF(AND(COUNTIFS(OrderLines[OrderID],OrderLines[[#This Row],[OrderID]],OrderLines[Category],"Hot Meal"),COUNTIFS(OrderLines[OrderID],OrderLines[[#This Row],[OrderID]],OrderLines[Category],"Beverage")),"Combo","Single")</f>
        <v>Single</v>
      </c>
      <c r="O411" s="8" t="str" cm="1">
        <f t="array" ref="O411">IF(SUMPRODUCT(OrderLines[UnitPrice],OrderLines[Qty],OrderLines[DiscountPct],--(OrderLines[OrderID] = OrderLines[[#This Row],[OrderID]]))&gt;40,"High Discount","Ok")</f>
        <v>High Discount</v>
      </c>
      <c r="P411">
        <f>OrderLines[[#This Row],[UnitCost]]*OrderLines[[#This Row],[Qty]]</f>
        <v>87.42</v>
      </c>
      <c r="Q411" s="8">
        <f>OrderLines[[#This Row],[LineNetAmount]]-OrderLines[[#This Row],[Food Cost]]</f>
        <v>66.668999999999997</v>
      </c>
    </row>
    <row r="412" spans="1:17" x14ac:dyDescent="0.3">
      <c r="A412" t="s">
        <v>199</v>
      </c>
      <c r="B412" t="s">
        <v>417</v>
      </c>
      <c r="C412">
        <v>1</v>
      </c>
      <c r="D412" cm="1">
        <f t="array" ref="D412">VLOOKUP(OrderLines[[#This Row],[SKU]:[SKU]],Menu[],MATCH(OrderLines[[#Headers],[UnitPrice]],Menu[#Headers],0),FALSE)</f>
        <v>146.4</v>
      </c>
      <c r="E412" cm="1">
        <f t="array" ref="E412">VLOOKUP(OrderLines[[#This Row],[SKU]:[SKU]],Menu[],MATCH(OrderLines[[#Headers],[UnitCost]],Menu[#Headers],0),FALSE)</f>
        <v>80.92</v>
      </c>
      <c r="F412" t="str" cm="1">
        <f t="array" ref="F412">VLOOKUP(OrderLines[[#This Row],[SKU]:[SKU]],Menu[],MATCH(OrderLines[[#Headers],[Category]],Menu[#Headers],0),FALSE)</f>
        <v>Hot Meal</v>
      </c>
      <c r="G412" t="str" cm="1">
        <f t="array" ref="G412">_xlfn.TEXTJOIN("+",TRUE,_xlfn._xlws.SORT(_xlfn.UNIQUE(_xlfn._xlws.FILTER(OrderLines[Category],OrderLines[OrderID]=OrderLines[[#This Row],[OrderID]]))))</f>
        <v>Dessert+Hot Meal+Snack</v>
      </c>
      <c r="H412" s="2" cm="1">
        <f t="array" ref="H412">INT(VLOOKUP(OrderLines[[#This Row],[OrderID]:[OrderID]],Orders[],MATCH(OrderLines[[#Headers],[OrderDateTime]],Orders[#Headers],0),FALSE))</f>
        <v>45886</v>
      </c>
      <c r="I412" t="str" cm="1">
        <f t="array" ref="I412">VLOOKUP(OrderLines[[#This Row],[OrderID]:[OrderID]],Orders[],MATCH(OrderLines[[#Headers],[Branch]],Orders[#Headers],0),FALSE)</f>
        <v>Plant 1 Canteen</v>
      </c>
      <c r="J412" cm="1">
        <f t="array" ref="J412">VLOOKUP(OrderLines[[#This Row],[OrderID]:[OrderID]],Orders[],MATCH(OrderLines[[#Headers],[DiscountPct]],Orders[#Headers],0),FALSE)</f>
        <v>0.1</v>
      </c>
      <c r="K412" t="str" cm="1">
        <f t="array" ref="K412">VLOOKUP(OrderLines[[#This Row],[OrderID]:[OrderID]],Orders[],MATCH(OrderLines[[#Headers],[PaymentType]],Orders[#Headers],0),FALSE)</f>
        <v>UPI</v>
      </c>
      <c r="L412" t="str" cm="1">
        <f t="array" ref="L412">VLOOKUP(OrderLines[[#This Row],[OrderID]:[OrderID]],Orders[],MATCH(OrderLines[[#Headers],[Shift]],Orders[#Headers],0),FALSE)</f>
        <v>Breakfast</v>
      </c>
      <c r="M412" s="8">
        <f>(OrderLines[[#This Row],[Qty]]*OrderLines[[#This Row],[UnitPrice]])*(1-OrderLines[[#This Row],[DiscountPct]])</f>
        <v>131.76000000000002</v>
      </c>
      <c r="N412" t="str">
        <f>IF(AND(COUNTIFS(OrderLines[OrderID],OrderLines[[#This Row],[OrderID]],OrderLines[Category],"Hot Meal"),COUNTIFS(OrderLines[OrderID],OrderLines[[#This Row],[OrderID]],OrderLines[Category],"Beverage")),"Combo","Single")</f>
        <v>Single</v>
      </c>
      <c r="O412" s="8" t="str" cm="1">
        <f t="array" ref="O412">IF(SUMPRODUCT(OrderLines[UnitPrice],OrderLines[Qty],OrderLines[DiscountPct],--(OrderLines[OrderID] = OrderLines[[#This Row],[OrderID]]))&gt;40,"High Discount","Ok")</f>
        <v>High Discount</v>
      </c>
      <c r="P412">
        <f>OrderLines[[#This Row],[UnitCost]]*OrderLines[[#This Row],[Qty]]</f>
        <v>80.92</v>
      </c>
      <c r="Q412" s="8">
        <f>OrderLines[[#This Row],[LineNetAmount]]-OrderLines[[#This Row],[Food Cost]]</f>
        <v>50.840000000000018</v>
      </c>
    </row>
    <row r="413" spans="1:17" x14ac:dyDescent="0.3">
      <c r="A413" t="s">
        <v>199</v>
      </c>
      <c r="B413" t="s">
        <v>413</v>
      </c>
      <c r="C413">
        <v>1</v>
      </c>
      <c r="D413" cm="1">
        <f t="array" ref="D413">VLOOKUP(OrderLines[[#This Row],[SKU]:[SKU]],Menu[],MATCH(OrderLines[[#Headers],[UnitPrice]],Menu[#Headers],0),FALSE)</f>
        <v>54.2</v>
      </c>
      <c r="E413" cm="1">
        <f t="array" ref="E413">VLOOKUP(OrderLines[[#This Row],[SKU]:[SKU]],Menu[],MATCH(OrderLines[[#Headers],[UnitCost]],Menu[#Headers],0),FALSE)</f>
        <v>21.95</v>
      </c>
      <c r="F413" t="str" cm="1">
        <f t="array" ref="F413">VLOOKUP(OrderLines[[#This Row],[SKU]:[SKU]],Menu[],MATCH(OrderLines[[#Headers],[Category]],Menu[#Headers],0),FALSE)</f>
        <v>Dessert</v>
      </c>
      <c r="G413" t="str" cm="1">
        <f t="array" ref="G413">_xlfn.TEXTJOIN("+",TRUE,_xlfn._xlws.SORT(_xlfn.UNIQUE(_xlfn._xlws.FILTER(OrderLines[Category],OrderLines[OrderID]=OrderLines[[#This Row],[OrderID]]))))</f>
        <v>Dessert+Hot Meal+Snack</v>
      </c>
      <c r="H413" s="2" cm="1">
        <f t="array" ref="H413">INT(VLOOKUP(OrderLines[[#This Row],[OrderID]:[OrderID]],Orders[],MATCH(OrderLines[[#Headers],[OrderDateTime]],Orders[#Headers],0),FALSE))</f>
        <v>45886</v>
      </c>
      <c r="I413" t="str" cm="1">
        <f t="array" ref="I413">VLOOKUP(OrderLines[[#This Row],[OrderID]:[OrderID]],Orders[],MATCH(OrderLines[[#Headers],[Branch]],Orders[#Headers],0),FALSE)</f>
        <v>Plant 1 Canteen</v>
      </c>
      <c r="J413" cm="1">
        <f t="array" ref="J413">VLOOKUP(OrderLines[[#This Row],[OrderID]:[OrderID]],Orders[],MATCH(OrderLines[[#Headers],[DiscountPct]],Orders[#Headers],0),FALSE)</f>
        <v>0.1</v>
      </c>
      <c r="K413" t="str" cm="1">
        <f t="array" ref="K413">VLOOKUP(OrderLines[[#This Row],[OrderID]:[OrderID]],Orders[],MATCH(OrderLines[[#Headers],[PaymentType]],Orders[#Headers],0),FALSE)</f>
        <v>UPI</v>
      </c>
      <c r="L413" t="str" cm="1">
        <f t="array" ref="L413">VLOOKUP(OrderLines[[#This Row],[OrderID]:[OrderID]],Orders[],MATCH(OrderLines[[#Headers],[Shift]],Orders[#Headers],0),FALSE)</f>
        <v>Breakfast</v>
      </c>
      <c r="M413" s="8">
        <f>(OrderLines[[#This Row],[Qty]]*OrderLines[[#This Row],[UnitPrice]])*(1-OrderLines[[#This Row],[DiscountPct]])</f>
        <v>48.78</v>
      </c>
      <c r="N413" t="str">
        <f>IF(AND(COUNTIFS(OrderLines[OrderID],OrderLines[[#This Row],[OrderID]],OrderLines[Category],"Hot Meal"),COUNTIFS(OrderLines[OrderID],OrderLines[[#This Row],[OrderID]],OrderLines[Category],"Beverage")),"Combo","Single")</f>
        <v>Single</v>
      </c>
      <c r="O413" s="8" t="str" cm="1">
        <f t="array" ref="O413">IF(SUMPRODUCT(OrderLines[UnitPrice],OrderLines[Qty],OrderLines[DiscountPct],--(OrderLines[OrderID] = OrderLines[[#This Row],[OrderID]]))&gt;40,"High Discount","Ok")</f>
        <v>High Discount</v>
      </c>
      <c r="P413">
        <f>OrderLines[[#This Row],[UnitCost]]*OrderLines[[#This Row],[Qty]]</f>
        <v>21.95</v>
      </c>
      <c r="Q413" s="8">
        <f>OrderLines[[#This Row],[LineNetAmount]]-OrderLines[[#This Row],[Food Cost]]</f>
        <v>26.830000000000002</v>
      </c>
    </row>
    <row r="414" spans="1:17" x14ac:dyDescent="0.3">
      <c r="A414" t="s">
        <v>200</v>
      </c>
      <c r="B414" t="s">
        <v>415</v>
      </c>
      <c r="C414">
        <v>2</v>
      </c>
      <c r="D414" cm="1">
        <f t="array" ref="D414">VLOOKUP(OrderLines[[#This Row],[SKU]:[SKU]],Menu[],MATCH(OrderLines[[#Headers],[UnitPrice]],Menu[#Headers],0),FALSE)</f>
        <v>256.91000000000003</v>
      </c>
      <c r="E414" cm="1">
        <f t="array" ref="E414">VLOOKUP(OrderLines[[#This Row],[SKU]:[SKU]],Menu[],MATCH(OrderLines[[#Headers],[UnitCost]],Menu[#Headers],0),FALSE)</f>
        <v>121.24</v>
      </c>
      <c r="F414" t="str" cm="1">
        <f t="array" ref="F414">VLOOKUP(OrderLines[[#This Row],[SKU]:[SKU]],Menu[],MATCH(OrderLines[[#Headers],[Category]],Menu[#Headers],0),FALSE)</f>
        <v>Hot Meal</v>
      </c>
      <c r="G414" t="str" cm="1">
        <f t="array" ref="G414">_xlfn.TEXTJOIN("+",TRUE,_xlfn._xlws.SORT(_xlfn.UNIQUE(_xlfn._xlws.FILTER(OrderLines[Category],OrderLines[OrderID]=OrderLines[[#This Row],[OrderID]]))))</f>
        <v>Hot Meal+Snack</v>
      </c>
      <c r="H414" s="2" cm="1">
        <f t="array" ref="H414">INT(VLOOKUP(OrderLines[[#This Row],[OrderID]:[OrderID]],Orders[],MATCH(OrderLines[[#Headers],[OrderDateTime]],Orders[#Headers],0),FALSE))</f>
        <v>45854</v>
      </c>
      <c r="I414" t="str" cm="1">
        <f t="array" ref="I414">VLOOKUP(OrderLines[[#This Row],[OrderID]:[OrderID]],Orders[],MATCH(OrderLines[[#Headers],[Branch]],Orders[#Headers],0),FALSE)</f>
        <v>Plant 2 Canteen</v>
      </c>
      <c r="J414" cm="1">
        <f t="array" ref="J414">VLOOKUP(OrderLines[[#This Row],[OrderID]:[OrderID]],Orders[],MATCH(OrderLines[[#Headers],[DiscountPct]],Orders[#Headers],0),FALSE)</f>
        <v>0</v>
      </c>
      <c r="K414" t="str" cm="1">
        <f t="array" ref="K414">VLOOKUP(OrderLines[[#This Row],[OrderID]:[OrderID]],Orders[],MATCH(OrderLines[[#Headers],[PaymentType]],Orders[#Headers],0),FALSE)</f>
        <v>Cash</v>
      </c>
      <c r="L414" t="str" cm="1">
        <f t="array" ref="L414">VLOOKUP(OrderLines[[#This Row],[OrderID]:[OrderID]],Orders[],MATCH(OrderLines[[#Headers],[Shift]],Orders[#Headers],0),FALSE)</f>
        <v>Lunch</v>
      </c>
      <c r="M414" s="8">
        <f>(OrderLines[[#This Row],[Qty]]*OrderLines[[#This Row],[UnitPrice]])*(1-OrderLines[[#This Row],[DiscountPct]])</f>
        <v>513.82000000000005</v>
      </c>
      <c r="N414" t="str">
        <f>IF(AND(COUNTIFS(OrderLines[OrderID],OrderLines[[#This Row],[OrderID]],OrderLines[Category],"Hot Meal"),COUNTIFS(OrderLines[OrderID],OrderLines[[#This Row],[OrderID]],OrderLines[Category],"Beverage")),"Combo","Single")</f>
        <v>Single</v>
      </c>
      <c r="O414" s="8" t="str" cm="1">
        <f t="array" ref="O414">IF(SUMPRODUCT(OrderLines[UnitPrice],OrderLines[Qty],OrderLines[DiscountPct],--(OrderLines[OrderID] = OrderLines[[#This Row],[OrderID]]))&gt;40,"High Discount","Ok")</f>
        <v>Ok</v>
      </c>
      <c r="P414">
        <f>OrderLines[[#This Row],[UnitCost]]*OrderLines[[#This Row],[Qty]]</f>
        <v>242.48</v>
      </c>
      <c r="Q414" s="8">
        <f>OrderLines[[#This Row],[LineNetAmount]]-OrderLines[[#This Row],[Food Cost]]</f>
        <v>271.34000000000003</v>
      </c>
    </row>
    <row r="415" spans="1:17" x14ac:dyDescent="0.3">
      <c r="A415" t="s">
        <v>200</v>
      </c>
      <c r="B415" t="s">
        <v>418</v>
      </c>
      <c r="C415">
        <v>3</v>
      </c>
      <c r="D415" cm="1">
        <f t="array" ref="D415">VLOOKUP(OrderLines[[#This Row],[SKU]:[SKU]],Menu[],MATCH(OrderLines[[#Headers],[UnitPrice]],Menu[#Headers],0),FALSE)</f>
        <v>39.950000000000003</v>
      </c>
      <c r="E415" cm="1">
        <f t="array" ref="E415">VLOOKUP(OrderLines[[#This Row],[SKU]:[SKU]],Menu[],MATCH(OrderLines[[#Headers],[UnitCost]],Menu[#Headers],0),FALSE)</f>
        <v>15.51</v>
      </c>
      <c r="F415" t="str" cm="1">
        <f t="array" ref="F415">VLOOKUP(OrderLines[[#This Row],[SKU]:[SKU]],Menu[],MATCH(OrderLines[[#Headers],[Category]],Menu[#Headers],0),FALSE)</f>
        <v>Snack</v>
      </c>
      <c r="G415" t="str" cm="1">
        <f t="array" ref="G415">_xlfn.TEXTJOIN("+",TRUE,_xlfn._xlws.SORT(_xlfn.UNIQUE(_xlfn._xlws.FILTER(OrderLines[Category],OrderLines[OrderID]=OrderLines[[#This Row],[OrderID]]))))</f>
        <v>Hot Meal+Snack</v>
      </c>
      <c r="H415" s="2" cm="1">
        <f t="array" ref="H415">INT(VLOOKUP(OrderLines[[#This Row],[OrderID]:[OrderID]],Orders[],MATCH(OrderLines[[#Headers],[OrderDateTime]],Orders[#Headers],0),FALSE))</f>
        <v>45854</v>
      </c>
      <c r="I415" t="str" cm="1">
        <f t="array" ref="I415">VLOOKUP(OrderLines[[#This Row],[OrderID]:[OrderID]],Orders[],MATCH(OrderLines[[#Headers],[Branch]],Orders[#Headers],0),FALSE)</f>
        <v>Plant 2 Canteen</v>
      </c>
      <c r="J415" cm="1">
        <f t="array" ref="J415">VLOOKUP(OrderLines[[#This Row],[OrderID]:[OrderID]],Orders[],MATCH(OrderLines[[#Headers],[DiscountPct]],Orders[#Headers],0),FALSE)</f>
        <v>0</v>
      </c>
      <c r="K415" t="str" cm="1">
        <f t="array" ref="K415">VLOOKUP(OrderLines[[#This Row],[OrderID]:[OrderID]],Orders[],MATCH(OrderLines[[#Headers],[PaymentType]],Orders[#Headers],0),FALSE)</f>
        <v>Cash</v>
      </c>
      <c r="L415" t="str" cm="1">
        <f t="array" ref="L415">VLOOKUP(OrderLines[[#This Row],[OrderID]:[OrderID]],Orders[],MATCH(OrderLines[[#Headers],[Shift]],Orders[#Headers],0),FALSE)</f>
        <v>Lunch</v>
      </c>
      <c r="M415" s="8">
        <f>(OrderLines[[#This Row],[Qty]]*OrderLines[[#This Row],[UnitPrice]])*(1-OrderLines[[#This Row],[DiscountPct]])</f>
        <v>119.85000000000001</v>
      </c>
      <c r="N415" t="str">
        <f>IF(AND(COUNTIFS(OrderLines[OrderID],OrderLines[[#This Row],[OrderID]],OrderLines[Category],"Hot Meal"),COUNTIFS(OrderLines[OrderID],OrderLines[[#This Row],[OrderID]],OrderLines[Category],"Beverage")),"Combo","Single")</f>
        <v>Single</v>
      </c>
      <c r="O415" s="8" t="str" cm="1">
        <f t="array" ref="O415">IF(SUMPRODUCT(OrderLines[UnitPrice],OrderLines[Qty],OrderLines[DiscountPct],--(OrderLines[OrderID] = OrderLines[[#This Row],[OrderID]]))&gt;40,"High Discount","Ok")</f>
        <v>Ok</v>
      </c>
      <c r="P415">
        <f>OrderLines[[#This Row],[UnitCost]]*OrderLines[[#This Row],[Qty]]</f>
        <v>46.53</v>
      </c>
      <c r="Q415" s="8">
        <f>OrderLines[[#This Row],[LineNetAmount]]-OrderLines[[#This Row],[Food Cost]]</f>
        <v>73.320000000000007</v>
      </c>
    </row>
    <row r="416" spans="1:17" x14ac:dyDescent="0.3">
      <c r="A416" t="s">
        <v>201</v>
      </c>
      <c r="B416" t="s">
        <v>408</v>
      </c>
      <c r="C416">
        <v>2</v>
      </c>
      <c r="D416" cm="1">
        <f t="array" ref="D416">VLOOKUP(OrderLines[[#This Row],[SKU]:[SKU]],Menu[],MATCH(OrderLines[[#Headers],[UnitPrice]],Menu[#Headers],0),FALSE)</f>
        <v>70.540000000000006</v>
      </c>
      <c r="E416" cm="1">
        <f t="array" ref="E416">VLOOKUP(OrderLines[[#This Row],[SKU]:[SKU]],Menu[],MATCH(OrderLines[[#Headers],[UnitCost]],Menu[#Headers],0),FALSE)</f>
        <v>35.81</v>
      </c>
      <c r="F416" t="str" cm="1">
        <f t="array" ref="F416">VLOOKUP(OrderLines[[#This Row],[SKU]:[SKU]],Menu[],MATCH(OrderLines[[#Headers],[Category]],Menu[#Headers],0),FALSE)</f>
        <v>Snack</v>
      </c>
      <c r="G416" t="str" cm="1">
        <f t="array" ref="G416">_xlfn.TEXTJOIN("+",TRUE,_xlfn._xlws.SORT(_xlfn.UNIQUE(_xlfn._xlws.FILTER(OrderLines[Category],OrderLines[OrderID]=OrderLines[[#This Row],[OrderID]]))))</f>
        <v>Dessert+Snack</v>
      </c>
      <c r="H416" s="2" cm="1">
        <f t="array" ref="H416">INT(VLOOKUP(OrderLines[[#This Row],[OrderID]:[OrderID]],Orders[],MATCH(OrderLines[[#Headers],[OrderDateTime]],Orders[#Headers],0),FALSE))</f>
        <v>45878</v>
      </c>
      <c r="I416" t="str" cm="1">
        <f t="array" ref="I416">VLOOKUP(OrderLines[[#This Row],[OrderID]:[OrderID]],Orders[],MATCH(OrderLines[[#Headers],[Branch]],Orders[#Headers],0),FALSE)</f>
        <v>Plant 1 Canteen</v>
      </c>
      <c r="J416" cm="1">
        <f t="array" ref="J416">VLOOKUP(OrderLines[[#This Row],[OrderID]:[OrderID]],Orders[],MATCH(OrderLines[[#Headers],[DiscountPct]],Orders[#Headers],0),FALSE)</f>
        <v>0.02</v>
      </c>
      <c r="K416" t="str" cm="1">
        <f t="array" ref="K416">VLOOKUP(OrderLines[[#This Row],[OrderID]:[OrderID]],Orders[],MATCH(OrderLines[[#Headers],[PaymentType]],Orders[#Headers],0),FALSE)</f>
        <v>Cash</v>
      </c>
      <c r="L416" t="str" cm="1">
        <f t="array" ref="L416">VLOOKUP(OrderLines[[#This Row],[OrderID]:[OrderID]],Orders[],MATCH(OrderLines[[#Headers],[Shift]],Orders[#Headers],0),FALSE)</f>
        <v>Dinner</v>
      </c>
      <c r="M416" s="8">
        <f>(OrderLines[[#This Row],[Qty]]*OrderLines[[#This Row],[UnitPrice]])*(1-OrderLines[[#This Row],[DiscountPct]])</f>
        <v>138.25840000000002</v>
      </c>
      <c r="N416" t="str">
        <f>IF(AND(COUNTIFS(OrderLines[OrderID],OrderLines[[#This Row],[OrderID]],OrderLines[Category],"Hot Meal"),COUNTIFS(OrderLines[OrderID],OrderLines[[#This Row],[OrderID]],OrderLines[Category],"Beverage")),"Combo","Single")</f>
        <v>Single</v>
      </c>
      <c r="O416" s="8" t="str" cm="1">
        <f t="array" ref="O416">IF(SUMPRODUCT(OrderLines[UnitPrice],OrderLines[Qty],OrderLines[DiscountPct],--(OrderLines[OrderID] = OrderLines[[#This Row],[OrderID]]))&gt;40,"High Discount","Ok")</f>
        <v>Ok</v>
      </c>
      <c r="P416">
        <f>OrderLines[[#This Row],[UnitCost]]*OrderLines[[#This Row],[Qty]]</f>
        <v>71.62</v>
      </c>
      <c r="Q416" s="8">
        <f>OrderLines[[#This Row],[LineNetAmount]]-OrderLines[[#This Row],[Food Cost]]</f>
        <v>66.638400000000019</v>
      </c>
    </row>
    <row r="417" spans="1:17" x14ac:dyDescent="0.3">
      <c r="A417" t="s">
        <v>201</v>
      </c>
      <c r="B417" t="s">
        <v>412</v>
      </c>
      <c r="C417">
        <v>1</v>
      </c>
      <c r="D417" cm="1">
        <f t="array" ref="D417">VLOOKUP(OrderLines[[#This Row],[SKU]:[SKU]],Menu[],MATCH(OrderLines[[#Headers],[UnitPrice]],Menu[#Headers],0),FALSE)</f>
        <v>57.07</v>
      </c>
      <c r="E417" cm="1">
        <f t="array" ref="E417">VLOOKUP(OrderLines[[#This Row],[SKU]:[SKU]],Menu[],MATCH(OrderLines[[#Headers],[UnitCost]],Menu[#Headers],0),FALSE)</f>
        <v>29.14</v>
      </c>
      <c r="F417" t="str" cm="1">
        <f t="array" ref="F417">VLOOKUP(OrderLines[[#This Row],[SKU]:[SKU]],Menu[],MATCH(OrderLines[[#Headers],[Category]],Menu[#Headers],0),FALSE)</f>
        <v>Dessert</v>
      </c>
      <c r="G417" t="str" cm="1">
        <f t="array" ref="G417">_xlfn.TEXTJOIN("+",TRUE,_xlfn._xlws.SORT(_xlfn.UNIQUE(_xlfn._xlws.FILTER(OrderLines[Category],OrderLines[OrderID]=OrderLines[[#This Row],[OrderID]]))))</f>
        <v>Dessert+Snack</v>
      </c>
      <c r="H417" s="2" cm="1">
        <f t="array" ref="H417">INT(VLOOKUP(OrderLines[[#This Row],[OrderID]:[OrderID]],Orders[],MATCH(OrderLines[[#Headers],[OrderDateTime]],Orders[#Headers],0),FALSE))</f>
        <v>45878</v>
      </c>
      <c r="I417" t="str" cm="1">
        <f t="array" ref="I417">VLOOKUP(OrderLines[[#This Row],[OrderID]:[OrderID]],Orders[],MATCH(OrderLines[[#Headers],[Branch]],Orders[#Headers],0),FALSE)</f>
        <v>Plant 1 Canteen</v>
      </c>
      <c r="J417" cm="1">
        <f t="array" ref="J417">VLOOKUP(OrderLines[[#This Row],[OrderID]:[OrderID]],Orders[],MATCH(OrderLines[[#Headers],[DiscountPct]],Orders[#Headers],0),FALSE)</f>
        <v>0.02</v>
      </c>
      <c r="K417" t="str" cm="1">
        <f t="array" ref="K417">VLOOKUP(OrderLines[[#This Row],[OrderID]:[OrderID]],Orders[],MATCH(OrderLines[[#Headers],[PaymentType]],Orders[#Headers],0),FALSE)</f>
        <v>Cash</v>
      </c>
      <c r="L417" t="str" cm="1">
        <f t="array" ref="L417">VLOOKUP(OrderLines[[#This Row],[OrderID]:[OrderID]],Orders[],MATCH(OrderLines[[#Headers],[Shift]],Orders[#Headers],0),FALSE)</f>
        <v>Dinner</v>
      </c>
      <c r="M417" s="8">
        <f>(OrderLines[[#This Row],[Qty]]*OrderLines[[#This Row],[UnitPrice]])*(1-OrderLines[[#This Row],[DiscountPct]])</f>
        <v>55.928599999999996</v>
      </c>
      <c r="N417" t="str">
        <f>IF(AND(COUNTIFS(OrderLines[OrderID],OrderLines[[#This Row],[OrderID]],OrderLines[Category],"Hot Meal"),COUNTIFS(OrderLines[OrderID],OrderLines[[#This Row],[OrderID]],OrderLines[Category],"Beverage")),"Combo","Single")</f>
        <v>Single</v>
      </c>
      <c r="O417" s="8" t="str" cm="1">
        <f t="array" ref="O417">IF(SUMPRODUCT(OrderLines[UnitPrice],OrderLines[Qty],OrderLines[DiscountPct],--(OrderLines[OrderID] = OrderLines[[#This Row],[OrderID]]))&gt;40,"High Discount","Ok")</f>
        <v>Ok</v>
      </c>
      <c r="P417">
        <f>OrderLines[[#This Row],[UnitCost]]*OrderLines[[#This Row],[Qty]]</f>
        <v>29.14</v>
      </c>
      <c r="Q417" s="8">
        <f>OrderLines[[#This Row],[LineNetAmount]]-OrderLines[[#This Row],[Food Cost]]</f>
        <v>26.788599999999995</v>
      </c>
    </row>
    <row r="418" spans="1:17" x14ac:dyDescent="0.3">
      <c r="A418" t="s">
        <v>202</v>
      </c>
      <c r="B418" t="s">
        <v>411</v>
      </c>
      <c r="C418">
        <v>1</v>
      </c>
      <c r="D418" cm="1">
        <f t="array" ref="D418">VLOOKUP(OrderLines[[#This Row],[SKU]:[SKU]],Menu[],MATCH(OrderLines[[#Headers],[UnitPrice]],Menu[#Headers],0),FALSE)</f>
        <v>22.2</v>
      </c>
      <c r="E418" cm="1">
        <f t="array" ref="E418">VLOOKUP(OrderLines[[#This Row],[SKU]:[SKU]],Menu[],MATCH(OrderLines[[#Headers],[UnitCost]],Menu[#Headers],0),FALSE)</f>
        <v>9.3800000000000008</v>
      </c>
      <c r="F418" t="str" cm="1">
        <f t="array" ref="F418">VLOOKUP(OrderLines[[#This Row],[SKU]:[SKU]],Menu[],MATCH(OrderLines[[#Headers],[Category]],Menu[#Headers],0),FALSE)</f>
        <v>Beverage</v>
      </c>
      <c r="G418" t="str" cm="1">
        <f t="array" ref="G418">_xlfn.TEXTJOIN("+",TRUE,_xlfn._xlws.SORT(_xlfn.UNIQUE(_xlfn._xlws.FILTER(OrderLines[Category],OrderLines[OrderID]=OrderLines[[#This Row],[OrderID]]))))</f>
        <v>Beverage+Snack</v>
      </c>
      <c r="H418" s="2" cm="1">
        <f t="array" ref="H418">INT(VLOOKUP(OrderLines[[#This Row],[OrderID]:[OrderID]],Orders[],MATCH(OrderLines[[#Headers],[OrderDateTime]],Orders[#Headers],0),FALSE))</f>
        <v>45850</v>
      </c>
      <c r="I418" t="str" cm="1">
        <f t="array" ref="I418">VLOOKUP(OrderLines[[#This Row],[OrderID]:[OrderID]],Orders[],MATCH(OrderLines[[#Headers],[Branch]],Orders[#Headers],0),FALSE)</f>
        <v>Head Office Café</v>
      </c>
      <c r="J418" cm="1">
        <f t="array" ref="J418">VLOOKUP(OrderLines[[#This Row],[OrderID]:[OrderID]],Orders[],MATCH(OrderLines[[#Headers],[DiscountPct]],Orders[#Headers],0),FALSE)</f>
        <v>0.08</v>
      </c>
      <c r="K418" t="str" cm="1">
        <f t="array" ref="K418">VLOOKUP(OrderLines[[#This Row],[OrderID]:[OrderID]],Orders[],MATCH(OrderLines[[#Headers],[PaymentType]],Orders[#Headers],0),FALSE)</f>
        <v>Card</v>
      </c>
      <c r="L418" t="str" cm="1">
        <f t="array" ref="L418">VLOOKUP(OrderLines[[#This Row],[OrderID]:[OrderID]],Orders[],MATCH(OrderLines[[#Headers],[Shift]],Orders[#Headers],0),FALSE)</f>
        <v>Lunch</v>
      </c>
      <c r="M418" s="8">
        <f>(OrderLines[[#This Row],[Qty]]*OrderLines[[#This Row],[UnitPrice]])*(1-OrderLines[[#This Row],[DiscountPct]])</f>
        <v>20.423999999999999</v>
      </c>
      <c r="N418" t="str">
        <f>IF(AND(COUNTIFS(OrderLines[OrderID],OrderLines[[#This Row],[OrderID]],OrderLines[Category],"Hot Meal"),COUNTIFS(OrderLines[OrderID],OrderLines[[#This Row],[OrderID]],OrderLines[Category],"Beverage")),"Combo","Single")</f>
        <v>Single</v>
      </c>
      <c r="O418" s="8" t="str" cm="1">
        <f t="array" ref="O418">IF(SUMPRODUCT(OrderLines[UnitPrice],OrderLines[Qty],OrderLines[DiscountPct],--(OrderLines[OrderID] = OrderLines[[#This Row],[OrderID]]))&gt;40,"High Discount","Ok")</f>
        <v>Ok</v>
      </c>
      <c r="P418">
        <f>OrderLines[[#This Row],[UnitCost]]*OrderLines[[#This Row],[Qty]]</f>
        <v>9.3800000000000008</v>
      </c>
      <c r="Q418" s="8">
        <f>OrderLines[[#This Row],[LineNetAmount]]-OrderLines[[#This Row],[Food Cost]]</f>
        <v>11.043999999999999</v>
      </c>
    </row>
    <row r="419" spans="1:17" x14ac:dyDescent="0.3">
      <c r="A419" t="s">
        <v>202</v>
      </c>
      <c r="B419" t="s">
        <v>404</v>
      </c>
      <c r="C419">
        <v>2</v>
      </c>
      <c r="D419" cm="1">
        <f t="array" ref="D419">VLOOKUP(OrderLines[[#This Row],[SKU]:[SKU]],Menu[],MATCH(OrderLines[[#Headers],[UnitPrice]],Menu[#Headers],0),FALSE)</f>
        <v>32.979999999999997</v>
      </c>
      <c r="E419" cm="1">
        <f t="array" ref="E419">VLOOKUP(OrderLines[[#This Row],[SKU]:[SKU]],Menu[],MATCH(OrderLines[[#Headers],[UnitCost]],Menu[#Headers],0),FALSE)</f>
        <v>11.84</v>
      </c>
      <c r="F419" t="str" cm="1">
        <f t="array" ref="F419">VLOOKUP(OrderLines[[#This Row],[SKU]:[SKU]],Menu[],MATCH(OrderLines[[#Headers],[Category]],Menu[#Headers],0),FALSE)</f>
        <v>Beverage</v>
      </c>
      <c r="G419" t="str" cm="1">
        <f t="array" ref="G419">_xlfn.TEXTJOIN("+",TRUE,_xlfn._xlws.SORT(_xlfn.UNIQUE(_xlfn._xlws.FILTER(OrderLines[Category],OrderLines[OrderID]=OrderLines[[#This Row],[OrderID]]))))</f>
        <v>Beverage+Snack</v>
      </c>
      <c r="H419" s="2" cm="1">
        <f t="array" ref="H419">INT(VLOOKUP(OrderLines[[#This Row],[OrderID]:[OrderID]],Orders[],MATCH(OrderLines[[#Headers],[OrderDateTime]],Orders[#Headers],0),FALSE))</f>
        <v>45850</v>
      </c>
      <c r="I419" t="str" cm="1">
        <f t="array" ref="I419">VLOOKUP(OrderLines[[#This Row],[OrderID]:[OrderID]],Orders[],MATCH(OrderLines[[#Headers],[Branch]],Orders[#Headers],0),FALSE)</f>
        <v>Head Office Café</v>
      </c>
      <c r="J419" cm="1">
        <f t="array" ref="J419">VLOOKUP(OrderLines[[#This Row],[OrderID]:[OrderID]],Orders[],MATCH(OrderLines[[#Headers],[DiscountPct]],Orders[#Headers],0),FALSE)</f>
        <v>0.08</v>
      </c>
      <c r="K419" t="str" cm="1">
        <f t="array" ref="K419">VLOOKUP(OrderLines[[#This Row],[OrderID]:[OrderID]],Orders[],MATCH(OrderLines[[#Headers],[PaymentType]],Orders[#Headers],0),FALSE)</f>
        <v>Card</v>
      </c>
      <c r="L419" t="str" cm="1">
        <f t="array" ref="L419">VLOOKUP(OrderLines[[#This Row],[OrderID]:[OrderID]],Orders[],MATCH(OrderLines[[#Headers],[Shift]],Orders[#Headers],0),FALSE)</f>
        <v>Lunch</v>
      </c>
      <c r="M419" s="8">
        <f>(OrderLines[[#This Row],[Qty]]*OrderLines[[#This Row],[UnitPrice]])*(1-OrderLines[[#This Row],[DiscountPct]])</f>
        <v>60.683199999999999</v>
      </c>
      <c r="N419" t="str">
        <f>IF(AND(COUNTIFS(OrderLines[OrderID],OrderLines[[#This Row],[OrderID]],OrderLines[Category],"Hot Meal"),COUNTIFS(OrderLines[OrderID],OrderLines[[#This Row],[OrderID]],OrderLines[Category],"Beverage")),"Combo","Single")</f>
        <v>Single</v>
      </c>
      <c r="O419" s="8" t="str" cm="1">
        <f t="array" ref="O419">IF(SUMPRODUCT(OrderLines[UnitPrice],OrderLines[Qty],OrderLines[DiscountPct],--(OrderLines[OrderID] = OrderLines[[#This Row],[OrderID]]))&gt;40,"High Discount","Ok")</f>
        <v>Ok</v>
      </c>
      <c r="P419">
        <f>OrderLines[[#This Row],[UnitCost]]*OrderLines[[#This Row],[Qty]]</f>
        <v>23.68</v>
      </c>
      <c r="Q419" s="8">
        <f>OrderLines[[#This Row],[LineNetAmount]]-OrderLines[[#This Row],[Food Cost]]</f>
        <v>37.0032</v>
      </c>
    </row>
    <row r="420" spans="1:17" x14ac:dyDescent="0.3">
      <c r="A420" t="s">
        <v>202</v>
      </c>
      <c r="B420" t="s">
        <v>408</v>
      </c>
      <c r="C420">
        <v>1</v>
      </c>
      <c r="D420" cm="1">
        <f t="array" ref="D420">VLOOKUP(OrderLines[[#This Row],[SKU]:[SKU]],Menu[],MATCH(OrderLines[[#Headers],[UnitPrice]],Menu[#Headers],0),FALSE)</f>
        <v>70.540000000000006</v>
      </c>
      <c r="E420" cm="1">
        <f t="array" ref="E420">VLOOKUP(OrderLines[[#This Row],[SKU]:[SKU]],Menu[],MATCH(OrderLines[[#Headers],[UnitCost]],Menu[#Headers],0),FALSE)</f>
        <v>35.81</v>
      </c>
      <c r="F420" t="str" cm="1">
        <f t="array" ref="F420">VLOOKUP(OrderLines[[#This Row],[SKU]:[SKU]],Menu[],MATCH(OrderLines[[#Headers],[Category]],Menu[#Headers],0),FALSE)</f>
        <v>Snack</v>
      </c>
      <c r="G420" t="str" cm="1">
        <f t="array" ref="G420">_xlfn.TEXTJOIN("+",TRUE,_xlfn._xlws.SORT(_xlfn.UNIQUE(_xlfn._xlws.FILTER(OrderLines[Category],OrderLines[OrderID]=OrderLines[[#This Row],[OrderID]]))))</f>
        <v>Beverage+Snack</v>
      </c>
      <c r="H420" s="2" cm="1">
        <f t="array" ref="H420">INT(VLOOKUP(OrderLines[[#This Row],[OrderID]:[OrderID]],Orders[],MATCH(OrderLines[[#Headers],[OrderDateTime]],Orders[#Headers],0),FALSE))</f>
        <v>45850</v>
      </c>
      <c r="I420" t="str" cm="1">
        <f t="array" ref="I420">VLOOKUP(OrderLines[[#This Row],[OrderID]:[OrderID]],Orders[],MATCH(OrderLines[[#Headers],[Branch]],Orders[#Headers],0),FALSE)</f>
        <v>Head Office Café</v>
      </c>
      <c r="J420" cm="1">
        <f t="array" ref="J420">VLOOKUP(OrderLines[[#This Row],[OrderID]:[OrderID]],Orders[],MATCH(OrderLines[[#Headers],[DiscountPct]],Orders[#Headers],0),FALSE)</f>
        <v>0.08</v>
      </c>
      <c r="K420" t="str" cm="1">
        <f t="array" ref="K420">VLOOKUP(OrderLines[[#This Row],[OrderID]:[OrderID]],Orders[],MATCH(OrderLines[[#Headers],[PaymentType]],Orders[#Headers],0),FALSE)</f>
        <v>Card</v>
      </c>
      <c r="L420" t="str" cm="1">
        <f t="array" ref="L420">VLOOKUP(OrderLines[[#This Row],[OrderID]:[OrderID]],Orders[],MATCH(OrderLines[[#Headers],[Shift]],Orders[#Headers],0),FALSE)</f>
        <v>Lunch</v>
      </c>
      <c r="M420" s="8">
        <f>(OrderLines[[#This Row],[Qty]]*OrderLines[[#This Row],[UnitPrice]])*(1-OrderLines[[#This Row],[DiscountPct]])</f>
        <v>64.896800000000013</v>
      </c>
      <c r="N420" t="str">
        <f>IF(AND(COUNTIFS(OrderLines[OrderID],OrderLines[[#This Row],[OrderID]],OrderLines[Category],"Hot Meal"),COUNTIFS(OrderLines[OrderID],OrderLines[[#This Row],[OrderID]],OrderLines[Category],"Beverage")),"Combo","Single")</f>
        <v>Single</v>
      </c>
      <c r="O420" s="8" t="str" cm="1">
        <f t="array" ref="O420">IF(SUMPRODUCT(OrderLines[UnitPrice],OrderLines[Qty],OrderLines[DiscountPct],--(OrderLines[OrderID] = OrderLines[[#This Row],[OrderID]]))&gt;40,"High Discount","Ok")</f>
        <v>Ok</v>
      </c>
      <c r="P420">
        <f>OrderLines[[#This Row],[UnitCost]]*OrderLines[[#This Row],[Qty]]</f>
        <v>35.81</v>
      </c>
      <c r="Q420" s="8">
        <f>OrderLines[[#This Row],[LineNetAmount]]-OrderLines[[#This Row],[Food Cost]]</f>
        <v>29.086800000000011</v>
      </c>
    </row>
    <row r="421" spans="1:17" x14ac:dyDescent="0.3">
      <c r="A421" t="s">
        <v>203</v>
      </c>
      <c r="B421" t="s">
        <v>404</v>
      </c>
      <c r="C421">
        <v>3</v>
      </c>
      <c r="D421" cm="1">
        <f t="array" ref="D421">VLOOKUP(OrderLines[[#This Row],[SKU]:[SKU]],Menu[],MATCH(OrderLines[[#Headers],[UnitPrice]],Menu[#Headers],0),FALSE)</f>
        <v>32.979999999999997</v>
      </c>
      <c r="E421" cm="1">
        <f t="array" ref="E421">VLOOKUP(OrderLines[[#This Row],[SKU]:[SKU]],Menu[],MATCH(OrderLines[[#Headers],[UnitCost]],Menu[#Headers],0),FALSE)</f>
        <v>11.84</v>
      </c>
      <c r="F421" t="str" cm="1">
        <f t="array" ref="F421">VLOOKUP(OrderLines[[#This Row],[SKU]:[SKU]],Menu[],MATCH(OrderLines[[#Headers],[Category]],Menu[#Headers],0),FALSE)</f>
        <v>Beverage</v>
      </c>
      <c r="G421" t="str" cm="1">
        <f t="array" ref="G421">_xlfn.TEXTJOIN("+",TRUE,_xlfn._xlws.SORT(_xlfn.UNIQUE(_xlfn._xlws.FILTER(OrderLines[Category],OrderLines[OrderID]=OrderLines[[#This Row],[OrderID]]))))</f>
        <v>Beverage</v>
      </c>
      <c r="H421" s="2" cm="1">
        <f t="array" ref="H421">INT(VLOOKUP(OrderLines[[#This Row],[OrderID]:[OrderID]],Orders[],MATCH(OrderLines[[#Headers],[OrderDateTime]],Orders[#Headers],0),FALSE))</f>
        <v>45888</v>
      </c>
      <c r="I421" t="str" cm="1">
        <f t="array" ref="I421">VLOOKUP(OrderLines[[#This Row],[OrderID]:[OrderID]],Orders[],MATCH(OrderLines[[#Headers],[Branch]],Orders[#Headers],0),FALSE)</f>
        <v>Head Office Café</v>
      </c>
      <c r="J421" cm="1">
        <f t="array" ref="J421">VLOOKUP(OrderLines[[#This Row],[OrderID]:[OrderID]],Orders[],MATCH(OrderLines[[#Headers],[DiscountPct]],Orders[#Headers],0),FALSE)</f>
        <v>0.08</v>
      </c>
      <c r="K421" t="str" cm="1">
        <f t="array" ref="K421">VLOOKUP(OrderLines[[#This Row],[OrderID]:[OrderID]],Orders[],MATCH(OrderLines[[#Headers],[PaymentType]],Orders[#Headers],0),FALSE)</f>
        <v>Card</v>
      </c>
      <c r="L421" t="str" cm="1">
        <f t="array" ref="L421">VLOOKUP(OrderLines[[#This Row],[OrderID]:[OrderID]],Orders[],MATCH(OrderLines[[#Headers],[Shift]],Orders[#Headers],0),FALSE)</f>
        <v>Lunch</v>
      </c>
      <c r="M421" s="8">
        <f>(OrderLines[[#This Row],[Qty]]*OrderLines[[#This Row],[UnitPrice]])*(1-OrderLines[[#This Row],[DiscountPct]])</f>
        <v>91.024799999999999</v>
      </c>
      <c r="N421" t="str">
        <f>IF(AND(COUNTIFS(OrderLines[OrderID],OrderLines[[#This Row],[OrderID]],OrderLines[Category],"Hot Meal"),COUNTIFS(OrderLines[OrderID],OrderLines[[#This Row],[OrderID]],OrderLines[Category],"Beverage")),"Combo","Single")</f>
        <v>Single</v>
      </c>
      <c r="O421" s="8" t="str" cm="1">
        <f t="array" ref="O421">IF(SUMPRODUCT(OrderLines[UnitPrice],OrderLines[Qty],OrderLines[DiscountPct],--(OrderLines[OrderID] = OrderLines[[#This Row],[OrderID]]))&gt;40,"High Discount","Ok")</f>
        <v>Ok</v>
      </c>
      <c r="P421">
        <f>OrderLines[[#This Row],[UnitCost]]*OrderLines[[#This Row],[Qty]]</f>
        <v>35.519999999999996</v>
      </c>
      <c r="Q421" s="8">
        <f>OrderLines[[#This Row],[LineNetAmount]]-OrderLines[[#This Row],[Food Cost]]</f>
        <v>55.504800000000003</v>
      </c>
    </row>
    <row r="422" spans="1:17" x14ac:dyDescent="0.3">
      <c r="A422" t="s">
        <v>204</v>
      </c>
      <c r="B422" t="s">
        <v>410</v>
      </c>
      <c r="C422">
        <v>2</v>
      </c>
      <c r="D422" cm="1">
        <f t="array" ref="D422">VLOOKUP(OrderLines[[#This Row],[SKU]:[SKU]],Menu[],MATCH(OrderLines[[#Headers],[UnitPrice]],Menu[#Headers],0),FALSE)</f>
        <v>20.11</v>
      </c>
      <c r="E422" cm="1">
        <f t="array" ref="E422">VLOOKUP(OrderLines[[#This Row],[SKU]:[SKU]],Menu[],MATCH(OrderLines[[#Headers],[UnitCost]],Menu[#Headers],0),FALSE)</f>
        <v>8</v>
      </c>
      <c r="F422" t="str" cm="1">
        <f t="array" ref="F422">VLOOKUP(OrderLines[[#This Row],[SKU]:[SKU]],Menu[],MATCH(OrderLines[[#Headers],[Category]],Menu[#Headers],0),FALSE)</f>
        <v>Beverage</v>
      </c>
      <c r="G422" t="str" cm="1">
        <f t="array" ref="G422">_xlfn.TEXTJOIN("+",TRUE,_xlfn._xlws.SORT(_xlfn.UNIQUE(_xlfn._xlws.FILTER(OrderLines[Category],OrderLines[OrderID]=OrderLines[[#This Row],[OrderID]]))))</f>
        <v>Beverage</v>
      </c>
      <c r="H422" s="2" cm="1">
        <f t="array" ref="H422">INT(VLOOKUP(OrderLines[[#This Row],[OrderID]:[OrderID]],Orders[],MATCH(OrderLines[[#Headers],[OrderDateTime]],Orders[#Headers],0),FALSE))</f>
        <v>45885</v>
      </c>
      <c r="I422" t="str" cm="1">
        <f t="array" ref="I422">VLOOKUP(OrderLines[[#This Row],[OrderID]:[OrderID]],Orders[],MATCH(OrderLines[[#Headers],[Branch]],Orders[#Headers],0),FALSE)</f>
        <v>Plant 1 Canteen</v>
      </c>
      <c r="J422" cm="1">
        <f t="array" ref="J422">VLOOKUP(OrderLines[[#This Row],[OrderID]:[OrderID]],Orders[],MATCH(OrderLines[[#Headers],[DiscountPct]],Orders[#Headers],0),FALSE)</f>
        <v>0.08</v>
      </c>
      <c r="K422" t="str" cm="1">
        <f t="array" ref="K422">VLOOKUP(OrderLines[[#This Row],[OrderID]:[OrderID]],Orders[],MATCH(OrderLines[[#Headers],[PaymentType]],Orders[#Headers],0),FALSE)</f>
        <v>UPI</v>
      </c>
      <c r="L422" t="str" cm="1">
        <f t="array" ref="L422">VLOOKUP(OrderLines[[#This Row],[OrderID]:[OrderID]],Orders[],MATCH(OrderLines[[#Headers],[Shift]],Orders[#Headers],0),FALSE)</f>
        <v>Breakfast</v>
      </c>
      <c r="M422" s="8">
        <f>(OrderLines[[#This Row],[Qty]]*OrderLines[[#This Row],[UnitPrice]])*(1-OrderLines[[#This Row],[DiscountPct]])</f>
        <v>37.002400000000002</v>
      </c>
      <c r="N422" t="str">
        <f>IF(AND(COUNTIFS(OrderLines[OrderID],OrderLines[[#This Row],[OrderID]],OrderLines[Category],"Hot Meal"),COUNTIFS(OrderLines[OrderID],OrderLines[[#This Row],[OrderID]],OrderLines[Category],"Beverage")),"Combo","Single")</f>
        <v>Single</v>
      </c>
      <c r="O422" s="8" t="str" cm="1">
        <f t="array" ref="O422">IF(SUMPRODUCT(OrderLines[UnitPrice],OrderLines[Qty],OrderLines[DiscountPct],--(OrderLines[OrderID] = OrderLines[[#This Row],[OrderID]]))&gt;40,"High Discount","Ok")</f>
        <v>Ok</v>
      </c>
      <c r="P422">
        <f>OrderLines[[#This Row],[UnitCost]]*OrderLines[[#This Row],[Qty]]</f>
        <v>16</v>
      </c>
      <c r="Q422" s="8">
        <f>OrderLines[[#This Row],[LineNetAmount]]-OrderLines[[#This Row],[Food Cost]]</f>
        <v>21.002400000000002</v>
      </c>
    </row>
    <row r="423" spans="1:17" x14ac:dyDescent="0.3">
      <c r="A423" t="s">
        <v>205</v>
      </c>
      <c r="B423" t="s">
        <v>417</v>
      </c>
      <c r="C423">
        <v>2</v>
      </c>
      <c r="D423" cm="1">
        <f t="array" ref="D423">VLOOKUP(OrderLines[[#This Row],[SKU]:[SKU]],Menu[],MATCH(OrderLines[[#Headers],[UnitPrice]],Menu[#Headers],0),FALSE)</f>
        <v>146.4</v>
      </c>
      <c r="E423" cm="1">
        <f t="array" ref="E423">VLOOKUP(OrderLines[[#This Row],[SKU]:[SKU]],Menu[],MATCH(OrderLines[[#Headers],[UnitCost]],Menu[#Headers],0),FALSE)</f>
        <v>80.92</v>
      </c>
      <c r="F423" t="str" cm="1">
        <f t="array" ref="F423">VLOOKUP(OrderLines[[#This Row],[SKU]:[SKU]],Menu[],MATCH(OrderLines[[#Headers],[Category]],Menu[#Headers],0),FALSE)</f>
        <v>Hot Meal</v>
      </c>
      <c r="G423" t="str" cm="1">
        <f t="array" ref="G423">_xlfn.TEXTJOIN("+",TRUE,_xlfn._xlws.SORT(_xlfn.UNIQUE(_xlfn._xlws.FILTER(OrderLines[Category],OrderLines[OrderID]=OrderLines[[#This Row],[OrderID]]))))</f>
        <v>Dessert+Hot Meal+Snack</v>
      </c>
      <c r="H423" s="2" cm="1">
        <f t="array" ref="H423">INT(VLOOKUP(OrderLines[[#This Row],[OrderID]:[OrderID]],Orders[],MATCH(OrderLines[[#Headers],[OrderDateTime]],Orders[#Headers],0),FALSE))</f>
        <v>45876</v>
      </c>
      <c r="I423" t="str" cm="1">
        <f t="array" ref="I423">VLOOKUP(OrderLines[[#This Row],[OrderID]:[OrderID]],Orders[],MATCH(OrderLines[[#Headers],[Branch]],Orders[#Headers],0),FALSE)</f>
        <v>Plant 1 Canteen</v>
      </c>
      <c r="J423" cm="1">
        <f t="array" ref="J423">VLOOKUP(OrderLines[[#This Row],[OrderID]:[OrderID]],Orders[],MATCH(OrderLines[[#Headers],[DiscountPct]],Orders[#Headers],0),FALSE)</f>
        <v>0.21</v>
      </c>
      <c r="K423" t="str" cm="1">
        <f t="array" ref="K423">VLOOKUP(OrderLines[[#This Row],[OrderID]:[OrderID]],Orders[],MATCH(OrderLines[[#Headers],[PaymentType]],Orders[#Headers],0),FALSE)</f>
        <v>UPI</v>
      </c>
      <c r="L423" t="str" cm="1">
        <f t="array" ref="L423">VLOOKUP(OrderLines[[#This Row],[OrderID]:[OrderID]],Orders[],MATCH(OrderLines[[#Headers],[Shift]],Orders[#Headers],0),FALSE)</f>
        <v>Lunch</v>
      </c>
      <c r="M423" s="8">
        <f>(OrderLines[[#This Row],[Qty]]*OrderLines[[#This Row],[UnitPrice]])*(1-OrderLines[[#This Row],[DiscountPct]])</f>
        <v>231.31200000000001</v>
      </c>
      <c r="N423" t="str">
        <f>IF(AND(COUNTIFS(OrderLines[OrderID],OrderLines[[#This Row],[OrderID]],OrderLines[Category],"Hot Meal"),COUNTIFS(OrderLines[OrderID],OrderLines[[#This Row],[OrderID]],OrderLines[Category],"Beverage")),"Combo","Single")</f>
        <v>Single</v>
      </c>
      <c r="O423" s="8" t="str" cm="1">
        <f t="array" ref="O423">IF(SUMPRODUCT(OrderLines[UnitPrice],OrderLines[Qty],OrderLines[DiscountPct],--(OrderLines[OrderID] = OrderLines[[#This Row],[OrderID]]))&gt;40,"High Discount","Ok")</f>
        <v>High Discount</v>
      </c>
      <c r="P423">
        <f>OrderLines[[#This Row],[UnitCost]]*OrderLines[[#This Row],[Qty]]</f>
        <v>161.84</v>
      </c>
      <c r="Q423" s="8">
        <f>OrderLines[[#This Row],[LineNetAmount]]-OrderLines[[#This Row],[Food Cost]]</f>
        <v>69.472000000000008</v>
      </c>
    </row>
    <row r="424" spans="1:17" x14ac:dyDescent="0.3">
      <c r="A424" t="s">
        <v>205</v>
      </c>
      <c r="B424" t="s">
        <v>419</v>
      </c>
      <c r="C424">
        <v>1</v>
      </c>
      <c r="D424" cm="1">
        <f t="array" ref="D424">VLOOKUP(OrderLines[[#This Row],[SKU]:[SKU]],Menu[],MATCH(OrderLines[[#Headers],[UnitPrice]],Menu[#Headers],0),FALSE)</f>
        <v>50.19</v>
      </c>
      <c r="E424" cm="1">
        <f t="array" ref="E424">VLOOKUP(OrderLines[[#This Row],[SKU]:[SKU]],Menu[],MATCH(OrderLines[[#Headers],[UnitCost]],Menu[#Headers],0),FALSE)</f>
        <v>22.61</v>
      </c>
      <c r="F424" t="str" cm="1">
        <f t="array" ref="F424">VLOOKUP(OrderLines[[#This Row],[SKU]:[SKU]],Menu[],MATCH(OrderLines[[#Headers],[Category]],Menu[#Headers],0),FALSE)</f>
        <v>Snack</v>
      </c>
      <c r="G424" t="str" cm="1">
        <f t="array" ref="G424">_xlfn.TEXTJOIN("+",TRUE,_xlfn._xlws.SORT(_xlfn.UNIQUE(_xlfn._xlws.FILTER(OrderLines[Category],OrderLines[OrderID]=OrderLines[[#This Row],[OrderID]]))))</f>
        <v>Dessert+Hot Meal+Snack</v>
      </c>
      <c r="H424" s="2" cm="1">
        <f t="array" ref="H424">INT(VLOOKUP(OrderLines[[#This Row],[OrderID]:[OrderID]],Orders[],MATCH(OrderLines[[#Headers],[OrderDateTime]],Orders[#Headers],0),FALSE))</f>
        <v>45876</v>
      </c>
      <c r="I424" t="str" cm="1">
        <f t="array" ref="I424">VLOOKUP(OrderLines[[#This Row],[OrderID]:[OrderID]],Orders[],MATCH(OrderLines[[#Headers],[Branch]],Orders[#Headers],0),FALSE)</f>
        <v>Plant 1 Canteen</v>
      </c>
      <c r="J424" cm="1">
        <f t="array" ref="J424">VLOOKUP(OrderLines[[#This Row],[OrderID]:[OrderID]],Orders[],MATCH(OrderLines[[#Headers],[DiscountPct]],Orders[#Headers],0),FALSE)</f>
        <v>0.21</v>
      </c>
      <c r="K424" t="str" cm="1">
        <f t="array" ref="K424">VLOOKUP(OrderLines[[#This Row],[OrderID]:[OrderID]],Orders[],MATCH(OrderLines[[#Headers],[PaymentType]],Orders[#Headers],0),FALSE)</f>
        <v>UPI</v>
      </c>
      <c r="L424" t="str" cm="1">
        <f t="array" ref="L424">VLOOKUP(OrderLines[[#This Row],[OrderID]:[OrderID]],Orders[],MATCH(OrderLines[[#Headers],[Shift]],Orders[#Headers],0),FALSE)</f>
        <v>Lunch</v>
      </c>
      <c r="M424" s="8">
        <f>(OrderLines[[#This Row],[Qty]]*OrderLines[[#This Row],[UnitPrice]])*(1-OrderLines[[#This Row],[DiscountPct]])</f>
        <v>39.650100000000002</v>
      </c>
      <c r="N424" t="str">
        <f>IF(AND(COUNTIFS(OrderLines[OrderID],OrderLines[[#This Row],[OrderID]],OrderLines[Category],"Hot Meal"),COUNTIFS(OrderLines[OrderID],OrderLines[[#This Row],[OrderID]],OrderLines[Category],"Beverage")),"Combo","Single")</f>
        <v>Single</v>
      </c>
      <c r="O424" s="8" t="str" cm="1">
        <f t="array" ref="O424">IF(SUMPRODUCT(OrderLines[UnitPrice],OrderLines[Qty],OrderLines[DiscountPct],--(OrderLines[OrderID] = OrderLines[[#This Row],[OrderID]]))&gt;40,"High Discount","Ok")</f>
        <v>High Discount</v>
      </c>
      <c r="P424">
        <f>OrderLines[[#This Row],[UnitCost]]*OrderLines[[#This Row],[Qty]]</f>
        <v>22.61</v>
      </c>
      <c r="Q424" s="8">
        <f>OrderLines[[#This Row],[LineNetAmount]]-OrderLines[[#This Row],[Food Cost]]</f>
        <v>17.040100000000002</v>
      </c>
    </row>
    <row r="425" spans="1:17" x14ac:dyDescent="0.3">
      <c r="A425" t="s">
        <v>205</v>
      </c>
      <c r="B425" t="s">
        <v>403</v>
      </c>
      <c r="C425">
        <v>1</v>
      </c>
      <c r="D425" cm="1">
        <f t="array" ref="D425">VLOOKUP(OrderLines[[#This Row],[SKU]:[SKU]],Menu[],MATCH(OrderLines[[#Headers],[UnitPrice]],Menu[#Headers],0),FALSE)</f>
        <v>76.55</v>
      </c>
      <c r="E425" cm="1">
        <f t="array" ref="E425">VLOOKUP(OrderLines[[#This Row],[SKU]:[SKU]],Menu[],MATCH(OrderLines[[#Headers],[UnitCost]],Menu[#Headers],0),FALSE)</f>
        <v>38.229999999999997</v>
      </c>
      <c r="F425" t="str" cm="1">
        <f t="array" ref="F425">VLOOKUP(OrderLines[[#This Row],[SKU]:[SKU]],Menu[],MATCH(OrderLines[[#Headers],[Category]],Menu[#Headers],0),FALSE)</f>
        <v>Dessert</v>
      </c>
      <c r="G425" t="str" cm="1">
        <f t="array" ref="G425">_xlfn.TEXTJOIN("+",TRUE,_xlfn._xlws.SORT(_xlfn.UNIQUE(_xlfn._xlws.FILTER(OrderLines[Category],OrderLines[OrderID]=OrderLines[[#This Row],[OrderID]]))))</f>
        <v>Dessert+Hot Meal+Snack</v>
      </c>
      <c r="H425" s="2" cm="1">
        <f t="array" ref="H425">INT(VLOOKUP(OrderLines[[#This Row],[OrderID]:[OrderID]],Orders[],MATCH(OrderLines[[#Headers],[OrderDateTime]],Orders[#Headers],0),FALSE))</f>
        <v>45876</v>
      </c>
      <c r="I425" t="str" cm="1">
        <f t="array" ref="I425">VLOOKUP(OrderLines[[#This Row],[OrderID]:[OrderID]],Orders[],MATCH(OrderLines[[#Headers],[Branch]],Orders[#Headers],0),FALSE)</f>
        <v>Plant 1 Canteen</v>
      </c>
      <c r="J425" cm="1">
        <f t="array" ref="J425">VLOOKUP(OrderLines[[#This Row],[OrderID]:[OrderID]],Orders[],MATCH(OrderLines[[#Headers],[DiscountPct]],Orders[#Headers],0),FALSE)</f>
        <v>0.21</v>
      </c>
      <c r="K425" t="str" cm="1">
        <f t="array" ref="K425">VLOOKUP(OrderLines[[#This Row],[OrderID]:[OrderID]],Orders[],MATCH(OrderLines[[#Headers],[PaymentType]],Orders[#Headers],0),FALSE)</f>
        <v>UPI</v>
      </c>
      <c r="L425" t="str" cm="1">
        <f t="array" ref="L425">VLOOKUP(OrderLines[[#This Row],[OrderID]:[OrderID]],Orders[],MATCH(OrderLines[[#Headers],[Shift]],Orders[#Headers],0),FALSE)</f>
        <v>Lunch</v>
      </c>
      <c r="M425" s="8">
        <f>(OrderLines[[#This Row],[Qty]]*OrderLines[[#This Row],[UnitPrice]])*(1-OrderLines[[#This Row],[DiscountPct]])</f>
        <v>60.474499999999999</v>
      </c>
      <c r="N425" t="str">
        <f>IF(AND(COUNTIFS(OrderLines[OrderID],OrderLines[[#This Row],[OrderID]],OrderLines[Category],"Hot Meal"),COUNTIFS(OrderLines[OrderID],OrderLines[[#This Row],[OrderID]],OrderLines[Category],"Beverage")),"Combo","Single")</f>
        <v>Single</v>
      </c>
      <c r="O425" s="8" t="str" cm="1">
        <f t="array" ref="O425">IF(SUMPRODUCT(OrderLines[UnitPrice],OrderLines[Qty],OrderLines[DiscountPct],--(OrderLines[OrderID] = OrderLines[[#This Row],[OrderID]]))&gt;40,"High Discount","Ok")</f>
        <v>High Discount</v>
      </c>
      <c r="P425">
        <f>OrderLines[[#This Row],[UnitCost]]*OrderLines[[#This Row],[Qty]]</f>
        <v>38.229999999999997</v>
      </c>
      <c r="Q425" s="8">
        <f>OrderLines[[#This Row],[LineNetAmount]]-OrderLines[[#This Row],[Food Cost]]</f>
        <v>22.244500000000002</v>
      </c>
    </row>
    <row r="426" spans="1:17" x14ac:dyDescent="0.3">
      <c r="A426" t="s">
        <v>206</v>
      </c>
      <c r="B426" t="s">
        <v>412</v>
      </c>
      <c r="C426">
        <v>1</v>
      </c>
      <c r="D426" cm="1">
        <f t="array" ref="D426">VLOOKUP(OrderLines[[#This Row],[SKU]:[SKU]],Menu[],MATCH(OrderLines[[#Headers],[UnitPrice]],Menu[#Headers],0),FALSE)</f>
        <v>57.07</v>
      </c>
      <c r="E426" cm="1">
        <f t="array" ref="E426">VLOOKUP(OrderLines[[#This Row],[SKU]:[SKU]],Menu[],MATCH(OrderLines[[#Headers],[UnitCost]],Menu[#Headers],0),FALSE)</f>
        <v>29.14</v>
      </c>
      <c r="F426" t="str" cm="1">
        <f t="array" ref="F426">VLOOKUP(OrderLines[[#This Row],[SKU]:[SKU]],Menu[],MATCH(OrderLines[[#Headers],[Category]],Menu[#Headers],0),FALSE)</f>
        <v>Dessert</v>
      </c>
      <c r="G426" t="str" cm="1">
        <f t="array" ref="G426">_xlfn.TEXTJOIN("+",TRUE,_xlfn._xlws.SORT(_xlfn.UNIQUE(_xlfn._xlws.FILTER(OrderLines[Category],OrderLines[OrderID]=OrderLines[[#This Row],[OrderID]]))))</f>
        <v>Beverage+Dessert+Hot Meal</v>
      </c>
      <c r="H426" s="2" cm="1">
        <f t="array" ref="H426">INT(VLOOKUP(OrderLines[[#This Row],[OrderID]:[OrderID]],Orders[],MATCH(OrderLines[[#Headers],[OrderDateTime]],Orders[#Headers],0),FALSE))</f>
        <v>45846</v>
      </c>
      <c r="I426" t="str" cm="1">
        <f t="array" ref="I426">VLOOKUP(OrderLines[[#This Row],[OrderID]:[OrderID]],Orders[],MATCH(OrderLines[[#Headers],[Branch]],Orders[#Headers],0),FALSE)</f>
        <v>Plant 2 Canteen</v>
      </c>
      <c r="J426" cm="1">
        <f t="array" ref="J426">VLOOKUP(OrderLines[[#This Row],[OrderID]:[OrderID]],Orders[],MATCH(OrderLines[[#Headers],[DiscountPct]],Orders[#Headers],0),FALSE)</f>
        <v>0.08</v>
      </c>
      <c r="K426" t="str" cm="1">
        <f t="array" ref="K426">VLOOKUP(OrderLines[[#This Row],[OrderID]:[OrderID]],Orders[],MATCH(OrderLines[[#Headers],[PaymentType]],Orders[#Headers],0),FALSE)</f>
        <v>Card</v>
      </c>
      <c r="L426" t="str" cm="1">
        <f t="array" ref="L426">VLOOKUP(OrderLines[[#This Row],[OrderID]:[OrderID]],Orders[],MATCH(OrderLines[[#Headers],[Shift]],Orders[#Headers],0),FALSE)</f>
        <v>Breakfast</v>
      </c>
      <c r="M426" s="8">
        <f>(OrderLines[[#This Row],[Qty]]*OrderLines[[#This Row],[UnitPrice]])*(1-OrderLines[[#This Row],[DiscountPct]])</f>
        <v>52.504400000000004</v>
      </c>
      <c r="N426" t="str">
        <f>IF(AND(COUNTIFS(OrderLines[OrderID],OrderLines[[#This Row],[OrderID]],OrderLines[Category],"Hot Meal"),COUNTIFS(OrderLines[OrderID],OrderLines[[#This Row],[OrderID]],OrderLines[Category],"Beverage")),"Combo","Single")</f>
        <v>Combo</v>
      </c>
      <c r="O426" s="8" t="str" cm="1">
        <f t="array" ref="O426">IF(SUMPRODUCT(OrderLines[UnitPrice],OrderLines[Qty],OrderLines[DiscountPct],--(OrderLines[OrderID] = OrderLines[[#This Row],[OrderID]]))&gt;40,"High Discount","Ok")</f>
        <v>Ok</v>
      </c>
      <c r="P426">
        <f>OrderLines[[#This Row],[UnitCost]]*OrderLines[[#This Row],[Qty]]</f>
        <v>29.14</v>
      </c>
      <c r="Q426" s="8">
        <f>OrderLines[[#This Row],[LineNetAmount]]-OrderLines[[#This Row],[Food Cost]]</f>
        <v>23.364400000000003</v>
      </c>
    </row>
    <row r="427" spans="1:17" x14ac:dyDescent="0.3">
      <c r="A427" t="s">
        <v>206</v>
      </c>
      <c r="B427" t="s">
        <v>404</v>
      </c>
      <c r="C427">
        <v>1</v>
      </c>
      <c r="D427" cm="1">
        <f t="array" ref="D427">VLOOKUP(OrderLines[[#This Row],[SKU]:[SKU]],Menu[],MATCH(OrderLines[[#Headers],[UnitPrice]],Menu[#Headers],0),FALSE)</f>
        <v>32.979999999999997</v>
      </c>
      <c r="E427" cm="1">
        <f t="array" ref="E427">VLOOKUP(OrderLines[[#This Row],[SKU]:[SKU]],Menu[],MATCH(OrderLines[[#Headers],[UnitCost]],Menu[#Headers],0),FALSE)</f>
        <v>11.84</v>
      </c>
      <c r="F427" t="str" cm="1">
        <f t="array" ref="F427">VLOOKUP(OrderLines[[#This Row],[SKU]:[SKU]],Menu[],MATCH(OrderLines[[#Headers],[Category]],Menu[#Headers],0),FALSE)</f>
        <v>Beverage</v>
      </c>
      <c r="G427" t="str" cm="1">
        <f t="array" ref="G427">_xlfn.TEXTJOIN("+",TRUE,_xlfn._xlws.SORT(_xlfn.UNIQUE(_xlfn._xlws.FILTER(OrderLines[Category],OrderLines[OrderID]=OrderLines[[#This Row],[OrderID]]))))</f>
        <v>Beverage+Dessert+Hot Meal</v>
      </c>
      <c r="H427" s="2" cm="1">
        <f t="array" ref="H427">INT(VLOOKUP(OrderLines[[#This Row],[OrderID]:[OrderID]],Orders[],MATCH(OrderLines[[#Headers],[OrderDateTime]],Orders[#Headers],0),FALSE))</f>
        <v>45846</v>
      </c>
      <c r="I427" t="str" cm="1">
        <f t="array" ref="I427">VLOOKUP(OrderLines[[#This Row],[OrderID]:[OrderID]],Orders[],MATCH(OrderLines[[#Headers],[Branch]],Orders[#Headers],0),FALSE)</f>
        <v>Plant 2 Canteen</v>
      </c>
      <c r="J427" cm="1">
        <f t="array" ref="J427">VLOOKUP(OrderLines[[#This Row],[OrderID]:[OrderID]],Orders[],MATCH(OrderLines[[#Headers],[DiscountPct]],Orders[#Headers],0),FALSE)</f>
        <v>0.08</v>
      </c>
      <c r="K427" t="str" cm="1">
        <f t="array" ref="K427">VLOOKUP(OrderLines[[#This Row],[OrderID]:[OrderID]],Orders[],MATCH(OrderLines[[#Headers],[PaymentType]],Orders[#Headers],0),FALSE)</f>
        <v>Card</v>
      </c>
      <c r="L427" t="str" cm="1">
        <f t="array" ref="L427">VLOOKUP(OrderLines[[#This Row],[OrderID]:[OrderID]],Orders[],MATCH(OrderLines[[#Headers],[Shift]],Orders[#Headers],0),FALSE)</f>
        <v>Breakfast</v>
      </c>
      <c r="M427" s="8">
        <f>(OrderLines[[#This Row],[Qty]]*OrderLines[[#This Row],[UnitPrice]])*(1-OrderLines[[#This Row],[DiscountPct]])</f>
        <v>30.3416</v>
      </c>
      <c r="N427" t="str">
        <f>IF(AND(COUNTIFS(OrderLines[OrderID],OrderLines[[#This Row],[OrderID]],OrderLines[Category],"Hot Meal"),COUNTIFS(OrderLines[OrderID],OrderLines[[#This Row],[OrderID]],OrderLines[Category],"Beverage")),"Combo","Single")</f>
        <v>Combo</v>
      </c>
      <c r="O427" s="8" t="str" cm="1">
        <f t="array" ref="O427">IF(SUMPRODUCT(OrderLines[UnitPrice],OrderLines[Qty],OrderLines[DiscountPct],--(OrderLines[OrderID] = OrderLines[[#This Row],[OrderID]]))&gt;40,"High Discount","Ok")</f>
        <v>Ok</v>
      </c>
      <c r="P427">
        <f>OrderLines[[#This Row],[UnitCost]]*OrderLines[[#This Row],[Qty]]</f>
        <v>11.84</v>
      </c>
      <c r="Q427" s="8">
        <f>OrderLines[[#This Row],[LineNetAmount]]-OrderLines[[#This Row],[Food Cost]]</f>
        <v>18.5016</v>
      </c>
    </row>
    <row r="428" spans="1:17" x14ac:dyDescent="0.3">
      <c r="A428" t="s">
        <v>206</v>
      </c>
      <c r="B428" t="s">
        <v>416</v>
      </c>
      <c r="C428">
        <v>1</v>
      </c>
      <c r="D428" cm="1">
        <f t="array" ref="D428">VLOOKUP(OrderLines[[#This Row],[SKU]:[SKU]],Menu[],MATCH(OrderLines[[#Headers],[UnitPrice]],Menu[#Headers],0),FALSE)</f>
        <v>227.61</v>
      </c>
      <c r="E428" cm="1">
        <f t="array" ref="E428">VLOOKUP(OrderLines[[#This Row],[SKU]:[SKU]],Menu[],MATCH(OrderLines[[#Headers],[UnitCost]],Menu[#Headers],0),FALSE)</f>
        <v>96.22</v>
      </c>
      <c r="F428" t="str" cm="1">
        <f t="array" ref="F428">VLOOKUP(OrderLines[[#This Row],[SKU]:[SKU]],Menu[],MATCH(OrderLines[[#Headers],[Category]],Menu[#Headers],0),FALSE)</f>
        <v>Hot Meal</v>
      </c>
      <c r="G428" t="str" cm="1">
        <f t="array" ref="G428">_xlfn.TEXTJOIN("+",TRUE,_xlfn._xlws.SORT(_xlfn.UNIQUE(_xlfn._xlws.FILTER(OrderLines[Category],OrderLines[OrderID]=OrderLines[[#This Row],[OrderID]]))))</f>
        <v>Beverage+Dessert+Hot Meal</v>
      </c>
      <c r="H428" s="2" cm="1">
        <f t="array" ref="H428">INT(VLOOKUP(OrderLines[[#This Row],[OrderID]:[OrderID]],Orders[],MATCH(OrderLines[[#Headers],[OrderDateTime]],Orders[#Headers],0),FALSE))</f>
        <v>45846</v>
      </c>
      <c r="I428" t="str" cm="1">
        <f t="array" ref="I428">VLOOKUP(OrderLines[[#This Row],[OrderID]:[OrderID]],Orders[],MATCH(OrderLines[[#Headers],[Branch]],Orders[#Headers],0),FALSE)</f>
        <v>Plant 2 Canteen</v>
      </c>
      <c r="J428" cm="1">
        <f t="array" ref="J428">VLOOKUP(OrderLines[[#This Row],[OrderID]:[OrderID]],Orders[],MATCH(OrderLines[[#Headers],[DiscountPct]],Orders[#Headers],0),FALSE)</f>
        <v>0.08</v>
      </c>
      <c r="K428" t="str" cm="1">
        <f t="array" ref="K428">VLOOKUP(OrderLines[[#This Row],[OrderID]:[OrderID]],Orders[],MATCH(OrderLines[[#Headers],[PaymentType]],Orders[#Headers],0),FALSE)</f>
        <v>Card</v>
      </c>
      <c r="L428" t="str" cm="1">
        <f t="array" ref="L428">VLOOKUP(OrderLines[[#This Row],[OrderID]:[OrderID]],Orders[],MATCH(OrderLines[[#Headers],[Shift]],Orders[#Headers],0),FALSE)</f>
        <v>Breakfast</v>
      </c>
      <c r="M428" s="8">
        <f>(OrderLines[[#This Row],[Qty]]*OrderLines[[#This Row],[UnitPrice]])*(1-OrderLines[[#This Row],[DiscountPct]])</f>
        <v>209.40120000000002</v>
      </c>
      <c r="N428" t="str">
        <f>IF(AND(COUNTIFS(OrderLines[OrderID],OrderLines[[#This Row],[OrderID]],OrderLines[Category],"Hot Meal"),COUNTIFS(OrderLines[OrderID],OrderLines[[#This Row],[OrderID]],OrderLines[Category],"Beverage")),"Combo","Single")</f>
        <v>Combo</v>
      </c>
      <c r="O428" s="8" t="str" cm="1">
        <f t="array" ref="O428">IF(SUMPRODUCT(OrderLines[UnitPrice],OrderLines[Qty],OrderLines[DiscountPct],--(OrderLines[OrderID] = OrderLines[[#This Row],[OrderID]]))&gt;40,"High Discount","Ok")</f>
        <v>Ok</v>
      </c>
      <c r="P428">
        <f>OrderLines[[#This Row],[UnitCost]]*OrderLines[[#This Row],[Qty]]</f>
        <v>96.22</v>
      </c>
      <c r="Q428" s="8">
        <f>OrderLines[[#This Row],[LineNetAmount]]-OrderLines[[#This Row],[Food Cost]]</f>
        <v>113.18120000000002</v>
      </c>
    </row>
    <row r="429" spans="1:17" x14ac:dyDescent="0.3">
      <c r="A429" t="s">
        <v>206</v>
      </c>
      <c r="B429" t="s">
        <v>409</v>
      </c>
      <c r="C429">
        <v>1</v>
      </c>
      <c r="D429" cm="1">
        <f t="array" ref="D429">VLOOKUP(OrderLines[[#This Row],[SKU]:[SKU]],Menu[],MATCH(OrderLines[[#Headers],[UnitPrice]],Menu[#Headers],0),FALSE)</f>
        <v>28.43</v>
      </c>
      <c r="E429" cm="1">
        <f t="array" ref="E429">VLOOKUP(OrderLines[[#This Row],[SKU]:[SKU]],Menu[],MATCH(OrderLines[[#Headers],[UnitCost]],Menu[#Headers],0),FALSE)</f>
        <v>13.89</v>
      </c>
      <c r="F429" t="str" cm="1">
        <f t="array" ref="F429">VLOOKUP(OrderLines[[#This Row],[SKU]:[SKU]],Menu[],MATCH(OrderLines[[#Headers],[Category]],Menu[#Headers],0),FALSE)</f>
        <v>Beverage</v>
      </c>
      <c r="G429" t="str" cm="1">
        <f t="array" ref="G429">_xlfn.TEXTJOIN("+",TRUE,_xlfn._xlws.SORT(_xlfn.UNIQUE(_xlfn._xlws.FILTER(OrderLines[Category],OrderLines[OrderID]=OrderLines[[#This Row],[OrderID]]))))</f>
        <v>Beverage+Dessert+Hot Meal</v>
      </c>
      <c r="H429" s="2" cm="1">
        <f t="array" ref="H429">INT(VLOOKUP(OrderLines[[#This Row],[OrderID]:[OrderID]],Orders[],MATCH(OrderLines[[#Headers],[OrderDateTime]],Orders[#Headers],0),FALSE))</f>
        <v>45846</v>
      </c>
      <c r="I429" t="str" cm="1">
        <f t="array" ref="I429">VLOOKUP(OrderLines[[#This Row],[OrderID]:[OrderID]],Orders[],MATCH(OrderLines[[#Headers],[Branch]],Orders[#Headers],0),FALSE)</f>
        <v>Plant 2 Canteen</v>
      </c>
      <c r="J429" cm="1">
        <f t="array" ref="J429">VLOOKUP(OrderLines[[#This Row],[OrderID]:[OrderID]],Orders[],MATCH(OrderLines[[#Headers],[DiscountPct]],Orders[#Headers],0),FALSE)</f>
        <v>0.08</v>
      </c>
      <c r="K429" t="str" cm="1">
        <f t="array" ref="K429">VLOOKUP(OrderLines[[#This Row],[OrderID]:[OrderID]],Orders[],MATCH(OrderLines[[#Headers],[PaymentType]],Orders[#Headers],0),FALSE)</f>
        <v>Card</v>
      </c>
      <c r="L429" t="str" cm="1">
        <f t="array" ref="L429">VLOOKUP(OrderLines[[#This Row],[OrderID]:[OrderID]],Orders[],MATCH(OrderLines[[#Headers],[Shift]],Orders[#Headers],0),FALSE)</f>
        <v>Breakfast</v>
      </c>
      <c r="M429" s="8">
        <f>(OrderLines[[#This Row],[Qty]]*OrderLines[[#This Row],[UnitPrice]])*(1-OrderLines[[#This Row],[DiscountPct]])</f>
        <v>26.1556</v>
      </c>
      <c r="N429" t="str">
        <f>IF(AND(COUNTIFS(OrderLines[OrderID],OrderLines[[#This Row],[OrderID]],OrderLines[Category],"Hot Meal"),COUNTIFS(OrderLines[OrderID],OrderLines[[#This Row],[OrderID]],OrderLines[Category],"Beverage")),"Combo","Single")</f>
        <v>Combo</v>
      </c>
      <c r="O429" s="8" t="str" cm="1">
        <f t="array" ref="O429">IF(SUMPRODUCT(OrderLines[UnitPrice],OrderLines[Qty],OrderLines[DiscountPct],--(OrderLines[OrderID] = OrderLines[[#This Row],[OrderID]]))&gt;40,"High Discount","Ok")</f>
        <v>Ok</v>
      </c>
      <c r="P429">
        <f>OrderLines[[#This Row],[UnitCost]]*OrderLines[[#This Row],[Qty]]</f>
        <v>13.89</v>
      </c>
      <c r="Q429" s="8">
        <f>OrderLines[[#This Row],[LineNetAmount]]-OrderLines[[#This Row],[Food Cost]]</f>
        <v>12.265599999999999</v>
      </c>
    </row>
    <row r="430" spans="1:17" x14ac:dyDescent="0.3">
      <c r="A430" t="s">
        <v>207</v>
      </c>
      <c r="B430" t="s">
        <v>406</v>
      </c>
      <c r="C430">
        <v>1</v>
      </c>
      <c r="D430" cm="1">
        <f t="array" ref="D430">VLOOKUP(OrderLines[[#This Row],[SKU]:[SKU]],Menu[],MATCH(OrderLines[[#Headers],[UnitPrice]],Menu[#Headers],0),FALSE)</f>
        <v>38.06</v>
      </c>
      <c r="E430" cm="1">
        <f t="array" ref="E430">VLOOKUP(OrderLines[[#This Row],[SKU]:[SKU]],Menu[],MATCH(OrderLines[[#Headers],[UnitCost]],Menu[#Headers],0),FALSE)</f>
        <v>19.55</v>
      </c>
      <c r="F430" t="str" cm="1">
        <f t="array" ref="F430">VLOOKUP(OrderLines[[#This Row],[SKU]:[SKU]],Menu[],MATCH(OrderLines[[#Headers],[Category]],Menu[#Headers],0),FALSE)</f>
        <v>Snack</v>
      </c>
      <c r="G430" t="str" cm="1">
        <f t="array" ref="G430">_xlfn.TEXTJOIN("+",TRUE,_xlfn._xlws.SORT(_xlfn.UNIQUE(_xlfn._xlws.FILTER(OrderLines[Category],OrderLines[OrderID]=OrderLines[[#This Row],[OrderID]]))))</f>
        <v>Beverage+Snack</v>
      </c>
      <c r="H430" s="2" cm="1">
        <f t="array" ref="H430">INT(VLOOKUP(OrderLines[[#This Row],[OrderID]:[OrderID]],Orders[],MATCH(OrderLines[[#Headers],[OrderDateTime]],Orders[#Headers],0),FALSE))</f>
        <v>45865</v>
      </c>
      <c r="I430" t="str" cm="1">
        <f t="array" ref="I430">VLOOKUP(OrderLines[[#This Row],[OrderID]:[OrderID]],Orders[],MATCH(OrderLines[[#Headers],[Branch]],Orders[#Headers],0),FALSE)</f>
        <v>Plant 1 Canteen</v>
      </c>
      <c r="J430" cm="1">
        <f t="array" ref="J430">VLOOKUP(OrderLines[[#This Row],[OrderID]:[OrderID]],Orders[],MATCH(OrderLines[[#Headers],[DiscountPct]],Orders[#Headers],0),FALSE)</f>
        <v>0.11</v>
      </c>
      <c r="K430" t="str" cm="1">
        <f t="array" ref="K430">VLOOKUP(OrderLines[[#This Row],[OrderID]:[OrderID]],Orders[],MATCH(OrderLines[[#Headers],[PaymentType]],Orders[#Headers],0),FALSE)</f>
        <v>UPI</v>
      </c>
      <c r="L430" t="str" cm="1">
        <f t="array" ref="L430">VLOOKUP(OrderLines[[#This Row],[OrderID]:[OrderID]],Orders[],MATCH(OrderLines[[#Headers],[Shift]],Orders[#Headers],0),FALSE)</f>
        <v>Breakfast</v>
      </c>
      <c r="M430" s="8">
        <f>(OrderLines[[#This Row],[Qty]]*OrderLines[[#This Row],[UnitPrice]])*(1-OrderLines[[#This Row],[DiscountPct]])</f>
        <v>33.873400000000004</v>
      </c>
      <c r="N430" t="str">
        <f>IF(AND(COUNTIFS(OrderLines[OrderID],OrderLines[[#This Row],[OrderID]],OrderLines[Category],"Hot Meal"),COUNTIFS(OrderLines[OrderID],OrderLines[[#This Row],[OrderID]],OrderLines[Category],"Beverage")),"Combo","Single")</f>
        <v>Single</v>
      </c>
      <c r="O430" s="8" t="str" cm="1">
        <f t="array" ref="O430">IF(SUMPRODUCT(OrderLines[UnitPrice],OrderLines[Qty],OrderLines[DiscountPct],--(OrderLines[OrderID] = OrderLines[[#This Row],[OrderID]]))&gt;40,"High Discount","Ok")</f>
        <v>Ok</v>
      </c>
      <c r="P430">
        <f>OrderLines[[#This Row],[UnitCost]]*OrderLines[[#This Row],[Qty]]</f>
        <v>19.55</v>
      </c>
      <c r="Q430" s="8">
        <f>OrderLines[[#This Row],[LineNetAmount]]-OrderLines[[#This Row],[Food Cost]]</f>
        <v>14.323400000000003</v>
      </c>
    </row>
    <row r="431" spans="1:17" x14ac:dyDescent="0.3">
      <c r="A431" t="s">
        <v>207</v>
      </c>
      <c r="B431" t="s">
        <v>411</v>
      </c>
      <c r="C431">
        <v>2</v>
      </c>
      <c r="D431" cm="1">
        <f t="array" ref="D431">VLOOKUP(OrderLines[[#This Row],[SKU]:[SKU]],Menu[],MATCH(OrderLines[[#Headers],[UnitPrice]],Menu[#Headers],0),FALSE)</f>
        <v>22.2</v>
      </c>
      <c r="E431" cm="1">
        <f t="array" ref="E431">VLOOKUP(OrderLines[[#This Row],[SKU]:[SKU]],Menu[],MATCH(OrderLines[[#Headers],[UnitCost]],Menu[#Headers],0),FALSE)</f>
        <v>9.3800000000000008</v>
      </c>
      <c r="F431" t="str" cm="1">
        <f t="array" ref="F431">VLOOKUP(OrderLines[[#This Row],[SKU]:[SKU]],Menu[],MATCH(OrderLines[[#Headers],[Category]],Menu[#Headers],0),FALSE)</f>
        <v>Beverage</v>
      </c>
      <c r="G431" t="str" cm="1">
        <f t="array" ref="G431">_xlfn.TEXTJOIN("+",TRUE,_xlfn._xlws.SORT(_xlfn.UNIQUE(_xlfn._xlws.FILTER(OrderLines[Category],OrderLines[OrderID]=OrderLines[[#This Row],[OrderID]]))))</f>
        <v>Beverage+Snack</v>
      </c>
      <c r="H431" s="2" cm="1">
        <f t="array" ref="H431">INT(VLOOKUP(OrderLines[[#This Row],[OrderID]:[OrderID]],Orders[],MATCH(OrderLines[[#Headers],[OrderDateTime]],Orders[#Headers],0),FALSE))</f>
        <v>45865</v>
      </c>
      <c r="I431" t="str" cm="1">
        <f t="array" ref="I431">VLOOKUP(OrderLines[[#This Row],[OrderID]:[OrderID]],Orders[],MATCH(OrderLines[[#Headers],[Branch]],Orders[#Headers],0),FALSE)</f>
        <v>Plant 1 Canteen</v>
      </c>
      <c r="J431" cm="1">
        <f t="array" ref="J431">VLOOKUP(OrderLines[[#This Row],[OrderID]:[OrderID]],Orders[],MATCH(OrderLines[[#Headers],[DiscountPct]],Orders[#Headers],0),FALSE)</f>
        <v>0.11</v>
      </c>
      <c r="K431" t="str" cm="1">
        <f t="array" ref="K431">VLOOKUP(OrderLines[[#This Row],[OrderID]:[OrderID]],Orders[],MATCH(OrderLines[[#Headers],[PaymentType]],Orders[#Headers],0),FALSE)</f>
        <v>UPI</v>
      </c>
      <c r="L431" t="str" cm="1">
        <f t="array" ref="L431">VLOOKUP(OrderLines[[#This Row],[OrderID]:[OrderID]],Orders[],MATCH(OrderLines[[#Headers],[Shift]],Orders[#Headers],0),FALSE)</f>
        <v>Breakfast</v>
      </c>
      <c r="M431" s="8">
        <f>(OrderLines[[#This Row],[Qty]]*OrderLines[[#This Row],[UnitPrice]])*(1-OrderLines[[#This Row],[DiscountPct]])</f>
        <v>39.515999999999998</v>
      </c>
      <c r="N431" t="str">
        <f>IF(AND(COUNTIFS(OrderLines[OrderID],OrderLines[[#This Row],[OrderID]],OrderLines[Category],"Hot Meal"),COUNTIFS(OrderLines[OrderID],OrderLines[[#This Row],[OrderID]],OrderLines[Category],"Beverage")),"Combo","Single")</f>
        <v>Single</v>
      </c>
      <c r="O431" s="8" t="str" cm="1">
        <f t="array" ref="O431">IF(SUMPRODUCT(OrderLines[UnitPrice],OrderLines[Qty],OrderLines[DiscountPct],--(OrderLines[OrderID] = OrderLines[[#This Row],[OrderID]]))&gt;40,"High Discount","Ok")</f>
        <v>Ok</v>
      </c>
      <c r="P431">
        <f>OrderLines[[#This Row],[UnitCost]]*OrderLines[[#This Row],[Qty]]</f>
        <v>18.760000000000002</v>
      </c>
      <c r="Q431" s="8">
        <f>OrderLines[[#This Row],[LineNetAmount]]-OrderLines[[#This Row],[Food Cost]]</f>
        <v>20.755999999999997</v>
      </c>
    </row>
    <row r="432" spans="1:17" x14ac:dyDescent="0.3">
      <c r="A432" t="s">
        <v>207</v>
      </c>
      <c r="B432" t="s">
        <v>419</v>
      </c>
      <c r="C432">
        <v>1</v>
      </c>
      <c r="D432" cm="1">
        <f t="array" ref="D432">VLOOKUP(OrderLines[[#This Row],[SKU]:[SKU]],Menu[],MATCH(OrderLines[[#Headers],[UnitPrice]],Menu[#Headers],0),FALSE)</f>
        <v>50.19</v>
      </c>
      <c r="E432" cm="1">
        <f t="array" ref="E432">VLOOKUP(OrderLines[[#This Row],[SKU]:[SKU]],Menu[],MATCH(OrderLines[[#Headers],[UnitCost]],Menu[#Headers],0),FALSE)</f>
        <v>22.61</v>
      </c>
      <c r="F432" t="str" cm="1">
        <f t="array" ref="F432">VLOOKUP(OrderLines[[#This Row],[SKU]:[SKU]],Menu[],MATCH(OrderLines[[#Headers],[Category]],Menu[#Headers],0),FALSE)</f>
        <v>Snack</v>
      </c>
      <c r="G432" t="str" cm="1">
        <f t="array" ref="G432">_xlfn.TEXTJOIN("+",TRUE,_xlfn._xlws.SORT(_xlfn.UNIQUE(_xlfn._xlws.FILTER(OrderLines[Category],OrderLines[OrderID]=OrderLines[[#This Row],[OrderID]]))))</f>
        <v>Beverage+Snack</v>
      </c>
      <c r="H432" s="2" cm="1">
        <f t="array" ref="H432">INT(VLOOKUP(OrderLines[[#This Row],[OrderID]:[OrderID]],Orders[],MATCH(OrderLines[[#Headers],[OrderDateTime]],Orders[#Headers],0),FALSE))</f>
        <v>45865</v>
      </c>
      <c r="I432" t="str" cm="1">
        <f t="array" ref="I432">VLOOKUP(OrderLines[[#This Row],[OrderID]:[OrderID]],Orders[],MATCH(OrderLines[[#Headers],[Branch]],Orders[#Headers],0),FALSE)</f>
        <v>Plant 1 Canteen</v>
      </c>
      <c r="J432" cm="1">
        <f t="array" ref="J432">VLOOKUP(OrderLines[[#This Row],[OrderID]:[OrderID]],Orders[],MATCH(OrderLines[[#Headers],[DiscountPct]],Orders[#Headers],0),FALSE)</f>
        <v>0.11</v>
      </c>
      <c r="K432" t="str" cm="1">
        <f t="array" ref="K432">VLOOKUP(OrderLines[[#This Row],[OrderID]:[OrderID]],Orders[],MATCH(OrderLines[[#Headers],[PaymentType]],Orders[#Headers],0),FALSE)</f>
        <v>UPI</v>
      </c>
      <c r="L432" t="str" cm="1">
        <f t="array" ref="L432">VLOOKUP(OrderLines[[#This Row],[OrderID]:[OrderID]],Orders[],MATCH(OrderLines[[#Headers],[Shift]],Orders[#Headers],0),FALSE)</f>
        <v>Breakfast</v>
      </c>
      <c r="M432" s="8">
        <f>(OrderLines[[#This Row],[Qty]]*OrderLines[[#This Row],[UnitPrice]])*(1-OrderLines[[#This Row],[DiscountPct]])</f>
        <v>44.6691</v>
      </c>
      <c r="N432" t="str">
        <f>IF(AND(COUNTIFS(OrderLines[OrderID],OrderLines[[#This Row],[OrderID]],OrderLines[Category],"Hot Meal"),COUNTIFS(OrderLines[OrderID],OrderLines[[#This Row],[OrderID]],OrderLines[Category],"Beverage")),"Combo","Single")</f>
        <v>Single</v>
      </c>
      <c r="O432" s="8" t="str" cm="1">
        <f t="array" ref="O432">IF(SUMPRODUCT(OrderLines[UnitPrice],OrderLines[Qty],OrderLines[DiscountPct],--(OrderLines[OrderID] = OrderLines[[#This Row],[OrderID]]))&gt;40,"High Discount","Ok")</f>
        <v>Ok</v>
      </c>
      <c r="P432">
        <f>OrderLines[[#This Row],[UnitCost]]*OrderLines[[#This Row],[Qty]]</f>
        <v>22.61</v>
      </c>
      <c r="Q432" s="8">
        <f>OrderLines[[#This Row],[LineNetAmount]]-OrderLines[[#This Row],[Food Cost]]</f>
        <v>22.059100000000001</v>
      </c>
    </row>
    <row r="433" spans="1:17" x14ac:dyDescent="0.3">
      <c r="A433" t="s">
        <v>207</v>
      </c>
      <c r="B433" t="s">
        <v>418</v>
      </c>
      <c r="C433">
        <v>1</v>
      </c>
      <c r="D433" cm="1">
        <f t="array" ref="D433">VLOOKUP(OrderLines[[#This Row],[SKU]:[SKU]],Menu[],MATCH(OrderLines[[#Headers],[UnitPrice]],Menu[#Headers],0),FALSE)</f>
        <v>39.950000000000003</v>
      </c>
      <c r="E433" cm="1">
        <f t="array" ref="E433">VLOOKUP(OrderLines[[#This Row],[SKU]:[SKU]],Menu[],MATCH(OrderLines[[#Headers],[UnitCost]],Menu[#Headers],0),FALSE)</f>
        <v>15.51</v>
      </c>
      <c r="F433" t="str" cm="1">
        <f t="array" ref="F433">VLOOKUP(OrderLines[[#This Row],[SKU]:[SKU]],Menu[],MATCH(OrderLines[[#Headers],[Category]],Menu[#Headers],0),FALSE)</f>
        <v>Snack</v>
      </c>
      <c r="G433" t="str" cm="1">
        <f t="array" ref="G433">_xlfn.TEXTJOIN("+",TRUE,_xlfn._xlws.SORT(_xlfn.UNIQUE(_xlfn._xlws.FILTER(OrderLines[Category],OrderLines[OrderID]=OrderLines[[#This Row],[OrderID]]))))</f>
        <v>Beverage+Snack</v>
      </c>
      <c r="H433" s="2" cm="1">
        <f t="array" ref="H433">INT(VLOOKUP(OrderLines[[#This Row],[OrderID]:[OrderID]],Orders[],MATCH(OrderLines[[#Headers],[OrderDateTime]],Orders[#Headers],0),FALSE))</f>
        <v>45865</v>
      </c>
      <c r="I433" t="str" cm="1">
        <f t="array" ref="I433">VLOOKUP(OrderLines[[#This Row],[OrderID]:[OrderID]],Orders[],MATCH(OrderLines[[#Headers],[Branch]],Orders[#Headers],0),FALSE)</f>
        <v>Plant 1 Canteen</v>
      </c>
      <c r="J433" cm="1">
        <f t="array" ref="J433">VLOOKUP(OrderLines[[#This Row],[OrderID]:[OrderID]],Orders[],MATCH(OrderLines[[#Headers],[DiscountPct]],Orders[#Headers],0),FALSE)</f>
        <v>0.11</v>
      </c>
      <c r="K433" t="str" cm="1">
        <f t="array" ref="K433">VLOOKUP(OrderLines[[#This Row],[OrderID]:[OrderID]],Orders[],MATCH(OrderLines[[#Headers],[PaymentType]],Orders[#Headers],0),FALSE)</f>
        <v>UPI</v>
      </c>
      <c r="L433" t="str" cm="1">
        <f t="array" ref="L433">VLOOKUP(OrderLines[[#This Row],[OrderID]:[OrderID]],Orders[],MATCH(OrderLines[[#Headers],[Shift]],Orders[#Headers],0),FALSE)</f>
        <v>Breakfast</v>
      </c>
      <c r="M433" s="8">
        <f>(OrderLines[[#This Row],[Qty]]*OrderLines[[#This Row],[UnitPrice]])*(1-OrderLines[[#This Row],[DiscountPct]])</f>
        <v>35.555500000000002</v>
      </c>
      <c r="N433" t="str">
        <f>IF(AND(COUNTIFS(OrderLines[OrderID],OrderLines[[#This Row],[OrderID]],OrderLines[Category],"Hot Meal"),COUNTIFS(OrderLines[OrderID],OrderLines[[#This Row],[OrderID]],OrderLines[Category],"Beverage")),"Combo","Single")</f>
        <v>Single</v>
      </c>
      <c r="O433" s="8" t="str" cm="1">
        <f t="array" ref="O433">IF(SUMPRODUCT(OrderLines[UnitPrice],OrderLines[Qty],OrderLines[DiscountPct],--(OrderLines[OrderID] = OrderLines[[#This Row],[OrderID]]))&gt;40,"High Discount","Ok")</f>
        <v>Ok</v>
      </c>
      <c r="P433">
        <f>OrderLines[[#This Row],[UnitCost]]*OrderLines[[#This Row],[Qty]]</f>
        <v>15.51</v>
      </c>
      <c r="Q433" s="8">
        <f>OrderLines[[#This Row],[LineNetAmount]]-OrderLines[[#This Row],[Food Cost]]</f>
        <v>20.045500000000004</v>
      </c>
    </row>
    <row r="434" spans="1:17" x14ac:dyDescent="0.3">
      <c r="A434" t="s">
        <v>208</v>
      </c>
      <c r="B434" t="s">
        <v>417</v>
      </c>
      <c r="C434">
        <v>1</v>
      </c>
      <c r="D434" cm="1">
        <f t="array" ref="D434">VLOOKUP(OrderLines[[#This Row],[SKU]:[SKU]],Menu[],MATCH(OrderLines[[#Headers],[UnitPrice]],Menu[#Headers],0),FALSE)</f>
        <v>146.4</v>
      </c>
      <c r="E434" cm="1">
        <f t="array" ref="E434">VLOOKUP(OrderLines[[#This Row],[SKU]:[SKU]],Menu[],MATCH(OrderLines[[#Headers],[UnitCost]],Menu[#Headers],0),FALSE)</f>
        <v>80.92</v>
      </c>
      <c r="F434" t="str" cm="1">
        <f t="array" ref="F434">VLOOKUP(OrderLines[[#This Row],[SKU]:[SKU]],Menu[],MATCH(OrderLines[[#Headers],[Category]],Menu[#Headers],0),FALSE)</f>
        <v>Hot Meal</v>
      </c>
      <c r="G434" t="str" cm="1">
        <f t="array" ref="G434">_xlfn.TEXTJOIN("+",TRUE,_xlfn._xlws.SORT(_xlfn.UNIQUE(_xlfn._xlws.FILTER(OrderLines[Category],OrderLines[OrderID]=OrderLines[[#This Row],[OrderID]]))))</f>
        <v>Hot Meal+Snack</v>
      </c>
      <c r="H434" s="2" cm="1">
        <f t="array" ref="H434">INT(VLOOKUP(OrderLines[[#This Row],[OrderID]:[OrderID]],Orders[],MATCH(OrderLines[[#Headers],[OrderDateTime]],Orders[#Headers],0),FALSE))</f>
        <v>45896</v>
      </c>
      <c r="I434" t="str" cm="1">
        <f t="array" ref="I434">VLOOKUP(OrderLines[[#This Row],[OrderID]:[OrderID]],Orders[],MATCH(OrderLines[[#Headers],[Branch]],Orders[#Headers],0),FALSE)</f>
        <v>Head Office Café</v>
      </c>
      <c r="J434" cm="1">
        <f t="array" ref="J434">VLOOKUP(OrderLines[[#This Row],[OrderID]:[OrderID]],Orders[],MATCH(OrderLines[[#Headers],[DiscountPct]],Orders[#Headers],0),FALSE)</f>
        <v>0.1</v>
      </c>
      <c r="K434" t="str" cm="1">
        <f t="array" ref="K434">VLOOKUP(OrderLines[[#This Row],[OrderID]:[OrderID]],Orders[],MATCH(OrderLines[[#Headers],[PaymentType]],Orders[#Headers],0),FALSE)</f>
        <v>Card</v>
      </c>
      <c r="L434" t="str" cm="1">
        <f t="array" ref="L434">VLOOKUP(OrderLines[[#This Row],[OrderID]:[OrderID]],Orders[],MATCH(OrderLines[[#Headers],[Shift]],Orders[#Headers],0),FALSE)</f>
        <v>Breakfast</v>
      </c>
      <c r="M434" s="8">
        <f>(OrderLines[[#This Row],[Qty]]*OrderLines[[#This Row],[UnitPrice]])*(1-OrderLines[[#This Row],[DiscountPct]])</f>
        <v>131.76000000000002</v>
      </c>
      <c r="N434" t="str">
        <f>IF(AND(COUNTIFS(OrderLines[OrderID],OrderLines[[#This Row],[OrderID]],OrderLines[Category],"Hot Meal"),COUNTIFS(OrderLines[OrderID],OrderLines[[#This Row],[OrderID]],OrderLines[Category],"Beverage")),"Combo","Single")</f>
        <v>Single</v>
      </c>
      <c r="O434" s="8" t="str" cm="1">
        <f t="array" ref="O434">IF(SUMPRODUCT(OrderLines[UnitPrice],OrderLines[Qty],OrderLines[DiscountPct],--(OrderLines[OrderID] = OrderLines[[#This Row],[OrderID]]))&gt;40,"High Discount","Ok")</f>
        <v>High Discount</v>
      </c>
      <c r="P434">
        <f>OrderLines[[#This Row],[UnitCost]]*OrderLines[[#This Row],[Qty]]</f>
        <v>80.92</v>
      </c>
      <c r="Q434" s="8">
        <f>OrderLines[[#This Row],[LineNetAmount]]-OrderLines[[#This Row],[Food Cost]]</f>
        <v>50.840000000000018</v>
      </c>
    </row>
    <row r="435" spans="1:17" x14ac:dyDescent="0.3">
      <c r="A435" t="s">
        <v>208</v>
      </c>
      <c r="B435" t="s">
        <v>408</v>
      </c>
      <c r="C435">
        <v>1</v>
      </c>
      <c r="D435" cm="1">
        <f t="array" ref="D435">VLOOKUP(OrderLines[[#This Row],[SKU]:[SKU]],Menu[],MATCH(OrderLines[[#Headers],[UnitPrice]],Menu[#Headers],0),FALSE)</f>
        <v>70.540000000000006</v>
      </c>
      <c r="E435" cm="1">
        <f t="array" ref="E435">VLOOKUP(OrderLines[[#This Row],[SKU]:[SKU]],Menu[],MATCH(OrderLines[[#Headers],[UnitCost]],Menu[#Headers],0),FALSE)</f>
        <v>35.81</v>
      </c>
      <c r="F435" t="str" cm="1">
        <f t="array" ref="F435">VLOOKUP(OrderLines[[#This Row],[SKU]:[SKU]],Menu[],MATCH(OrderLines[[#Headers],[Category]],Menu[#Headers],0),FALSE)</f>
        <v>Snack</v>
      </c>
      <c r="G435" t="str" cm="1">
        <f t="array" ref="G435">_xlfn.TEXTJOIN("+",TRUE,_xlfn._xlws.SORT(_xlfn.UNIQUE(_xlfn._xlws.FILTER(OrderLines[Category],OrderLines[OrderID]=OrderLines[[#This Row],[OrderID]]))))</f>
        <v>Hot Meal+Snack</v>
      </c>
      <c r="H435" s="2" cm="1">
        <f t="array" ref="H435">INT(VLOOKUP(OrderLines[[#This Row],[OrderID]:[OrderID]],Orders[],MATCH(OrderLines[[#Headers],[OrderDateTime]],Orders[#Headers],0),FALSE))</f>
        <v>45896</v>
      </c>
      <c r="I435" t="str" cm="1">
        <f t="array" ref="I435">VLOOKUP(OrderLines[[#This Row],[OrderID]:[OrderID]],Orders[],MATCH(OrderLines[[#Headers],[Branch]],Orders[#Headers],0),FALSE)</f>
        <v>Head Office Café</v>
      </c>
      <c r="J435" cm="1">
        <f t="array" ref="J435">VLOOKUP(OrderLines[[#This Row],[OrderID]:[OrderID]],Orders[],MATCH(OrderLines[[#Headers],[DiscountPct]],Orders[#Headers],0),FALSE)</f>
        <v>0.1</v>
      </c>
      <c r="K435" t="str" cm="1">
        <f t="array" ref="K435">VLOOKUP(OrderLines[[#This Row],[OrderID]:[OrderID]],Orders[],MATCH(OrderLines[[#Headers],[PaymentType]],Orders[#Headers],0),FALSE)</f>
        <v>Card</v>
      </c>
      <c r="L435" t="str" cm="1">
        <f t="array" ref="L435">VLOOKUP(OrderLines[[#This Row],[OrderID]:[OrderID]],Orders[],MATCH(OrderLines[[#Headers],[Shift]],Orders[#Headers],0),FALSE)</f>
        <v>Breakfast</v>
      </c>
      <c r="M435" s="8">
        <f>(OrderLines[[#This Row],[Qty]]*OrderLines[[#This Row],[UnitPrice]])*(1-OrderLines[[#This Row],[DiscountPct]])</f>
        <v>63.486000000000004</v>
      </c>
      <c r="N435" t="str">
        <f>IF(AND(COUNTIFS(OrderLines[OrderID],OrderLines[[#This Row],[OrderID]],OrderLines[Category],"Hot Meal"),COUNTIFS(OrderLines[OrderID],OrderLines[[#This Row],[OrderID]],OrderLines[Category],"Beverage")),"Combo","Single")</f>
        <v>Single</v>
      </c>
      <c r="O435" s="8" t="str" cm="1">
        <f t="array" ref="O435">IF(SUMPRODUCT(OrderLines[UnitPrice],OrderLines[Qty],OrderLines[DiscountPct],--(OrderLines[OrderID] = OrderLines[[#This Row],[OrderID]]))&gt;40,"High Discount","Ok")</f>
        <v>High Discount</v>
      </c>
      <c r="P435">
        <f>OrderLines[[#This Row],[UnitCost]]*OrderLines[[#This Row],[Qty]]</f>
        <v>35.81</v>
      </c>
      <c r="Q435" s="8">
        <f>OrderLines[[#This Row],[LineNetAmount]]-OrderLines[[#This Row],[Food Cost]]</f>
        <v>27.676000000000002</v>
      </c>
    </row>
    <row r="436" spans="1:17" x14ac:dyDescent="0.3">
      <c r="A436" t="s">
        <v>208</v>
      </c>
      <c r="B436" t="s">
        <v>405</v>
      </c>
      <c r="C436">
        <v>2</v>
      </c>
      <c r="D436" cm="1">
        <f t="array" ref="D436">VLOOKUP(OrderLines[[#This Row],[SKU]:[SKU]],Menu[],MATCH(OrderLines[[#Headers],[UnitPrice]],Menu[#Headers],0),FALSE)</f>
        <v>170.83</v>
      </c>
      <c r="E436" cm="1">
        <f t="array" ref="E436">VLOOKUP(OrderLines[[#This Row],[SKU]:[SKU]],Menu[],MATCH(OrderLines[[#Headers],[UnitCost]],Menu[#Headers],0),FALSE)</f>
        <v>74.069999999999993</v>
      </c>
      <c r="F436" t="str" cm="1">
        <f t="array" ref="F436">VLOOKUP(OrderLines[[#This Row],[SKU]:[SKU]],Menu[],MATCH(OrderLines[[#Headers],[Category]],Menu[#Headers],0),FALSE)</f>
        <v>Hot Meal</v>
      </c>
      <c r="G436" t="str" cm="1">
        <f t="array" ref="G436">_xlfn.TEXTJOIN("+",TRUE,_xlfn._xlws.SORT(_xlfn.UNIQUE(_xlfn._xlws.FILTER(OrderLines[Category],OrderLines[OrderID]=OrderLines[[#This Row],[OrderID]]))))</f>
        <v>Hot Meal+Snack</v>
      </c>
      <c r="H436" s="2" cm="1">
        <f t="array" ref="H436">INT(VLOOKUP(OrderLines[[#This Row],[OrderID]:[OrderID]],Orders[],MATCH(OrderLines[[#Headers],[OrderDateTime]],Orders[#Headers],0),FALSE))</f>
        <v>45896</v>
      </c>
      <c r="I436" t="str" cm="1">
        <f t="array" ref="I436">VLOOKUP(OrderLines[[#This Row],[OrderID]:[OrderID]],Orders[],MATCH(OrderLines[[#Headers],[Branch]],Orders[#Headers],0),FALSE)</f>
        <v>Head Office Café</v>
      </c>
      <c r="J436" cm="1">
        <f t="array" ref="J436">VLOOKUP(OrderLines[[#This Row],[OrderID]:[OrderID]],Orders[],MATCH(OrderLines[[#Headers],[DiscountPct]],Orders[#Headers],0),FALSE)</f>
        <v>0.1</v>
      </c>
      <c r="K436" t="str" cm="1">
        <f t="array" ref="K436">VLOOKUP(OrderLines[[#This Row],[OrderID]:[OrderID]],Orders[],MATCH(OrderLines[[#Headers],[PaymentType]],Orders[#Headers],0),FALSE)</f>
        <v>Card</v>
      </c>
      <c r="L436" t="str" cm="1">
        <f t="array" ref="L436">VLOOKUP(OrderLines[[#This Row],[OrderID]:[OrderID]],Orders[],MATCH(OrderLines[[#Headers],[Shift]],Orders[#Headers],0),FALSE)</f>
        <v>Breakfast</v>
      </c>
      <c r="M436" s="8">
        <f>(OrderLines[[#This Row],[Qty]]*OrderLines[[#This Row],[UnitPrice]])*(1-OrderLines[[#This Row],[DiscountPct]])</f>
        <v>307.49400000000003</v>
      </c>
      <c r="N436" t="str">
        <f>IF(AND(COUNTIFS(OrderLines[OrderID],OrderLines[[#This Row],[OrderID]],OrderLines[Category],"Hot Meal"),COUNTIFS(OrderLines[OrderID],OrderLines[[#This Row],[OrderID]],OrderLines[Category],"Beverage")),"Combo","Single")</f>
        <v>Single</v>
      </c>
      <c r="O436" s="8" t="str" cm="1">
        <f t="array" ref="O436">IF(SUMPRODUCT(OrderLines[UnitPrice],OrderLines[Qty],OrderLines[DiscountPct],--(OrderLines[OrderID] = OrderLines[[#This Row],[OrderID]]))&gt;40,"High Discount","Ok")</f>
        <v>High Discount</v>
      </c>
      <c r="P436">
        <f>OrderLines[[#This Row],[UnitCost]]*OrderLines[[#This Row],[Qty]]</f>
        <v>148.13999999999999</v>
      </c>
      <c r="Q436" s="8">
        <f>OrderLines[[#This Row],[LineNetAmount]]-OrderLines[[#This Row],[Food Cost]]</f>
        <v>159.35400000000004</v>
      </c>
    </row>
    <row r="437" spans="1:17" x14ac:dyDescent="0.3">
      <c r="A437" t="s">
        <v>209</v>
      </c>
      <c r="B437" t="s">
        <v>416</v>
      </c>
      <c r="C437">
        <v>2</v>
      </c>
      <c r="D437" cm="1">
        <f t="array" ref="D437">VLOOKUP(OrderLines[[#This Row],[SKU]:[SKU]],Menu[],MATCH(OrderLines[[#Headers],[UnitPrice]],Menu[#Headers],0),FALSE)</f>
        <v>227.61</v>
      </c>
      <c r="E437" cm="1">
        <f t="array" ref="E437">VLOOKUP(OrderLines[[#This Row],[SKU]:[SKU]],Menu[],MATCH(OrderLines[[#Headers],[UnitCost]],Menu[#Headers],0),FALSE)</f>
        <v>96.22</v>
      </c>
      <c r="F437" t="str" cm="1">
        <f t="array" ref="F437">VLOOKUP(OrderLines[[#This Row],[SKU]:[SKU]],Menu[],MATCH(OrderLines[[#Headers],[Category]],Menu[#Headers],0),FALSE)</f>
        <v>Hot Meal</v>
      </c>
      <c r="G437" t="str" cm="1">
        <f t="array" ref="G437">_xlfn.TEXTJOIN("+",TRUE,_xlfn._xlws.SORT(_xlfn.UNIQUE(_xlfn._xlws.FILTER(OrderLines[Category],OrderLines[OrderID]=OrderLines[[#This Row],[OrderID]]))))</f>
        <v>Hot Meal</v>
      </c>
      <c r="H437" s="2" cm="1">
        <f t="array" ref="H437">INT(VLOOKUP(OrderLines[[#This Row],[OrderID]:[OrderID]],Orders[],MATCH(OrderLines[[#Headers],[OrderDateTime]],Orders[#Headers],0),FALSE))</f>
        <v>45882</v>
      </c>
      <c r="I437" t="str" cm="1">
        <f t="array" ref="I437">VLOOKUP(OrderLines[[#This Row],[OrderID]:[OrderID]],Orders[],MATCH(OrderLines[[#Headers],[Branch]],Orders[#Headers],0),FALSE)</f>
        <v>Head Office Café</v>
      </c>
      <c r="J437" cm="1">
        <f t="array" ref="J437">VLOOKUP(OrderLines[[#This Row],[OrderID]:[OrderID]],Orders[],MATCH(OrderLines[[#Headers],[DiscountPct]],Orders[#Headers],0),FALSE)</f>
        <v>0.09</v>
      </c>
      <c r="K437" t="str" cm="1">
        <f t="array" ref="K437">VLOOKUP(OrderLines[[#This Row],[OrderID]:[OrderID]],Orders[],MATCH(OrderLines[[#Headers],[PaymentType]],Orders[#Headers],0),FALSE)</f>
        <v>Card</v>
      </c>
      <c r="L437" t="str" cm="1">
        <f t="array" ref="L437">VLOOKUP(OrderLines[[#This Row],[OrderID]:[OrderID]],Orders[],MATCH(OrderLines[[#Headers],[Shift]],Orders[#Headers],0),FALSE)</f>
        <v>Lunch</v>
      </c>
      <c r="M437" s="8">
        <f>(OrderLines[[#This Row],[Qty]]*OrderLines[[#This Row],[UnitPrice]])*(1-OrderLines[[#This Row],[DiscountPct]])</f>
        <v>414.25020000000006</v>
      </c>
      <c r="N437" t="str">
        <f>IF(AND(COUNTIFS(OrderLines[OrderID],OrderLines[[#This Row],[OrderID]],OrderLines[Category],"Hot Meal"),COUNTIFS(OrderLines[OrderID],OrderLines[[#This Row],[OrderID]],OrderLines[Category],"Beverage")),"Combo","Single")</f>
        <v>Single</v>
      </c>
      <c r="O437" s="8" t="str" cm="1">
        <f t="array" ref="O437">IF(SUMPRODUCT(OrderLines[UnitPrice],OrderLines[Qty],OrderLines[DiscountPct],--(OrderLines[OrderID] = OrderLines[[#This Row],[OrderID]]))&gt;40,"High Discount","Ok")</f>
        <v>High Discount</v>
      </c>
      <c r="P437">
        <f>OrderLines[[#This Row],[UnitCost]]*OrderLines[[#This Row],[Qty]]</f>
        <v>192.44</v>
      </c>
      <c r="Q437" s="8">
        <f>OrderLines[[#This Row],[LineNetAmount]]-OrderLines[[#This Row],[Food Cost]]</f>
        <v>221.81020000000007</v>
      </c>
    </row>
    <row r="438" spans="1:17" x14ac:dyDescent="0.3">
      <c r="A438" t="s">
        <v>210</v>
      </c>
      <c r="B438" t="s">
        <v>415</v>
      </c>
      <c r="C438">
        <v>2</v>
      </c>
      <c r="D438" cm="1">
        <f t="array" ref="D438">VLOOKUP(OrderLines[[#This Row],[SKU]:[SKU]],Menu[],MATCH(OrderLines[[#Headers],[UnitPrice]],Menu[#Headers],0),FALSE)</f>
        <v>256.91000000000003</v>
      </c>
      <c r="E438" cm="1">
        <f t="array" ref="E438">VLOOKUP(OrderLines[[#This Row],[SKU]:[SKU]],Menu[],MATCH(OrderLines[[#Headers],[UnitCost]],Menu[#Headers],0),FALSE)</f>
        <v>121.24</v>
      </c>
      <c r="F438" t="str" cm="1">
        <f t="array" ref="F438">VLOOKUP(OrderLines[[#This Row],[SKU]:[SKU]],Menu[],MATCH(OrderLines[[#Headers],[Category]],Menu[#Headers],0),FALSE)</f>
        <v>Hot Meal</v>
      </c>
      <c r="G438" t="str" cm="1">
        <f t="array" ref="G438">_xlfn.TEXTJOIN("+",TRUE,_xlfn._xlws.SORT(_xlfn.UNIQUE(_xlfn._xlws.FILTER(OrderLines[Category],OrderLines[OrderID]=OrderLines[[#This Row],[OrderID]]))))</f>
        <v>Hot Meal</v>
      </c>
      <c r="H438" s="2" cm="1">
        <f t="array" ref="H438">INT(VLOOKUP(OrderLines[[#This Row],[OrderID]:[OrderID]],Orders[],MATCH(OrderLines[[#Headers],[OrderDateTime]],Orders[#Headers],0),FALSE))</f>
        <v>45892</v>
      </c>
      <c r="I438" t="str" cm="1">
        <f t="array" ref="I438">VLOOKUP(OrderLines[[#This Row],[OrderID]:[OrderID]],Orders[],MATCH(OrderLines[[#Headers],[Branch]],Orders[#Headers],0),FALSE)</f>
        <v>Head Office Café</v>
      </c>
      <c r="J438" cm="1">
        <f t="array" ref="J438">VLOOKUP(OrderLines[[#This Row],[OrderID]:[OrderID]],Orders[],MATCH(OrderLines[[#Headers],[DiscountPct]],Orders[#Headers],0),FALSE)</f>
        <v>0.05</v>
      </c>
      <c r="K438" t="str" cm="1">
        <f t="array" ref="K438">VLOOKUP(OrderLines[[#This Row],[OrderID]:[OrderID]],Orders[],MATCH(OrderLines[[#Headers],[PaymentType]],Orders[#Headers],0),FALSE)</f>
        <v>Card</v>
      </c>
      <c r="L438" t="str" cm="1">
        <f t="array" ref="L438">VLOOKUP(OrderLines[[#This Row],[OrderID]:[OrderID]],Orders[],MATCH(OrderLines[[#Headers],[Shift]],Orders[#Headers],0),FALSE)</f>
        <v>Dinner</v>
      </c>
      <c r="M438" s="8">
        <f>(OrderLines[[#This Row],[Qty]]*OrderLines[[#This Row],[UnitPrice]])*(1-OrderLines[[#This Row],[DiscountPct]])</f>
        <v>488.12900000000002</v>
      </c>
      <c r="N438" t="str">
        <f>IF(AND(COUNTIFS(OrderLines[OrderID],OrderLines[[#This Row],[OrderID]],OrderLines[Category],"Hot Meal"),COUNTIFS(OrderLines[OrderID],OrderLines[[#This Row],[OrderID]],OrderLines[Category],"Beverage")),"Combo","Single")</f>
        <v>Single</v>
      </c>
      <c r="O438" s="8" t="str" cm="1">
        <f t="array" ref="O438">IF(SUMPRODUCT(OrderLines[UnitPrice],OrderLines[Qty],OrderLines[DiscountPct],--(OrderLines[OrderID] = OrderLines[[#This Row],[OrderID]]))&gt;40,"High Discount","Ok")</f>
        <v>Ok</v>
      </c>
      <c r="P438">
        <f>OrderLines[[#This Row],[UnitCost]]*OrderLines[[#This Row],[Qty]]</f>
        <v>242.48</v>
      </c>
      <c r="Q438" s="8">
        <f>OrderLines[[#This Row],[LineNetAmount]]-OrderLines[[#This Row],[Food Cost]]</f>
        <v>245.64900000000003</v>
      </c>
    </row>
    <row r="439" spans="1:17" x14ac:dyDescent="0.3">
      <c r="A439" t="s">
        <v>211</v>
      </c>
      <c r="B439" t="s">
        <v>410</v>
      </c>
      <c r="C439">
        <v>2</v>
      </c>
      <c r="D439" cm="1">
        <f t="array" ref="D439">VLOOKUP(OrderLines[[#This Row],[SKU]:[SKU]],Menu[],MATCH(OrderLines[[#Headers],[UnitPrice]],Menu[#Headers],0),FALSE)</f>
        <v>20.11</v>
      </c>
      <c r="E439" cm="1">
        <f t="array" ref="E439">VLOOKUP(OrderLines[[#This Row],[SKU]:[SKU]],Menu[],MATCH(OrderLines[[#Headers],[UnitCost]],Menu[#Headers],0),FALSE)</f>
        <v>8</v>
      </c>
      <c r="F439" t="str" cm="1">
        <f t="array" ref="F439">VLOOKUP(OrderLines[[#This Row],[SKU]:[SKU]],Menu[],MATCH(OrderLines[[#Headers],[Category]],Menu[#Headers],0),FALSE)</f>
        <v>Beverage</v>
      </c>
      <c r="G439" t="str" cm="1">
        <f t="array" ref="G439">_xlfn.TEXTJOIN("+",TRUE,_xlfn._xlws.SORT(_xlfn.UNIQUE(_xlfn._xlws.FILTER(OrderLines[Category],OrderLines[OrderID]=OrderLines[[#This Row],[OrderID]]))))</f>
        <v>Beverage+Dessert</v>
      </c>
      <c r="H439" s="2" cm="1">
        <f t="array" ref="H439">INT(VLOOKUP(OrderLines[[#This Row],[OrderID]:[OrderID]],Orders[],MATCH(OrderLines[[#Headers],[OrderDateTime]],Orders[#Headers],0),FALSE))</f>
        <v>45857</v>
      </c>
      <c r="I439" t="str" cm="1">
        <f t="array" ref="I439">VLOOKUP(OrderLines[[#This Row],[OrderID]:[OrderID]],Orders[],MATCH(OrderLines[[#Headers],[Branch]],Orders[#Headers],0),FALSE)</f>
        <v>Head Office Café</v>
      </c>
      <c r="J439" cm="1">
        <f t="array" ref="J439">VLOOKUP(OrderLines[[#This Row],[OrderID]:[OrderID]],Orders[],MATCH(OrderLines[[#Headers],[DiscountPct]],Orders[#Headers],0),FALSE)</f>
        <v>0.09</v>
      </c>
      <c r="K439" t="str" cm="1">
        <f t="array" ref="K439">VLOOKUP(OrderLines[[#This Row],[OrderID]:[OrderID]],Orders[],MATCH(OrderLines[[#Headers],[PaymentType]],Orders[#Headers],0),FALSE)</f>
        <v>UPI</v>
      </c>
      <c r="L439" t="str" cm="1">
        <f t="array" ref="L439">VLOOKUP(OrderLines[[#This Row],[OrderID]:[OrderID]],Orders[],MATCH(OrderLines[[#Headers],[Shift]],Orders[#Headers],0),FALSE)</f>
        <v>Lunch</v>
      </c>
      <c r="M439" s="8">
        <f>(OrderLines[[#This Row],[Qty]]*OrderLines[[#This Row],[UnitPrice]])*(1-OrderLines[[#This Row],[DiscountPct]])</f>
        <v>36.600200000000001</v>
      </c>
      <c r="N439" t="str">
        <f>IF(AND(COUNTIFS(OrderLines[OrderID],OrderLines[[#This Row],[OrderID]],OrderLines[Category],"Hot Meal"),COUNTIFS(OrderLines[OrderID],OrderLines[[#This Row],[OrderID]],OrderLines[Category],"Beverage")),"Combo","Single")</f>
        <v>Single</v>
      </c>
      <c r="O439" s="8" t="str" cm="1">
        <f t="array" ref="O439">IF(SUMPRODUCT(OrderLines[UnitPrice],OrderLines[Qty],OrderLines[DiscountPct],--(OrderLines[OrderID] = OrderLines[[#This Row],[OrderID]]))&gt;40,"High Discount","Ok")</f>
        <v>Ok</v>
      </c>
      <c r="P439">
        <f>OrderLines[[#This Row],[UnitCost]]*OrderLines[[#This Row],[Qty]]</f>
        <v>16</v>
      </c>
      <c r="Q439" s="8">
        <f>OrderLines[[#This Row],[LineNetAmount]]-OrderLines[[#This Row],[Food Cost]]</f>
        <v>20.600200000000001</v>
      </c>
    </row>
    <row r="440" spans="1:17" x14ac:dyDescent="0.3">
      <c r="A440" t="s">
        <v>211</v>
      </c>
      <c r="B440" t="s">
        <v>403</v>
      </c>
      <c r="C440">
        <v>1</v>
      </c>
      <c r="D440" cm="1">
        <f t="array" ref="D440">VLOOKUP(OrderLines[[#This Row],[SKU]:[SKU]],Menu[],MATCH(OrderLines[[#Headers],[UnitPrice]],Menu[#Headers],0),FALSE)</f>
        <v>76.55</v>
      </c>
      <c r="E440" cm="1">
        <f t="array" ref="E440">VLOOKUP(OrderLines[[#This Row],[SKU]:[SKU]],Menu[],MATCH(OrderLines[[#Headers],[UnitCost]],Menu[#Headers],0),FALSE)</f>
        <v>38.229999999999997</v>
      </c>
      <c r="F440" t="str" cm="1">
        <f t="array" ref="F440">VLOOKUP(OrderLines[[#This Row],[SKU]:[SKU]],Menu[],MATCH(OrderLines[[#Headers],[Category]],Menu[#Headers],0),FALSE)</f>
        <v>Dessert</v>
      </c>
      <c r="G440" t="str" cm="1">
        <f t="array" ref="G440">_xlfn.TEXTJOIN("+",TRUE,_xlfn._xlws.SORT(_xlfn.UNIQUE(_xlfn._xlws.FILTER(OrderLines[Category],OrderLines[OrderID]=OrderLines[[#This Row],[OrderID]]))))</f>
        <v>Beverage+Dessert</v>
      </c>
      <c r="H440" s="2" cm="1">
        <f t="array" ref="H440">INT(VLOOKUP(OrderLines[[#This Row],[OrderID]:[OrderID]],Orders[],MATCH(OrderLines[[#Headers],[OrderDateTime]],Orders[#Headers],0),FALSE))</f>
        <v>45857</v>
      </c>
      <c r="I440" t="str" cm="1">
        <f t="array" ref="I440">VLOOKUP(OrderLines[[#This Row],[OrderID]:[OrderID]],Orders[],MATCH(OrderLines[[#Headers],[Branch]],Orders[#Headers],0),FALSE)</f>
        <v>Head Office Café</v>
      </c>
      <c r="J440" cm="1">
        <f t="array" ref="J440">VLOOKUP(OrderLines[[#This Row],[OrderID]:[OrderID]],Orders[],MATCH(OrderLines[[#Headers],[DiscountPct]],Orders[#Headers],0),FALSE)</f>
        <v>0.09</v>
      </c>
      <c r="K440" t="str" cm="1">
        <f t="array" ref="K440">VLOOKUP(OrderLines[[#This Row],[OrderID]:[OrderID]],Orders[],MATCH(OrderLines[[#Headers],[PaymentType]],Orders[#Headers],0),FALSE)</f>
        <v>UPI</v>
      </c>
      <c r="L440" t="str" cm="1">
        <f t="array" ref="L440">VLOOKUP(OrderLines[[#This Row],[OrderID]:[OrderID]],Orders[],MATCH(OrderLines[[#Headers],[Shift]],Orders[#Headers],0),FALSE)</f>
        <v>Lunch</v>
      </c>
      <c r="M440" s="8">
        <f>(OrderLines[[#This Row],[Qty]]*OrderLines[[#This Row],[UnitPrice]])*(1-OrderLines[[#This Row],[DiscountPct]])</f>
        <v>69.660499999999999</v>
      </c>
      <c r="N440" t="str">
        <f>IF(AND(COUNTIFS(OrderLines[OrderID],OrderLines[[#This Row],[OrderID]],OrderLines[Category],"Hot Meal"),COUNTIFS(OrderLines[OrderID],OrderLines[[#This Row],[OrderID]],OrderLines[Category],"Beverage")),"Combo","Single")</f>
        <v>Single</v>
      </c>
      <c r="O440" s="8" t="str" cm="1">
        <f t="array" ref="O440">IF(SUMPRODUCT(OrderLines[UnitPrice],OrderLines[Qty],OrderLines[DiscountPct],--(OrderLines[OrderID] = OrderLines[[#This Row],[OrderID]]))&gt;40,"High Discount","Ok")</f>
        <v>Ok</v>
      </c>
      <c r="P440">
        <f>OrderLines[[#This Row],[UnitCost]]*OrderLines[[#This Row],[Qty]]</f>
        <v>38.229999999999997</v>
      </c>
      <c r="Q440" s="8">
        <f>OrderLines[[#This Row],[LineNetAmount]]-OrderLines[[#This Row],[Food Cost]]</f>
        <v>31.430500000000002</v>
      </c>
    </row>
    <row r="441" spans="1:17" x14ac:dyDescent="0.3">
      <c r="A441" t="s">
        <v>211</v>
      </c>
      <c r="B441" t="s">
        <v>404</v>
      </c>
      <c r="C441">
        <v>2</v>
      </c>
      <c r="D441" cm="1">
        <f t="array" ref="D441">VLOOKUP(OrderLines[[#This Row],[SKU]:[SKU]],Menu[],MATCH(OrderLines[[#Headers],[UnitPrice]],Menu[#Headers],0),FALSE)</f>
        <v>32.979999999999997</v>
      </c>
      <c r="E441" cm="1">
        <f t="array" ref="E441">VLOOKUP(OrderLines[[#This Row],[SKU]:[SKU]],Menu[],MATCH(OrderLines[[#Headers],[UnitCost]],Menu[#Headers],0),FALSE)</f>
        <v>11.84</v>
      </c>
      <c r="F441" t="str" cm="1">
        <f t="array" ref="F441">VLOOKUP(OrderLines[[#This Row],[SKU]:[SKU]],Menu[],MATCH(OrderLines[[#Headers],[Category]],Menu[#Headers],0),FALSE)</f>
        <v>Beverage</v>
      </c>
      <c r="G441" t="str" cm="1">
        <f t="array" ref="G441">_xlfn.TEXTJOIN("+",TRUE,_xlfn._xlws.SORT(_xlfn.UNIQUE(_xlfn._xlws.FILTER(OrderLines[Category],OrderLines[OrderID]=OrderLines[[#This Row],[OrderID]]))))</f>
        <v>Beverage+Dessert</v>
      </c>
      <c r="H441" s="2" cm="1">
        <f t="array" ref="H441">INT(VLOOKUP(OrderLines[[#This Row],[OrderID]:[OrderID]],Orders[],MATCH(OrderLines[[#Headers],[OrderDateTime]],Orders[#Headers],0),FALSE))</f>
        <v>45857</v>
      </c>
      <c r="I441" t="str" cm="1">
        <f t="array" ref="I441">VLOOKUP(OrderLines[[#This Row],[OrderID]:[OrderID]],Orders[],MATCH(OrderLines[[#Headers],[Branch]],Orders[#Headers],0),FALSE)</f>
        <v>Head Office Café</v>
      </c>
      <c r="J441" cm="1">
        <f t="array" ref="J441">VLOOKUP(OrderLines[[#This Row],[OrderID]:[OrderID]],Orders[],MATCH(OrderLines[[#Headers],[DiscountPct]],Orders[#Headers],0),FALSE)</f>
        <v>0.09</v>
      </c>
      <c r="K441" t="str" cm="1">
        <f t="array" ref="K441">VLOOKUP(OrderLines[[#This Row],[OrderID]:[OrderID]],Orders[],MATCH(OrderLines[[#Headers],[PaymentType]],Orders[#Headers],0),FALSE)</f>
        <v>UPI</v>
      </c>
      <c r="L441" t="str" cm="1">
        <f t="array" ref="L441">VLOOKUP(OrderLines[[#This Row],[OrderID]:[OrderID]],Orders[],MATCH(OrderLines[[#Headers],[Shift]],Orders[#Headers],0),FALSE)</f>
        <v>Lunch</v>
      </c>
      <c r="M441" s="8">
        <f>(OrderLines[[#This Row],[Qty]]*OrderLines[[#This Row],[UnitPrice]])*(1-OrderLines[[#This Row],[DiscountPct]])</f>
        <v>60.023599999999995</v>
      </c>
      <c r="N441" t="str">
        <f>IF(AND(COUNTIFS(OrderLines[OrderID],OrderLines[[#This Row],[OrderID]],OrderLines[Category],"Hot Meal"),COUNTIFS(OrderLines[OrderID],OrderLines[[#This Row],[OrderID]],OrderLines[Category],"Beverage")),"Combo","Single")</f>
        <v>Single</v>
      </c>
      <c r="O441" s="8" t="str" cm="1">
        <f t="array" ref="O441">IF(SUMPRODUCT(OrderLines[UnitPrice],OrderLines[Qty],OrderLines[DiscountPct],--(OrderLines[OrderID] = OrderLines[[#This Row],[OrderID]]))&gt;40,"High Discount","Ok")</f>
        <v>Ok</v>
      </c>
      <c r="P441">
        <f>OrderLines[[#This Row],[UnitCost]]*OrderLines[[#This Row],[Qty]]</f>
        <v>23.68</v>
      </c>
      <c r="Q441" s="8">
        <f>OrderLines[[#This Row],[LineNetAmount]]-OrderLines[[#This Row],[Food Cost]]</f>
        <v>36.343599999999995</v>
      </c>
    </row>
    <row r="442" spans="1:17" x14ac:dyDescent="0.3">
      <c r="A442" t="s">
        <v>211</v>
      </c>
      <c r="B442" t="s">
        <v>409</v>
      </c>
      <c r="C442">
        <v>3</v>
      </c>
      <c r="D442" cm="1">
        <f t="array" ref="D442">VLOOKUP(OrderLines[[#This Row],[SKU]:[SKU]],Menu[],MATCH(OrderLines[[#Headers],[UnitPrice]],Menu[#Headers],0),FALSE)</f>
        <v>28.43</v>
      </c>
      <c r="E442" cm="1">
        <f t="array" ref="E442">VLOOKUP(OrderLines[[#This Row],[SKU]:[SKU]],Menu[],MATCH(OrderLines[[#Headers],[UnitCost]],Menu[#Headers],0),FALSE)</f>
        <v>13.89</v>
      </c>
      <c r="F442" t="str" cm="1">
        <f t="array" ref="F442">VLOOKUP(OrderLines[[#This Row],[SKU]:[SKU]],Menu[],MATCH(OrderLines[[#Headers],[Category]],Menu[#Headers],0),FALSE)</f>
        <v>Beverage</v>
      </c>
      <c r="G442" t="str" cm="1">
        <f t="array" ref="G442">_xlfn.TEXTJOIN("+",TRUE,_xlfn._xlws.SORT(_xlfn.UNIQUE(_xlfn._xlws.FILTER(OrderLines[Category],OrderLines[OrderID]=OrderLines[[#This Row],[OrderID]]))))</f>
        <v>Beverage+Dessert</v>
      </c>
      <c r="H442" s="2" cm="1">
        <f t="array" ref="H442">INT(VLOOKUP(OrderLines[[#This Row],[OrderID]:[OrderID]],Orders[],MATCH(OrderLines[[#Headers],[OrderDateTime]],Orders[#Headers],0),FALSE))</f>
        <v>45857</v>
      </c>
      <c r="I442" t="str" cm="1">
        <f t="array" ref="I442">VLOOKUP(OrderLines[[#This Row],[OrderID]:[OrderID]],Orders[],MATCH(OrderLines[[#Headers],[Branch]],Orders[#Headers],0),FALSE)</f>
        <v>Head Office Café</v>
      </c>
      <c r="J442" cm="1">
        <f t="array" ref="J442">VLOOKUP(OrderLines[[#This Row],[OrderID]:[OrderID]],Orders[],MATCH(OrderLines[[#Headers],[DiscountPct]],Orders[#Headers],0),FALSE)</f>
        <v>0.09</v>
      </c>
      <c r="K442" t="str" cm="1">
        <f t="array" ref="K442">VLOOKUP(OrderLines[[#This Row],[OrderID]:[OrderID]],Orders[],MATCH(OrderLines[[#Headers],[PaymentType]],Orders[#Headers],0),FALSE)</f>
        <v>UPI</v>
      </c>
      <c r="L442" t="str" cm="1">
        <f t="array" ref="L442">VLOOKUP(OrderLines[[#This Row],[OrderID]:[OrderID]],Orders[],MATCH(OrderLines[[#Headers],[Shift]],Orders[#Headers],0),FALSE)</f>
        <v>Lunch</v>
      </c>
      <c r="M442" s="8">
        <f>(OrderLines[[#This Row],[Qty]]*OrderLines[[#This Row],[UnitPrice]])*(1-OrderLines[[#This Row],[DiscountPct]])</f>
        <v>77.613900000000001</v>
      </c>
      <c r="N442" t="str">
        <f>IF(AND(COUNTIFS(OrderLines[OrderID],OrderLines[[#This Row],[OrderID]],OrderLines[Category],"Hot Meal"),COUNTIFS(OrderLines[OrderID],OrderLines[[#This Row],[OrderID]],OrderLines[Category],"Beverage")),"Combo","Single")</f>
        <v>Single</v>
      </c>
      <c r="O442" s="8" t="str" cm="1">
        <f t="array" ref="O442">IF(SUMPRODUCT(OrderLines[UnitPrice],OrderLines[Qty],OrderLines[DiscountPct],--(OrderLines[OrderID] = OrderLines[[#This Row],[OrderID]]))&gt;40,"High Discount","Ok")</f>
        <v>Ok</v>
      </c>
      <c r="P442">
        <f>OrderLines[[#This Row],[UnitCost]]*OrderLines[[#This Row],[Qty]]</f>
        <v>41.67</v>
      </c>
      <c r="Q442" s="8">
        <f>OrderLines[[#This Row],[LineNetAmount]]-OrderLines[[#This Row],[Food Cost]]</f>
        <v>35.943899999999999</v>
      </c>
    </row>
    <row r="443" spans="1:17" x14ac:dyDescent="0.3">
      <c r="A443" t="s">
        <v>212</v>
      </c>
      <c r="B443" t="s">
        <v>419</v>
      </c>
      <c r="C443">
        <v>2</v>
      </c>
      <c r="D443" cm="1">
        <f t="array" ref="D443">VLOOKUP(OrderLines[[#This Row],[SKU]:[SKU]],Menu[],MATCH(OrderLines[[#Headers],[UnitPrice]],Menu[#Headers],0),FALSE)</f>
        <v>50.19</v>
      </c>
      <c r="E443" cm="1">
        <f t="array" ref="E443">VLOOKUP(OrderLines[[#This Row],[SKU]:[SKU]],Menu[],MATCH(OrderLines[[#Headers],[UnitCost]],Menu[#Headers],0),FALSE)</f>
        <v>22.61</v>
      </c>
      <c r="F443" t="str" cm="1">
        <f t="array" ref="F443">VLOOKUP(OrderLines[[#This Row],[SKU]:[SKU]],Menu[],MATCH(OrderLines[[#Headers],[Category]],Menu[#Headers],0),FALSE)</f>
        <v>Snack</v>
      </c>
      <c r="G443" t="str" cm="1">
        <f t="array" ref="G443">_xlfn.TEXTJOIN("+",TRUE,_xlfn._xlws.SORT(_xlfn.UNIQUE(_xlfn._xlws.FILTER(OrderLines[Category],OrderLines[OrderID]=OrderLines[[#This Row],[OrderID]]))))</f>
        <v>Hot Meal+Snack</v>
      </c>
      <c r="H443" s="2" cm="1">
        <f t="array" ref="H443">INT(VLOOKUP(OrderLines[[#This Row],[OrderID]:[OrderID]],Orders[],MATCH(OrderLines[[#Headers],[OrderDateTime]],Orders[#Headers],0),FALSE))</f>
        <v>45861</v>
      </c>
      <c r="I443" t="str" cm="1">
        <f t="array" ref="I443">VLOOKUP(OrderLines[[#This Row],[OrderID]:[OrderID]],Orders[],MATCH(OrderLines[[#Headers],[Branch]],Orders[#Headers],0),FALSE)</f>
        <v>Plant 2 Canteen</v>
      </c>
      <c r="J443" cm="1">
        <f t="array" ref="J443">VLOOKUP(OrderLines[[#This Row],[OrderID]:[OrderID]],Orders[],MATCH(OrderLines[[#Headers],[DiscountPct]],Orders[#Headers],0),FALSE)</f>
        <v>0.03</v>
      </c>
      <c r="K443" t="str" cm="1">
        <f t="array" ref="K443">VLOOKUP(OrderLines[[#This Row],[OrderID]:[OrderID]],Orders[],MATCH(OrderLines[[#Headers],[PaymentType]],Orders[#Headers],0),FALSE)</f>
        <v>Card</v>
      </c>
      <c r="L443" t="str" cm="1">
        <f t="array" ref="L443">VLOOKUP(OrderLines[[#This Row],[OrderID]:[OrderID]],Orders[],MATCH(OrderLines[[#Headers],[Shift]],Orders[#Headers],0),FALSE)</f>
        <v>Dinner</v>
      </c>
      <c r="M443" s="8">
        <f>(OrderLines[[#This Row],[Qty]]*OrderLines[[#This Row],[UnitPrice]])*(1-OrderLines[[#This Row],[DiscountPct]])</f>
        <v>97.368599999999986</v>
      </c>
      <c r="N443" t="str">
        <f>IF(AND(COUNTIFS(OrderLines[OrderID],OrderLines[[#This Row],[OrderID]],OrderLines[Category],"Hot Meal"),COUNTIFS(OrderLines[OrderID],OrderLines[[#This Row],[OrderID]],OrderLines[Category],"Beverage")),"Combo","Single")</f>
        <v>Single</v>
      </c>
      <c r="O443" s="8" t="str" cm="1">
        <f t="array" ref="O443">IF(SUMPRODUCT(OrderLines[UnitPrice],OrderLines[Qty],OrderLines[DiscountPct],--(OrderLines[OrderID] = OrderLines[[#This Row],[OrderID]]))&gt;40,"High Discount","Ok")</f>
        <v>Ok</v>
      </c>
      <c r="P443">
        <f>OrderLines[[#This Row],[UnitCost]]*OrderLines[[#This Row],[Qty]]</f>
        <v>45.22</v>
      </c>
      <c r="Q443" s="8">
        <f>OrderLines[[#This Row],[LineNetAmount]]-OrderLines[[#This Row],[Food Cost]]</f>
        <v>52.148599999999988</v>
      </c>
    </row>
    <row r="444" spans="1:17" x14ac:dyDescent="0.3">
      <c r="A444" t="s">
        <v>212</v>
      </c>
      <c r="B444" t="s">
        <v>416</v>
      </c>
      <c r="C444">
        <v>1</v>
      </c>
      <c r="D444" cm="1">
        <f t="array" ref="D444">VLOOKUP(OrderLines[[#This Row],[SKU]:[SKU]],Menu[],MATCH(OrderLines[[#Headers],[UnitPrice]],Menu[#Headers],0),FALSE)</f>
        <v>227.61</v>
      </c>
      <c r="E444" cm="1">
        <f t="array" ref="E444">VLOOKUP(OrderLines[[#This Row],[SKU]:[SKU]],Menu[],MATCH(OrderLines[[#Headers],[UnitCost]],Menu[#Headers],0),FALSE)</f>
        <v>96.22</v>
      </c>
      <c r="F444" t="str" cm="1">
        <f t="array" ref="F444">VLOOKUP(OrderLines[[#This Row],[SKU]:[SKU]],Menu[],MATCH(OrderLines[[#Headers],[Category]],Menu[#Headers],0),FALSE)</f>
        <v>Hot Meal</v>
      </c>
      <c r="G444" t="str" cm="1">
        <f t="array" ref="G444">_xlfn.TEXTJOIN("+",TRUE,_xlfn._xlws.SORT(_xlfn.UNIQUE(_xlfn._xlws.FILTER(OrderLines[Category],OrderLines[OrderID]=OrderLines[[#This Row],[OrderID]]))))</f>
        <v>Hot Meal+Snack</v>
      </c>
      <c r="H444" s="2" cm="1">
        <f t="array" ref="H444">INT(VLOOKUP(OrderLines[[#This Row],[OrderID]:[OrderID]],Orders[],MATCH(OrderLines[[#Headers],[OrderDateTime]],Orders[#Headers],0),FALSE))</f>
        <v>45861</v>
      </c>
      <c r="I444" t="str" cm="1">
        <f t="array" ref="I444">VLOOKUP(OrderLines[[#This Row],[OrderID]:[OrderID]],Orders[],MATCH(OrderLines[[#Headers],[Branch]],Orders[#Headers],0),FALSE)</f>
        <v>Plant 2 Canteen</v>
      </c>
      <c r="J444" cm="1">
        <f t="array" ref="J444">VLOOKUP(OrderLines[[#This Row],[OrderID]:[OrderID]],Orders[],MATCH(OrderLines[[#Headers],[DiscountPct]],Orders[#Headers],0),FALSE)</f>
        <v>0.03</v>
      </c>
      <c r="K444" t="str" cm="1">
        <f t="array" ref="K444">VLOOKUP(OrderLines[[#This Row],[OrderID]:[OrderID]],Orders[],MATCH(OrderLines[[#Headers],[PaymentType]],Orders[#Headers],0),FALSE)</f>
        <v>Card</v>
      </c>
      <c r="L444" t="str" cm="1">
        <f t="array" ref="L444">VLOOKUP(OrderLines[[#This Row],[OrderID]:[OrderID]],Orders[],MATCH(OrderLines[[#Headers],[Shift]],Orders[#Headers],0),FALSE)</f>
        <v>Dinner</v>
      </c>
      <c r="M444" s="8">
        <f>(OrderLines[[#This Row],[Qty]]*OrderLines[[#This Row],[UnitPrice]])*(1-OrderLines[[#This Row],[DiscountPct]])</f>
        <v>220.7817</v>
      </c>
      <c r="N444" t="str">
        <f>IF(AND(COUNTIFS(OrderLines[OrderID],OrderLines[[#This Row],[OrderID]],OrderLines[Category],"Hot Meal"),COUNTIFS(OrderLines[OrderID],OrderLines[[#This Row],[OrderID]],OrderLines[Category],"Beverage")),"Combo","Single")</f>
        <v>Single</v>
      </c>
      <c r="O444" s="8" t="str" cm="1">
        <f t="array" ref="O444">IF(SUMPRODUCT(OrderLines[UnitPrice],OrderLines[Qty],OrderLines[DiscountPct],--(OrderLines[OrderID] = OrderLines[[#This Row],[OrderID]]))&gt;40,"High Discount","Ok")</f>
        <v>Ok</v>
      </c>
      <c r="P444">
        <f>OrderLines[[#This Row],[UnitCost]]*OrderLines[[#This Row],[Qty]]</f>
        <v>96.22</v>
      </c>
      <c r="Q444" s="8">
        <f>OrderLines[[#This Row],[LineNetAmount]]-OrderLines[[#This Row],[Food Cost]]</f>
        <v>124.5617</v>
      </c>
    </row>
    <row r="445" spans="1:17" x14ac:dyDescent="0.3">
      <c r="A445" t="s">
        <v>213</v>
      </c>
      <c r="B445" t="s">
        <v>410</v>
      </c>
      <c r="C445">
        <v>1</v>
      </c>
      <c r="D445" cm="1">
        <f t="array" ref="D445">VLOOKUP(OrderLines[[#This Row],[SKU]:[SKU]],Menu[],MATCH(OrderLines[[#Headers],[UnitPrice]],Menu[#Headers],0),FALSE)</f>
        <v>20.11</v>
      </c>
      <c r="E445" cm="1">
        <f t="array" ref="E445">VLOOKUP(OrderLines[[#This Row],[SKU]:[SKU]],Menu[],MATCH(OrderLines[[#Headers],[UnitCost]],Menu[#Headers],0),FALSE)</f>
        <v>8</v>
      </c>
      <c r="F445" t="str" cm="1">
        <f t="array" ref="F445">VLOOKUP(OrderLines[[#This Row],[SKU]:[SKU]],Menu[],MATCH(OrderLines[[#Headers],[Category]],Menu[#Headers],0),FALSE)</f>
        <v>Beverage</v>
      </c>
      <c r="G445" t="str" cm="1">
        <f t="array" ref="G445">_xlfn.TEXTJOIN("+",TRUE,_xlfn._xlws.SORT(_xlfn.UNIQUE(_xlfn._xlws.FILTER(OrderLines[Category],OrderLines[OrderID]=OrderLines[[#This Row],[OrderID]]))))</f>
        <v>Beverage+Hot Meal</v>
      </c>
      <c r="H445" s="2" cm="1">
        <f t="array" ref="H445">INT(VLOOKUP(OrderLines[[#This Row],[OrderID]:[OrderID]],Orders[],MATCH(OrderLines[[#Headers],[OrderDateTime]],Orders[#Headers],0),FALSE))</f>
        <v>45876</v>
      </c>
      <c r="I445" t="str" cm="1">
        <f t="array" ref="I445">VLOOKUP(OrderLines[[#This Row],[OrderID]:[OrderID]],Orders[],MATCH(OrderLines[[#Headers],[Branch]],Orders[#Headers],0),FALSE)</f>
        <v>Plant 2 Canteen</v>
      </c>
      <c r="J445" cm="1">
        <f t="array" ref="J445">VLOOKUP(OrderLines[[#This Row],[OrderID]:[OrderID]],Orders[],MATCH(OrderLines[[#Headers],[DiscountPct]],Orders[#Headers],0),FALSE)</f>
        <v>0.05</v>
      </c>
      <c r="K445" t="str" cm="1">
        <f t="array" ref="K445">VLOOKUP(OrderLines[[#This Row],[OrderID]:[OrderID]],Orders[],MATCH(OrderLines[[#Headers],[PaymentType]],Orders[#Headers],0),FALSE)</f>
        <v>UPI</v>
      </c>
      <c r="L445" t="str" cm="1">
        <f t="array" ref="L445">VLOOKUP(OrderLines[[#This Row],[OrderID]:[OrderID]],Orders[],MATCH(OrderLines[[#Headers],[Shift]],Orders[#Headers],0),FALSE)</f>
        <v>Breakfast</v>
      </c>
      <c r="M445" s="8">
        <f>(OrderLines[[#This Row],[Qty]]*OrderLines[[#This Row],[UnitPrice]])*(1-OrderLines[[#This Row],[DiscountPct]])</f>
        <v>19.104499999999998</v>
      </c>
      <c r="N445" t="str">
        <f>IF(AND(COUNTIFS(OrderLines[OrderID],OrderLines[[#This Row],[OrderID]],OrderLines[Category],"Hot Meal"),COUNTIFS(OrderLines[OrderID],OrderLines[[#This Row],[OrderID]],OrderLines[Category],"Beverage")),"Combo","Single")</f>
        <v>Combo</v>
      </c>
      <c r="O445" s="8" t="str" cm="1">
        <f t="array" ref="O445">IF(SUMPRODUCT(OrderLines[UnitPrice],OrderLines[Qty],OrderLines[DiscountPct],--(OrderLines[OrderID] = OrderLines[[#This Row],[OrderID]]))&gt;40,"High Discount","Ok")</f>
        <v>Ok</v>
      </c>
      <c r="P445">
        <f>OrderLines[[#This Row],[UnitCost]]*OrderLines[[#This Row],[Qty]]</f>
        <v>8</v>
      </c>
      <c r="Q445" s="8">
        <f>OrderLines[[#This Row],[LineNetAmount]]-OrderLines[[#This Row],[Food Cost]]</f>
        <v>11.104499999999998</v>
      </c>
    </row>
    <row r="446" spans="1:17" x14ac:dyDescent="0.3">
      <c r="A446" t="s">
        <v>213</v>
      </c>
      <c r="B446" t="s">
        <v>415</v>
      </c>
      <c r="C446">
        <v>1</v>
      </c>
      <c r="D446" cm="1">
        <f t="array" ref="D446">VLOOKUP(OrderLines[[#This Row],[SKU]:[SKU]],Menu[],MATCH(OrderLines[[#Headers],[UnitPrice]],Menu[#Headers],0),FALSE)</f>
        <v>256.91000000000003</v>
      </c>
      <c r="E446" cm="1">
        <f t="array" ref="E446">VLOOKUP(OrderLines[[#This Row],[SKU]:[SKU]],Menu[],MATCH(OrderLines[[#Headers],[UnitCost]],Menu[#Headers],0),FALSE)</f>
        <v>121.24</v>
      </c>
      <c r="F446" t="str" cm="1">
        <f t="array" ref="F446">VLOOKUP(OrderLines[[#This Row],[SKU]:[SKU]],Menu[],MATCH(OrderLines[[#Headers],[Category]],Menu[#Headers],0),FALSE)</f>
        <v>Hot Meal</v>
      </c>
      <c r="G446" t="str" cm="1">
        <f t="array" ref="G446">_xlfn.TEXTJOIN("+",TRUE,_xlfn._xlws.SORT(_xlfn.UNIQUE(_xlfn._xlws.FILTER(OrderLines[Category],OrderLines[OrderID]=OrderLines[[#This Row],[OrderID]]))))</f>
        <v>Beverage+Hot Meal</v>
      </c>
      <c r="H446" s="2" cm="1">
        <f t="array" ref="H446">INT(VLOOKUP(OrderLines[[#This Row],[OrderID]:[OrderID]],Orders[],MATCH(OrderLines[[#Headers],[OrderDateTime]],Orders[#Headers],0),FALSE))</f>
        <v>45876</v>
      </c>
      <c r="I446" t="str" cm="1">
        <f t="array" ref="I446">VLOOKUP(OrderLines[[#This Row],[OrderID]:[OrderID]],Orders[],MATCH(OrderLines[[#Headers],[Branch]],Orders[#Headers],0),FALSE)</f>
        <v>Plant 2 Canteen</v>
      </c>
      <c r="J446" cm="1">
        <f t="array" ref="J446">VLOOKUP(OrderLines[[#This Row],[OrderID]:[OrderID]],Orders[],MATCH(OrderLines[[#Headers],[DiscountPct]],Orders[#Headers],0),FALSE)</f>
        <v>0.05</v>
      </c>
      <c r="K446" t="str" cm="1">
        <f t="array" ref="K446">VLOOKUP(OrderLines[[#This Row],[OrderID]:[OrderID]],Orders[],MATCH(OrderLines[[#Headers],[PaymentType]],Orders[#Headers],0),FALSE)</f>
        <v>UPI</v>
      </c>
      <c r="L446" t="str" cm="1">
        <f t="array" ref="L446">VLOOKUP(OrderLines[[#This Row],[OrderID]:[OrderID]],Orders[],MATCH(OrderLines[[#Headers],[Shift]],Orders[#Headers],0),FALSE)</f>
        <v>Breakfast</v>
      </c>
      <c r="M446" s="8">
        <f>(OrderLines[[#This Row],[Qty]]*OrderLines[[#This Row],[UnitPrice]])*(1-OrderLines[[#This Row],[DiscountPct]])</f>
        <v>244.06450000000001</v>
      </c>
      <c r="N446" t="str">
        <f>IF(AND(COUNTIFS(OrderLines[OrderID],OrderLines[[#This Row],[OrderID]],OrderLines[Category],"Hot Meal"),COUNTIFS(OrderLines[OrderID],OrderLines[[#This Row],[OrderID]],OrderLines[Category],"Beverage")),"Combo","Single")</f>
        <v>Combo</v>
      </c>
      <c r="O446" s="8" t="str" cm="1">
        <f t="array" ref="O446">IF(SUMPRODUCT(OrderLines[UnitPrice],OrderLines[Qty],OrderLines[DiscountPct],--(OrderLines[OrderID] = OrderLines[[#This Row],[OrderID]]))&gt;40,"High Discount","Ok")</f>
        <v>Ok</v>
      </c>
      <c r="P446">
        <f>OrderLines[[#This Row],[UnitCost]]*OrderLines[[#This Row],[Qty]]</f>
        <v>121.24</v>
      </c>
      <c r="Q446" s="8">
        <f>OrderLines[[#This Row],[LineNetAmount]]-OrderLines[[#This Row],[Food Cost]]</f>
        <v>122.82450000000001</v>
      </c>
    </row>
    <row r="447" spans="1:17" x14ac:dyDescent="0.3">
      <c r="A447" t="s">
        <v>213</v>
      </c>
      <c r="B447" t="s">
        <v>416</v>
      </c>
      <c r="C447">
        <v>1</v>
      </c>
      <c r="D447" cm="1">
        <f t="array" ref="D447">VLOOKUP(OrderLines[[#This Row],[SKU]:[SKU]],Menu[],MATCH(OrderLines[[#Headers],[UnitPrice]],Menu[#Headers],0),FALSE)</f>
        <v>227.61</v>
      </c>
      <c r="E447" cm="1">
        <f t="array" ref="E447">VLOOKUP(OrderLines[[#This Row],[SKU]:[SKU]],Menu[],MATCH(OrderLines[[#Headers],[UnitCost]],Menu[#Headers],0),FALSE)</f>
        <v>96.22</v>
      </c>
      <c r="F447" t="str" cm="1">
        <f t="array" ref="F447">VLOOKUP(OrderLines[[#This Row],[SKU]:[SKU]],Menu[],MATCH(OrderLines[[#Headers],[Category]],Menu[#Headers],0),FALSE)</f>
        <v>Hot Meal</v>
      </c>
      <c r="G447" t="str" cm="1">
        <f t="array" ref="G447">_xlfn.TEXTJOIN("+",TRUE,_xlfn._xlws.SORT(_xlfn.UNIQUE(_xlfn._xlws.FILTER(OrderLines[Category],OrderLines[OrderID]=OrderLines[[#This Row],[OrderID]]))))</f>
        <v>Beverage+Hot Meal</v>
      </c>
      <c r="H447" s="2" cm="1">
        <f t="array" ref="H447">INT(VLOOKUP(OrderLines[[#This Row],[OrderID]:[OrderID]],Orders[],MATCH(OrderLines[[#Headers],[OrderDateTime]],Orders[#Headers],0),FALSE))</f>
        <v>45876</v>
      </c>
      <c r="I447" t="str" cm="1">
        <f t="array" ref="I447">VLOOKUP(OrderLines[[#This Row],[OrderID]:[OrderID]],Orders[],MATCH(OrderLines[[#Headers],[Branch]],Orders[#Headers],0),FALSE)</f>
        <v>Plant 2 Canteen</v>
      </c>
      <c r="J447" cm="1">
        <f t="array" ref="J447">VLOOKUP(OrderLines[[#This Row],[OrderID]:[OrderID]],Orders[],MATCH(OrderLines[[#Headers],[DiscountPct]],Orders[#Headers],0),FALSE)</f>
        <v>0.05</v>
      </c>
      <c r="K447" t="str" cm="1">
        <f t="array" ref="K447">VLOOKUP(OrderLines[[#This Row],[OrderID]:[OrderID]],Orders[],MATCH(OrderLines[[#Headers],[PaymentType]],Orders[#Headers],0),FALSE)</f>
        <v>UPI</v>
      </c>
      <c r="L447" t="str" cm="1">
        <f t="array" ref="L447">VLOOKUP(OrderLines[[#This Row],[OrderID]:[OrderID]],Orders[],MATCH(OrderLines[[#Headers],[Shift]],Orders[#Headers],0),FALSE)</f>
        <v>Breakfast</v>
      </c>
      <c r="M447" s="8">
        <f>(OrderLines[[#This Row],[Qty]]*OrderLines[[#This Row],[UnitPrice]])*(1-OrderLines[[#This Row],[DiscountPct]])</f>
        <v>216.2295</v>
      </c>
      <c r="N447" t="str">
        <f>IF(AND(COUNTIFS(OrderLines[OrderID],OrderLines[[#This Row],[OrderID]],OrderLines[Category],"Hot Meal"),COUNTIFS(OrderLines[OrderID],OrderLines[[#This Row],[OrderID]],OrderLines[Category],"Beverage")),"Combo","Single")</f>
        <v>Combo</v>
      </c>
      <c r="O447" s="8" t="str" cm="1">
        <f t="array" ref="O447">IF(SUMPRODUCT(OrderLines[UnitPrice],OrderLines[Qty],OrderLines[DiscountPct],--(OrderLines[OrderID] = OrderLines[[#This Row],[OrderID]]))&gt;40,"High Discount","Ok")</f>
        <v>Ok</v>
      </c>
      <c r="P447">
        <f>OrderLines[[#This Row],[UnitCost]]*OrderLines[[#This Row],[Qty]]</f>
        <v>96.22</v>
      </c>
      <c r="Q447" s="8">
        <f>OrderLines[[#This Row],[LineNetAmount]]-OrderLines[[#This Row],[Food Cost]]</f>
        <v>120.0095</v>
      </c>
    </row>
    <row r="448" spans="1:17" x14ac:dyDescent="0.3">
      <c r="A448" t="s">
        <v>214</v>
      </c>
      <c r="B448" t="s">
        <v>412</v>
      </c>
      <c r="C448">
        <v>1</v>
      </c>
      <c r="D448" cm="1">
        <f t="array" ref="D448">VLOOKUP(OrderLines[[#This Row],[SKU]:[SKU]],Menu[],MATCH(OrderLines[[#Headers],[UnitPrice]],Menu[#Headers],0),FALSE)</f>
        <v>57.07</v>
      </c>
      <c r="E448" cm="1">
        <f t="array" ref="E448">VLOOKUP(OrderLines[[#This Row],[SKU]:[SKU]],Menu[],MATCH(OrderLines[[#Headers],[UnitCost]],Menu[#Headers],0),FALSE)</f>
        <v>29.14</v>
      </c>
      <c r="F448" t="str" cm="1">
        <f t="array" ref="F448">VLOOKUP(OrderLines[[#This Row],[SKU]:[SKU]],Menu[],MATCH(OrderLines[[#Headers],[Category]],Menu[#Headers],0),FALSE)</f>
        <v>Dessert</v>
      </c>
      <c r="G448" t="str" cm="1">
        <f t="array" ref="G448">_xlfn.TEXTJOIN("+",TRUE,_xlfn._xlws.SORT(_xlfn.UNIQUE(_xlfn._xlws.FILTER(OrderLines[Category],OrderLines[OrderID]=OrderLines[[#This Row],[OrderID]]))))</f>
        <v>Beverage+Dessert+Snack</v>
      </c>
      <c r="H448" s="2" cm="1">
        <f t="array" ref="H448">INT(VLOOKUP(OrderLines[[#This Row],[OrderID]:[OrderID]],Orders[],MATCH(OrderLines[[#Headers],[OrderDateTime]],Orders[#Headers],0),FALSE))</f>
        <v>45887</v>
      </c>
      <c r="I448" t="str" cm="1">
        <f t="array" ref="I448">VLOOKUP(OrderLines[[#This Row],[OrderID]:[OrderID]],Orders[],MATCH(OrderLines[[#Headers],[Branch]],Orders[#Headers],0),FALSE)</f>
        <v>Plant 1 Canteen</v>
      </c>
      <c r="J448" cm="1">
        <f t="array" ref="J448">VLOOKUP(OrderLines[[#This Row],[OrderID]:[OrderID]],Orders[],MATCH(OrderLines[[#Headers],[DiscountPct]],Orders[#Headers],0),FALSE)</f>
        <v>0.04</v>
      </c>
      <c r="K448" t="str" cm="1">
        <f t="array" ref="K448">VLOOKUP(OrderLines[[#This Row],[OrderID]:[OrderID]],Orders[],MATCH(OrderLines[[#Headers],[PaymentType]],Orders[#Headers],0),FALSE)</f>
        <v>UPI</v>
      </c>
      <c r="L448" t="str" cm="1">
        <f t="array" ref="L448">VLOOKUP(OrderLines[[#This Row],[OrderID]:[OrderID]],Orders[],MATCH(OrderLines[[#Headers],[Shift]],Orders[#Headers],0),FALSE)</f>
        <v>Breakfast</v>
      </c>
      <c r="M448" s="8">
        <f>(OrderLines[[#This Row],[Qty]]*OrderLines[[#This Row],[UnitPrice]])*(1-OrderLines[[#This Row],[DiscountPct]])</f>
        <v>54.787199999999999</v>
      </c>
      <c r="N448" t="str">
        <f>IF(AND(COUNTIFS(OrderLines[OrderID],OrderLines[[#This Row],[OrderID]],OrderLines[Category],"Hot Meal"),COUNTIFS(OrderLines[OrderID],OrderLines[[#This Row],[OrderID]],OrderLines[Category],"Beverage")),"Combo","Single")</f>
        <v>Single</v>
      </c>
      <c r="O448" s="8" t="str" cm="1">
        <f t="array" ref="O448">IF(SUMPRODUCT(OrderLines[UnitPrice],OrderLines[Qty],OrderLines[DiscountPct],--(OrderLines[OrderID] = OrderLines[[#This Row],[OrderID]]))&gt;40,"High Discount","Ok")</f>
        <v>Ok</v>
      </c>
      <c r="P448">
        <f>OrderLines[[#This Row],[UnitCost]]*OrderLines[[#This Row],[Qty]]</f>
        <v>29.14</v>
      </c>
      <c r="Q448" s="8">
        <f>OrderLines[[#This Row],[LineNetAmount]]-OrderLines[[#This Row],[Food Cost]]</f>
        <v>25.647199999999998</v>
      </c>
    </row>
    <row r="449" spans="1:17" x14ac:dyDescent="0.3">
      <c r="A449" t="s">
        <v>214</v>
      </c>
      <c r="B449" t="s">
        <v>409</v>
      </c>
      <c r="C449">
        <v>2</v>
      </c>
      <c r="D449" cm="1">
        <f t="array" ref="D449">VLOOKUP(OrderLines[[#This Row],[SKU]:[SKU]],Menu[],MATCH(OrderLines[[#Headers],[UnitPrice]],Menu[#Headers],0),FALSE)</f>
        <v>28.43</v>
      </c>
      <c r="E449" cm="1">
        <f t="array" ref="E449">VLOOKUP(OrderLines[[#This Row],[SKU]:[SKU]],Menu[],MATCH(OrderLines[[#Headers],[UnitCost]],Menu[#Headers],0),FALSE)</f>
        <v>13.89</v>
      </c>
      <c r="F449" t="str" cm="1">
        <f t="array" ref="F449">VLOOKUP(OrderLines[[#This Row],[SKU]:[SKU]],Menu[],MATCH(OrderLines[[#Headers],[Category]],Menu[#Headers],0),FALSE)</f>
        <v>Beverage</v>
      </c>
      <c r="G449" t="str" cm="1">
        <f t="array" ref="G449">_xlfn.TEXTJOIN("+",TRUE,_xlfn._xlws.SORT(_xlfn.UNIQUE(_xlfn._xlws.FILTER(OrderLines[Category],OrderLines[OrderID]=OrderLines[[#This Row],[OrderID]]))))</f>
        <v>Beverage+Dessert+Snack</v>
      </c>
      <c r="H449" s="2" cm="1">
        <f t="array" ref="H449">INT(VLOOKUP(OrderLines[[#This Row],[OrderID]:[OrderID]],Orders[],MATCH(OrderLines[[#Headers],[OrderDateTime]],Orders[#Headers],0),FALSE))</f>
        <v>45887</v>
      </c>
      <c r="I449" t="str" cm="1">
        <f t="array" ref="I449">VLOOKUP(OrderLines[[#This Row],[OrderID]:[OrderID]],Orders[],MATCH(OrderLines[[#Headers],[Branch]],Orders[#Headers],0),FALSE)</f>
        <v>Plant 1 Canteen</v>
      </c>
      <c r="J449" cm="1">
        <f t="array" ref="J449">VLOOKUP(OrderLines[[#This Row],[OrderID]:[OrderID]],Orders[],MATCH(OrderLines[[#Headers],[DiscountPct]],Orders[#Headers],0),FALSE)</f>
        <v>0.04</v>
      </c>
      <c r="K449" t="str" cm="1">
        <f t="array" ref="K449">VLOOKUP(OrderLines[[#This Row],[OrderID]:[OrderID]],Orders[],MATCH(OrderLines[[#Headers],[PaymentType]],Orders[#Headers],0),FALSE)</f>
        <v>UPI</v>
      </c>
      <c r="L449" t="str" cm="1">
        <f t="array" ref="L449">VLOOKUP(OrderLines[[#This Row],[OrderID]:[OrderID]],Orders[],MATCH(OrderLines[[#Headers],[Shift]],Orders[#Headers],0),FALSE)</f>
        <v>Breakfast</v>
      </c>
      <c r="M449" s="8">
        <f>(OrderLines[[#This Row],[Qty]]*OrderLines[[#This Row],[UnitPrice]])*(1-OrderLines[[#This Row],[DiscountPct]])</f>
        <v>54.585599999999999</v>
      </c>
      <c r="N449" t="str">
        <f>IF(AND(COUNTIFS(OrderLines[OrderID],OrderLines[[#This Row],[OrderID]],OrderLines[Category],"Hot Meal"),COUNTIFS(OrderLines[OrderID],OrderLines[[#This Row],[OrderID]],OrderLines[Category],"Beverage")),"Combo","Single")</f>
        <v>Single</v>
      </c>
      <c r="O449" s="8" t="str" cm="1">
        <f t="array" ref="O449">IF(SUMPRODUCT(OrderLines[UnitPrice],OrderLines[Qty],OrderLines[DiscountPct],--(OrderLines[OrderID] = OrderLines[[#This Row],[OrderID]]))&gt;40,"High Discount","Ok")</f>
        <v>Ok</v>
      </c>
      <c r="P449">
        <f>OrderLines[[#This Row],[UnitCost]]*OrderLines[[#This Row],[Qty]]</f>
        <v>27.78</v>
      </c>
      <c r="Q449" s="8">
        <f>OrderLines[[#This Row],[LineNetAmount]]-OrderLines[[#This Row],[Food Cost]]</f>
        <v>26.805599999999998</v>
      </c>
    </row>
    <row r="450" spans="1:17" x14ac:dyDescent="0.3">
      <c r="A450" t="s">
        <v>214</v>
      </c>
      <c r="B450" t="s">
        <v>406</v>
      </c>
      <c r="C450">
        <v>1</v>
      </c>
      <c r="D450" cm="1">
        <f t="array" ref="D450">VLOOKUP(OrderLines[[#This Row],[SKU]:[SKU]],Menu[],MATCH(OrderLines[[#Headers],[UnitPrice]],Menu[#Headers],0),FALSE)</f>
        <v>38.06</v>
      </c>
      <c r="E450" cm="1">
        <f t="array" ref="E450">VLOOKUP(OrderLines[[#This Row],[SKU]:[SKU]],Menu[],MATCH(OrderLines[[#Headers],[UnitCost]],Menu[#Headers],0),FALSE)</f>
        <v>19.55</v>
      </c>
      <c r="F450" t="str" cm="1">
        <f t="array" ref="F450">VLOOKUP(OrderLines[[#This Row],[SKU]:[SKU]],Menu[],MATCH(OrderLines[[#Headers],[Category]],Menu[#Headers],0),FALSE)</f>
        <v>Snack</v>
      </c>
      <c r="G450" t="str" cm="1">
        <f t="array" ref="G450">_xlfn.TEXTJOIN("+",TRUE,_xlfn._xlws.SORT(_xlfn.UNIQUE(_xlfn._xlws.FILTER(OrderLines[Category],OrderLines[OrderID]=OrderLines[[#This Row],[OrderID]]))))</f>
        <v>Beverage+Dessert+Snack</v>
      </c>
      <c r="H450" s="2" cm="1">
        <f t="array" ref="H450">INT(VLOOKUP(OrderLines[[#This Row],[OrderID]:[OrderID]],Orders[],MATCH(OrderLines[[#Headers],[OrderDateTime]],Orders[#Headers],0),FALSE))</f>
        <v>45887</v>
      </c>
      <c r="I450" t="str" cm="1">
        <f t="array" ref="I450">VLOOKUP(OrderLines[[#This Row],[OrderID]:[OrderID]],Orders[],MATCH(OrderLines[[#Headers],[Branch]],Orders[#Headers],0),FALSE)</f>
        <v>Plant 1 Canteen</v>
      </c>
      <c r="J450" cm="1">
        <f t="array" ref="J450">VLOOKUP(OrderLines[[#This Row],[OrderID]:[OrderID]],Orders[],MATCH(OrderLines[[#Headers],[DiscountPct]],Orders[#Headers],0),FALSE)</f>
        <v>0.04</v>
      </c>
      <c r="K450" t="str" cm="1">
        <f t="array" ref="K450">VLOOKUP(OrderLines[[#This Row],[OrderID]:[OrderID]],Orders[],MATCH(OrderLines[[#Headers],[PaymentType]],Orders[#Headers],0),FALSE)</f>
        <v>UPI</v>
      </c>
      <c r="L450" t="str" cm="1">
        <f t="array" ref="L450">VLOOKUP(OrderLines[[#This Row],[OrderID]:[OrderID]],Orders[],MATCH(OrderLines[[#Headers],[Shift]],Orders[#Headers],0),FALSE)</f>
        <v>Breakfast</v>
      </c>
      <c r="M450" s="8">
        <f>(OrderLines[[#This Row],[Qty]]*OrderLines[[#This Row],[UnitPrice]])*(1-OrderLines[[#This Row],[DiscountPct]])</f>
        <v>36.537599999999998</v>
      </c>
      <c r="N450" t="str">
        <f>IF(AND(COUNTIFS(OrderLines[OrderID],OrderLines[[#This Row],[OrderID]],OrderLines[Category],"Hot Meal"),COUNTIFS(OrderLines[OrderID],OrderLines[[#This Row],[OrderID]],OrderLines[Category],"Beverage")),"Combo","Single")</f>
        <v>Single</v>
      </c>
      <c r="O450" s="8" t="str" cm="1">
        <f t="array" ref="O450">IF(SUMPRODUCT(OrderLines[UnitPrice],OrderLines[Qty],OrderLines[DiscountPct],--(OrderLines[OrderID] = OrderLines[[#This Row],[OrderID]]))&gt;40,"High Discount","Ok")</f>
        <v>Ok</v>
      </c>
      <c r="P450">
        <f>OrderLines[[#This Row],[UnitCost]]*OrderLines[[#This Row],[Qty]]</f>
        <v>19.55</v>
      </c>
      <c r="Q450" s="8">
        <f>OrderLines[[#This Row],[LineNetAmount]]-OrderLines[[#This Row],[Food Cost]]</f>
        <v>16.987599999999997</v>
      </c>
    </row>
    <row r="451" spans="1:17" x14ac:dyDescent="0.3">
      <c r="A451" t="s">
        <v>215</v>
      </c>
      <c r="B451" t="s">
        <v>405</v>
      </c>
      <c r="C451">
        <v>2</v>
      </c>
      <c r="D451" cm="1">
        <f t="array" ref="D451">VLOOKUP(OrderLines[[#This Row],[SKU]:[SKU]],Menu[],MATCH(OrderLines[[#Headers],[UnitPrice]],Menu[#Headers],0),FALSE)</f>
        <v>170.83</v>
      </c>
      <c r="E451" cm="1">
        <f t="array" ref="E451">VLOOKUP(OrderLines[[#This Row],[SKU]:[SKU]],Menu[],MATCH(OrderLines[[#Headers],[UnitCost]],Menu[#Headers],0),FALSE)</f>
        <v>74.069999999999993</v>
      </c>
      <c r="F451" t="str" cm="1">
        <f t="array" ref="F451">VLOOKUP(OrderLines[[#This Row],[SKU]:[SKU]],Menu[],MATCH(OrderLines[[#Headers],[Category]],Menu[#Headers],0),FALSE)</f>
        <v>Hot Meal</v>
      </c>
      <c r="G451" t="str" cm="1">
        <f t="array" ref="G451">_xlfn.TEXTJOIN("+",TRUE,_xlfn._xlws.SORT(_xlfn.UNIQUE(_xlfn._xlws.FILTER(OrderLines[Category],OrderLines[OrderID]=OrderLines[[#This Row],[OrderID]]))))</f>
        <v>Dessert+Hot Meal</v>
      </c>
      <c r="H451" s="2" cm="1">
        <f t="array" ref="H451">INT(VLOOKUP(OrderLines[[#This Row],[OrderID]:[OrderID]],Orders[],MATCH(OrderLines[[#Headers],[OrderDateTime]],Orders[#Headers],0),FALSE))</f>
        <v>45848</v>
      </c>
      <c r="I451" t="str" cm="1">
        <f t="array" ref="I451">VLOOKUP(OrderLines[[#This Row],[OrderID]:[OrderID]],Orders[],MATCH(OrderLines[[#Headers],[Branch]],Orders[#Headers],0),FALSE)</f>
        <v>Plant 2 Canteen</v>
      </c>
      <c r="J451" cm="1">
        <f t="array" ref="J451">VLOOKUP(OrderLines[[#This Row],[OrderID]:[OrderID]],Orders[],MATCH(OrderLines[[#Headers],[DiscountPct]],Orders[#Headers],0),FALSE)</f>
        <v>0.06</v>
      </c>
      <c r="K451" t="str" cm="1">
        <f t="array" ref="K451">VLOOKUP(OrderLines[[#This Row],[OrderID]:[OrderID]],Orders[],MATCH(OrderLines[[#Headers],[PaymentType]],Orders[#Headers],0),FALSE)</f>
        <v>UPI</v>
      </c>
      <c r="L451" t="str" cm="1">
        <f t="array" ref="L451">VLOOKUP(OrderLines[[#This Row],[OrderID]:[OrderID]],Orders[],MATCH(OrderLines[[#Headers],[Shift]],Orders[#Headers],0),FALSE)</f>
        <v>Dinner</v>
      </c>
      <c r="M451" s="8">
        <f>(OrderLines[[#This Row],[Qty]]*OrderLines[[#This Row],[UnitPrice]])*(1-OrderLines[[#This Row],[DiscountPct]])</f>
        <v>321.16039999999998</v>
      </c>
      <c r="N451" t="str">
        <f>IF(AND(COUNTIFS(OrderLines[OrderID],OrderLines[[#This Row],[OrderID]],OrderLines[Category],"Hot Meal"),COUNTIFS(OrderLines[OrderID],OrderLines[[#This Row],[OrderID]],OrderLines[Category],"Beverage")),"Combo","Single")</f>
        <v>Single</v>
      </c>
      <c r="O451" s="8" t="str" cm="1">
        <f t="array" ref="O451">IF(SUMPRODUCT(OrderLines[UnitPrice],OrderLines[Qty],OrderLines[DiscountPct],--(OrderLines[OrderID] = OrderLines[[#This Row],[OrderID]]))&gt;40,"High Discount","Ok")</f>
        <v>High Discount</v>
      </c>
      <c r="P451">
        <f>OrderLines[[#This Row],[UnitCost]]*OrderLines[[#This Row],[Qty]]</f>
        <v>148.13999999999999</v>
      </c>
      <c r="Q451" s="8">
        <f>OrderLines[[#This Row],[LineNetAmount]]-OrderLines[[#This Row],[Food Cost]]</f>
        <v>173.0204</v>
      </c>
    </row>
    <row r="452" spans="1:17" x14ac:dyDescent="0.3">
      <c r="A452" t="s">
        <v>215</v>
      </c>
      <c r="B452" t="s">
        <v>413</v>
      </c>
      <c r="C452">
        <v>1</v>
      </c>
      <c r="D452" cm="1">
        <f t="array" ref="D452">VLOOKUP(OrderLines[[#This Row],[SKU]:[SKU]],Menu[],MATCH(OrderLines[[#Headers],[UnitPrice]],Menu[#Headers],0),FALSE)</f>
        <v>54.2</v>
      </c>
      <c r="E452" cm="1">
        <f t="array" ref="E452">VLOOKUP(OrderLines[[#This Row],[SKU]:[SKU]],Menu[],MATCH(OrderLines[[#Headers],[UnitCost]],Menu[#Headers],0),FALSE)</f>
        <v>21.95</v>
      </c>
      <c r="F452" t="str" cm="1">
        <f t="array" ref="F452">VLOOKUP(OrderLines[[#This Row],[SKU]:[SKU]],Menu[],MATCH(OrderLines[[#Headers],[Category]],Menu[#Headers],0),FALSE)</f>
        <v>Dessert</v>
      </c>
      <c r="G452" t="str" cm="1">
        <f t="array" ref="G452">_xlfn.TEXTJOIN("+",TRUE,_xlfn._xlws.SORT(_xlfn.UNIQUE(_xlfn._xlws.FILTER(OrderLines[Category],OrderLines[OrderID]=OrderLines[[#This Row],[OrderID]]))))</f>
        <v>Dessert+Hot Meal</v>
      </c>
      <c r="H452" s="2" cm="1">
        <f t="array" ref="H452">INT(VLOOKUP(OrderLines[[#This Row],[OrderID]:[OrderID]],Orders[],MATCH(OrderLines[[#Headers],[OrderDateTime]],Orders[#Headers],0),FALSE))</f>
        <v>45848</v>
      </c>
      <c r="I452" t="str" cm="1">
        <f t="array" ref="I452">VLOOKUP(OrderLines[[#This Row],[OrderID]:[OrderID]],Orders[],MATCH(OrderLines[[#Headers],[Branch]],Orders[#Headers],0),FALSE)</f>
        <v>Plant 2 Canteen</v>
      </c>
      <c r="J452" cm="1">
        <f t="array" ref="J452">VLOOKUP(OrderLines[[#This Row],[OrderID]:[OrderID]],Orders[],MATCH(OrderLines[[#Headers],[DiscountPct]],Orders[#Headers],0),FALSE)</f>
        <v>0.06</v>
      </c>
      <c r="K452" t="str" cm="1">
        <f t="array" ref="K452">VLOOKUP(OrderLines[[#This Row],[OrderID]:[OrderID]],Orders[],MATCH(OrderLines[[#Headers],[PaymentType]],Orders[#Headers],0),FALSE)</f>
        <v>UPI</v>
      </c>
      <c r="L452" t="str" cm="1">
        <f t="array" ref="L452">VLOOKUP(OrderLines[[#This Row],[OrderID]:[OrderID]],Orders[],MATCH(OrderLines[[#Headers],[Shift]],Orders[#Headers],0),FALSE)</f>
        <v>Dinner</v>
      </c>
      <c r="M452" s="8">
        <f>(OrderLines[[#This Row],[Qty]]*OrderLines[[#This Row],[UnitPrice]])*(1-OrderLines[[#This Row],[DiscountPct]])</f>
        <v>50.948</v>
      </c>
      <c r="N452" t="str">
        <f>IF(AND(COUNTIFS(OrderLines[OrderID],OrderLines[[#This Row],[OrderID]],OrderLines[Category],"Hot Meal"),COUNTIFS(OrderLines[OrderID],OrderLines[[#This Row],[OrderID]],OrderLines[Category],"Beverage")),"Combo","Single")</f>
        <v>Single</v>
      </c>
      <c r="O452" s="8" t="str" cm="1">
        <f t="array" ref="O452">IF(SUMPRODUCT(OrderLines[UnitPrice],OrderLines[Qty],OrderLines[DiscountPct],--(OrderLines[OrderID] = OrderLines[[#This Row],[OrderID]]))&gt;40,"High Discount","Ok")</f>
        <v>High Discount</v>
      </c>
      <c r="P452">
        <f>OrderLines[[#This Row],[UnitCost]]*OrderLines[[#This Row],[Qty]]</f>
        <v>21.95</v>
      </c>
      <c r="Q452" s="8">
        <f>OrderLines[[#This Row],[LineNetAmount]]-OrderLines[[#This Row],[Food Cost]]</f>
        <v>28.998000000000001</v>
      </c>
    </row>
    <row r="453" spans="1:17" x14ac:dyDescent="0.3">
      <c r="A453" t="s">
        <v>215</v>
      </c>
      <c r="B453" t="s">
        <v>417</v>
      </c>
      <c r="C453">
        <v>2</v>
      </c>
      <c r="D453" cm="1">
        <f t="array" ref="D453">VLOOKUP(OrderLines[[#This Row],[SKU]:[SKU]],Menu[],MATCH(OrderLines[[#Headers],[UnitPrice]],Menu[#Headers],0),FALSE)</f>
        <v>146.4</v>
      </c>
      <c r="E453" cm="1">
        <f t="array" ref="E453">VLOOKUP(OrderLines[[#This Row],[SKU]:[SKU]],Menu[],MATCH(OrderLines[[#Headers],[UnitCost]],Menu[#Headers],0),FALSE)</f>
        <v>80.92</v>
      </c>
      <c r="F453" t="str" cm="1">
        <f t="array" ref="F453">VLOOKUP(OrderLines[[#This Row],[SKU]:[SKU]],Menu[],MATCH(OrderLines[[#Headers],[Category]],Menu[#Headers],0),FALSE)</f>
        <v>Hot Meal</v>
      </c>
      <c r="G453" t="str" cm="1">
        <f t="array" ref="G453">_xlfn.TEXTJOIN("+",TRUE,_xlfn._xlws.SORT(_xlfn.UNIQUE(_xlfn._xlws.FILTER(OrderLines[Category],OrderLines[OrderID]=OrderLines[[#This Row],[OrderID]]))))</f>
        <v>Dessert+Hot Meal</v>
      </c>
      <c r="H453" s="2" cm="1">
        <f t="array" ref="H453">INT(VLOOKUP(OrderLines[[#This Row],[OrderID]:[OrderID]],Orders[],MATCH(OrderLines[[#Headers],[OrderDateTime]],Orders[#Headers],0),FALSE))</f>
        <v>45848</v>
      </c>
      <c r="I453" t="str" cm="1">
        <f t="array" ref="I453">VLOOKUP(OrderLines[[#This Row],[OrderID]:[OrderID]],Orders[],MATCH(OrderLines[[#Headers],[Branch]],Orders[#Headers],0),FALSE)</f>
        <v>Plant 2 Canteen</v>
      </c>
      <c r="J453" cm="1">
        <f t="array" ref="J453">VLOOKUP(OrderLines[[#This Row],[OrderID]:[OrderID]],Orders[],MATCH(OrderLines[[#Headers],[DiscountPct]],Orders[#Headers],0),FALSE)</f>
        <v>0.06</v>
      </c>
      <c r="K453" t="str" cm="1">
        <f t="array" ref="K453">VLOOKUP(OrderLines[[#This Row],[OrderID]:[OrderID]],Orders[],MATCH(OrderLines[[#Headers],[PaymentType]],Orders[#Headers],0),FALSE)</f>
        <v>UPI</v>
      </c>
      <c r="L453" t="str" cm="1">
        <f t="array" ref="L453">VLOOKUP(OrderLines[[#This Row],[OrderID]:[OrderID]],Orders[],MATCH(OrderLines[[#Headers],[Shift]],Orders[#Headers],0),FALSE)</f>
        <v>Dinner</v>
      </c>
      <c r="M453" s="8">
        <f>(OrderLines[[#This Row],[Qty]]*OrderLines[[#This Row],[UnitPrice]])*(1-OrderLines[[#This Row],[DiscountPct]])</f>
        <v>275.23199999999997</v>
      </c>
      <c r="N453" t="str">
        <f>IF(AND(COUNTIFS(OrderLines[OrderID],OrderLines[[#This Row],[OrderID]],OrderLines[Category],"Hot Meal"),COUNTIFS(OrderLines[OrderID],OrderLines[[#This Row],[OrderID]],OrderLines[Category],"Beverage")),"Combo","Single")</f>
        <v>Single</v>
      </c>
      <c r="O453" s="8" t="str" cm="1">
        <f t="array" ref="O453">IF(SUMPRODUCT(OrderLines[UnitPrice],OrderLines[Qty],OrderLines[DiscountPct],--(OrderLines[OrderID] = OrderLines[[#This Row],[OrderID]]))&gt;40,"High Discount","Ok")</f>
        <v>High Discount</v>
      </c>
      <c r="P453">
        <f>OrderLines[[#This Row],[UnitCost]]*OrderLines[[#This Row],[Qty]]</f>
        <v>161.84</v>
      </c>
      <c r="Q453" s="8">
        <f>OrderLines[[#This Row],[LineNetAmount]]-OrderLines[[#This Row],[Food Cost]]</f>
        <v>113.39199999999997</v>
      </c>
    </row>
    <row r="454" spans="1:17" x14ac:dyDescent="0.3">
      <c r="A454" t="s">
        <v>215</v>
      </c>
      <c r="B454" t="s">
        <v>414</v>
      </c>
      <c r="C454">
        <v>3</v>
      </c>
      <c r="D454" cm="1">
        <f t="array" ref="D454">VLOOKUP(OrderLines[[#This Row],[SKU]:[SKU]],Menu[],MATCH(OrderLines[[#Headers],[UnitPrice]],Menu[#Headers],0),FALSE)</f>
        <v>116.8</v>
      </c>
      <c r="E454" cm="1">
        <f t="array" ref="E454">VLOOKUP(OrderLines[[#This Row],[SKU]:[SKU]],Menu[],MATCH(OrderLines[[#Headers],[UnitCost]],Menu[#Headers],0),FALSE)</f>
        <v>48.97</v>
      </c>
      <c r="F454" t="str" cm="1">
        <f t="array" ref="F454">VLOOKUP(OrderLines[[#This Row],[SKU]:[SKU]],Menu[],MATCH(OrderLines[[#Headers],[Category]],Menu[#Headers],0),FALSE)</f>
        <v>Dessert</v>
      </c>
      <c r="G454" t="str" cm="1">
        <f t="array" ref="G454">_xlfn.TEXTJOIN("+",TRUE,_xlfn._xlws.SORT(_xlfn.UNIQUE(_xlfn._xlws.FILTER(OrderLines[Category],OrderLines[OrderID]=OrderLines[[#This Row],[OrderID]]))))</f>
        <v>Dessert+Hot Meal</v>
      </c>
      <c r="H454" s="2" cm="1">
        <f t="array" ref="H454">INT(VLOOKUP(OrderLines[[#This Row],[OrderID]:[OrderID]],Orders[],MATCH(OrderLines[[#Headers],[OrderDateTime]],Orders[#Headers],0),FALSE))</f>
        <v>45848</v>
      </c>
      <c r="I454" t="str" cm="1">
        <f t="array" ref="I454">VLOOKUP(OrderLines[[#This Row],[OrderID]:[OrderID]],Orders[],MATCH(OrderLines[[#Headers],[Branch]],Orders[#Headers],0),FALSE)</f>
        <v>Plant 2 Canteen</v>
      </c>
      <c r="J454" cm="1">
        <f t="array" ref="J454">VLOOKUP(OrderLines[[#This Row],[OrderID]:[OrderID]],Orders[],MATCH(OrderLines[[#Headers],[DiscountPct]],Orders[#Headers],0),FALSE)</f>
        <v>0.06</v>
      </c>
      <c r="K454" t="str" cm="1">
        <f t="array" ref="K454">VLOOKUP(OrderLines[[#This Row],[OrderID]:[OrderID]],Orders[],MATCH(OrderLines[[#Headers],[PaymentType]],Orders[#Headers],0),FALSE)</f>
        <v>UPI</v>
      </c>
      <c r="L454" t="str" cm="1">
        <f t="array" ref="L454">VLOOKUP(OrderLines[[#This Row],[OrderID]:[OrderID]],Orders[],MATCH(OrderLines[[#Headers],[Shift]],Orders[#Headers],0),FALSE)</f>
        <v>Dinner</v>
      </c>
      <c r="M454" s="8">
        <f>(OrderLines[[#This Row],[Qty]]*OrderLines[[#This Row],[UnitPrice]])*(1-OrderLines[[#This Row],[DiscountPct]])</f>
        <v>329.37599999999998</v>
      </c>
      <c r="N454" t="str">
        <f>IF(AND(COUNTIFS(OrderLines[OrderID],OrderLines[[#This Row],[OrderID]],OrderLines[Category],"Hot Meal"),COUNTIFS(OrderLines[OrderID],OrderLines[[#This Row],[OrderID]],OrderLines[Category],"Beverage")),"Combo","Single")</f>
        <v>Single</v>
      </c>
      <c r="O454" s="8" t="str" cm="1">
        <f t="array" ref="O454">IF(SUMPRODUCT(OrderLines[UnitPrice],OrderLines[Qty],OrderLines[DiscountPct],--(OrderLines[OrderID] = OrderLines[[#This Row],[OrderID]]))&gt;40,"High Discount","Ok")</f>
        <v>High Discount</v>
      </c>
      <c r="P454">
        <f>OrderLines[[#This Row],[UnitCost]]*OrderLines[[#This Row],[Qty]]</f>
        <v>146.91</v>
      </c>
      <c r="Q454" s="8">
        <f>OrderLines[[#This Row],[LineNetAmount]]-OrderLines[[#This Row],[Food Cost]]</f>
        <v>182.46599999999998</v>
      </c>
    </row>
    <row r="455" spans="1:17" x14ac:dyDescent="0.3">
      <c r="A455" t="s">
        <v>216</v>
      </c>
      <c r="B455" t="s">
        <v>407</v>
      </c>
      <c r="C455">
        <v>1</v>
      </c>
      <c r="D455" cm="1">
        <f t="array" ref="D455">VLOOKUP(OrderLines[[#This Row],[SKU]:[SKU]],Menu[],MATCH(OrderLines[[#Headers],[UnitPrice]],Menu[#Headers],0),FALSE)</f>
        <v>246.09</v>
      </c>
      <c r="E455" cm="1">
        <f t="array" ref="E455">VLOOKUP(OrderLines[[#This Row],[SKU]:[SKU]],Menu[],MATCH(OrderLines[[#Headers],[UnitCost]],Menu[#Headers],0),FALSE)</f>
        <v>112.08</v>
      </c>
      <c r="F455" t="str" cm="1">
        <f t="array" ref="F455">VLOOKUP(OrderLines[[#This Row],[SKU]:[SKU]],Menu[],MATCH(OrderLines[[#Headers],[Category]],Menu[#Headers],0),FALSE)</f>
        <v>Hot Meal</v>
      </c>
      <c r="G455" t="str" cm="1">
        <f t="array" ref="G455">_xlfn.TEXTJOIN("+",TRUE,_xlfn._xlws.SORT(_xlfn.UNIQUE(_xlfn._xlws.FILTER(OrderLines[Category],OrderLines[OrderID]=OrderLines[[#This Row],[OrderID]]))))</f>
        <v>Hot Meal+Snack</v>
      </c>
      <c r="H455" s="2" cm="1">
        <f t="array" ref="H455">INT(VLOOKUP(OrderLines[[#This Row],[OrderID]:[OrderID]],Orders[],MATCH(OrderLines[[#Headers],[OrderDateTime]],Orders[#Headers],0),FALSE))</f>
        <v>45840</v>
      </c>
      <c r="I455" t="str" cm="1">
        <f t="array" ref="I455">VLOOKUP(OrderLines[[#This Row],[OrderID]:[OrderID]],Orders[],MATCH(OrderLines[[#Headers],[Branch]],Orders[#Headers],0),FALSE)</f>
        <v>Head Office Café</v>
      </c>
      <c r="J455" cm="1">
        <f t="array" ref="J455">VLOOKUP(OrderLines[[#This Row],[OrderID]:[OrderID]],Orders[],MATCH(OrderLines[[#Headers],[DiscountPct]],Orders[#Headers],0),FALSE)</f>
        <v>0.15</v>
      </c>
      <c r="K455" t="str" cm="1">
        <f t="array" ref="K455">VLOOKUP(OrderLines[[#This Row],[OrderID]:[OrderID]],Orders[],MATCH(OrderLines[[#Headers],[PaymentType]],Orders[#Headers],0),FALSE)</f>
        <v>Card</v>
      </c>
      <c r="L455" t="str" cm="1">
        <f t="array" ref="L455">VLOOKUP(OrderLines[[#This Row],[OrderID]:[OrderID]],Orders[],MATCH(OrderLines[[#Headers],[Shift]],Orders[#Headers],0),FALSE)</f>
        <v>Dinner</v>
      </c>
      <c r="M455" s="8">
        <f>(OrderLines[[#This Row],[Qty]]*OrderLines[[#This Row],[UnitPrice]])*(1-OrderLines[[#This Row],[DiscountPct]])</f>
        <v>209.1765</v>
      </c>
      <c r="N455" t="str">
        <f>IF(AND(COUNTIFS(OrderLines[OrderID],OrderLines[[#This Row],[OrderID]],OrderLines[Category],"Hot Meal"),COUNTIFS(OrderLines[OrderID],OrderLines[[#This Row],[OrderID]],OrderLines[Category],"Beverage")),"Combo","Single")</f>
        <v>Single</v>
      </c>
      <c r="O455" s="8" t="str" cm="1">
        <f t="array" ref="O455">IF(SUMPRODUCT(OrderLines[UnitPrice],OrderLines[Qty],OrderLines[DiscountPct],--(OrderLines[OrderID] = OrderLines[[#This Row],[OrderID]]))&gt;40,"High Discount","Ok")</f>
        <v>High Discount</v>
      </c>
      <c r="P455">
        <f>OrderLines[[#This Row],[UnitCost]]*OrderLines[[#This Row],[Qty]]</f>
        <v>112.08</v>
      </c>
      <c r="Q455" s="8">
        <f>OrderLines[[#This Row],[LineNetAmount]]-OrderLines[[#This Row],[Food Cost]]</f>
        <v>97.096500000000006</v>
      </c>
    </row>
    <row r="456" spans="1:17" x14ac:dyDescent="0.3">
      <c r="A456" t="s">
        <v>216</v>
      </c>
      <c r="B456" t="s">
        <v>419</v>
      </c>
      <c r="C456">
        <v>2</v>
      </c>
      <c r="D456" cm="1">
        <f t="array" ref="D456">VLOOKUP(OrderLines[[#This Row],[SKU]:[SKU]],Menu[],MATCH(OrderLines[[#Headers],[UnitPrice]],Menu[#Headers],0),FALSE)</f>
        <v>50.19</v>
      </c>
      <c r="E456" cm="1">
        <f t="array" ref="E456">VLOOKUP(OrderLines[[#This Row],[SKU]:[SKU]],Menu[],MATCH(OrderLines[[#Headers],[UnitCost]],Menu[#Headers],0),FALSE)</f>
        <v>22.61</v>
      </c>
      <c r="F456" t="str" cm="1">
        <f t="array" ref="F456">VLOOKUP(OrderLines[[#This Row],[SKU]:[SKU]],Menu[],MATCH(OrderLines[[#Headers],[Category]],Menu[#Headers],0),FALSE)</f>
        <v>Snack</v>
      </c>
      <c r="G456" t="str" cm="1">
        <f t="array" ref="G456">_xlfn.TEXTJOIN("+",TRUE,_xlfn._xlws.SORT(_xlfn.UNIQUE(_xlfn._xlws.FILTER(OrderLines[Category],OrderLines[OrderID]=OrderLines[[#This Row],[OrderID]]))))</f>
        <v>Hot Meal+Snack</v>
      </c>
      <c r="H456" s="2" cm="1">
        <f t="array" ref="H456">INT(VLOOKUP(OrderLines[[#This Row],[OrderID]:[OrderID]],Orders[],MATCH(OrderLines[[#Headers],[OrderDateTime]],Orders[#Headers],0),FALSE))</f>
        <v>45840</v>
      </c>
      <c r="I456" t="str" cm="1">
        <f t="array" ref="I456">VLOOKUP(OrderLines[[#This Row],[OrderID]:[OrderID]],Orders[],MATCH(OrderLines[[#Headers],[Branch]],Orders[#Headers],0),FALSE)</f>
        <v>Head Office Café</v>
      </c>
      <c r="J456" cm="1">
        <f t="array" ref="J456">VLOOKUP(OrderLines[[#This Row],[OrderID]:[OrderID]],Orders[],MATCH(OrderLines[[#Headers],[DiscountPct]],Orders[#Headers],0),FALSE)</f>
        <v>0.15</v>
      </c>
      <c r="K456" t="str" cm="1">
        <f t="array" ref="K456">VLOOKUP(OrderLines[[#This Row],[OrderID]:[OrderID]],Orders[],MATCH(OrderLines[[#Headers],[PaymentType]],Orders[#Headers],0),FALSE)</f>
        <v>Card</v>
      </c>
      <c r="L456" t="str" cm="1">
        <f t="array" ref="L456">VLOOKUP(OrderLines[[#This Row],[OrderID]:[OrderID]],Orders[],MATCH(OrderLines[[#Headers],[Shift]],Orders[#Headers],0),FALSE)</f>
        <v>Dinner</v>
      </c>
      <c r="M456" s="8">
        <f>(OrderLines[[#This Row],[Qty]]*OrderLines[[#This Row],[UnitPrice]])*(1-OrderLines[[#This Row],[DiscountPct]])</f>
        <v>85.322999999999993</v>
      </c>
      <c r="N456" t="str">
        <f>IF(AND(COUNTIFS(OrderLines[OrderID],OrderLines[[#This Row],[OrderID]],OrderLines[Category],"Hot Meal"),COUNTIFS(OrderLines[OrderID],OrderLines[[#This Row],[OrderID]],OrderLines[Category],"Beverage")),"Combo","Single")</f>
        <v>Single</v>
      </c>
      <c r="O456" s="8" t="str" cm="1">
        <f t="array" ref="O456">IF(SUMPRODUCT(OrderLines[UnitPrice],OrderLines[Qty],OrderLines[DiscountPct],--(OrderLines[OrderID] = OrderLines[[#This Row],[OrderID]]))&gt;40,"High Discount","Ok")</f>
        <v>High Discount</v>
      </c>
      <c r="P456">
        <f>OrderLines[[#This Row],[UnitCost]]*OrderLines[[#This Row],[Qty]]</f>
        <v>45.22</v>
      </c>
      <c r="Q456" s="8">
        <f>OrderLines[[#This Row],[LineNetAmount]]-OrderLines[[#This Row],[Food Cost]]</f>
        <v>40.102999999999994</v>
      </c>
    </row>
    <row r="457" spans="1:17" x14ac:dyDescent="0.3">
      <c r="A457" t="s">
        <v>216</v>
      </c>
      <c r="B457" t="s">
        <v>401</v>
      </c>
      <c r="C457">
        <v>1</v>
      </c>
      <c r="D457" cm="1">
        <f t="array" ref="D457">VLOOKUP(OrderLines[[#This Row],[SKU]:[SKU]],Menu[],MATCH(OrderLines[[#Headers],[UnitPrice]],Menu[#Headers],0),FALSE)</f>
        <v>52.45</v>
      </c>
      <c r="E457" cm="1">
        <f t="array" ref="E457">VLOOKUP(OrderLines[[#This Row],[SKU]:[SKU]],Menu[],MATCH(OrderLines[[#Headers],[UnitCost]],Menu[#Headers],0),FALSE)</f>
        <v>25.8</v>
      </c>
      <c r="F457" t="str" cm="1">
        <f t="array" ref="F457">VLOOKUP(OrderLines[[#This Row],[SKU]:[SKU]],Menu[],MATCH(OrderLines[[#Headers],[Category]],Menu[#Headers],0),FALSE)</f>
        <v>Snack</v>
      </c>
      <c r="G457" t="str" cm="1">
        <f t="array" ref="G457">_xlfn.TEXTJOIN("+",TRUE,_xlfn._xlws.SORT(_xlfn.UNIQUE(_xlfn._xlws.FILTER(OrderLines[Category],OrderLines[OrderID]=OrderLines[[#This Row],[OrderID]]))))</f>
        <v>Hot Meal+Snack</v>
      </c>
      <c r="H457" s="2" cm="1">
        <f t="array" ref="H457">INT(VLOOKUP(OrderLines[[#This Row],[OrderID]:[OrderID]],Orders[],MATCH(OrderLines[[#Headers],[OrderDateTime]],Orders[#Headers],0),FALSE))</f>
        <v>45840</v>
      </c>
      <c r="I457" t="str" cm="1">
        <f t="array" ref="I457">VLOOKUP(OrderLines[[#This Row],[OrderID]:[OrderID]],Orders[],MATCH(OrderLines[[#Headers],[Branch]],Orders[#Headers],0),FALSE)</f>
        <v>Head Office Café</v>
      </c>
      <c r="J457" cm="1">
        <f t="array" ref="J457">VLOOKUP(OrderLines[[#This Row],[OrderID]:[OrderID]],Orders[],MATCH(OrderLines[[#Headers],[DiscountPct]],Orders[#Headers],0),FALSE)</f>
        <v>0.15</v>
      </c>
      <c r="K457" t="str" cm="1">
        <f t="array" ref="K457">VLOOKUP(OrderLines[[#This Row],[OrderID]:[OrderID]],Orders[],MATCH(OrderLines[[#Headers],[PaymentType]],Orders[#Headers],0),FALSE)</f>
        <v>Card</v>
      </c>
      <c r="L457" t="str" cm="1">
        <f t="array" ref="L457">VLOOKUP(OrderLines[[#This Row],[OrderID]:[OrderID]],Orders[],MATCH(OrderLines[[#Headers],[Shift]],Orders[#Headers],0),FALSE)</f>
        <v>Dinner</v>
      </c>
      <c r="M457" s="8">
        <f>(OrderLines[[#This Row],[Qty]]*OrderLines[[#This Row],[UnitPrice]])*(1-OrderLines[[#This Row],[DiscountPct]])</f>
        <v>44.582500000000003</v>
      </c>
      <c r="N457" t="str">
        <f>IF(AND(COUNTIFS(OrderLines[OrderID],OrderLines[[#This Row],[OrderID]],OrderLines[Category],"Hot Meal"),COUNTIFS(OrderLines[OrderID],OrderLines[[#This Row],[OrderID]],OrderLines[Category],"Beverage")),"Combo","Single")</f>
        <v>Single</v>
      </c>
      <c r="O457" s="8" t="str" cm="1">
        <f t="array" ref="O457">IF(SUMPRODUCT(OrderLines[UnitPrice],OrderLines[Qty],OrderLines[DiscountPct],--(OrderLines[OrderID] = OrderLines[[#This Row],[OrderID]]))&gt;40,"High Discount","Ok")</f>
        <v>High Discount</v>
      </c>
      <c r="P457">
        <f>OrderLines[[#This Row],[UnitCost]]*OrderLines[[#This Row],[Qty]]</f>
        <v>25.8</v>
      </c>
      <c r="Q457" s="8">
        <f>OrderLines[[#This Row],[LineNetAmount]]-OrderLines[[#This Row],[Food Cost]]</f>
        <v>18.782500000000002</v>
      </c>
    </row>
    <row r="458" spans="1:17" x14ac:dyDescent="0.3">
      <c r="A458" t="s">
        <v>217</v>
      </c>
      <c r="B458" t="s">
        <v>409</v>
      </c>
      <c r="C458">
        <v>1</v>
      </c>
      <c r="D458" cm="1">
        <f t="array" ref="D458">VLOOKUP(OrderLines[[#This Row],[SKU]:[SKU]],Menu[],MATCH(OrderLines[[#Headers],[UnitPrice]],Menu[#Headers],0),FALSE)</f>
        <v>28.43</v>
      </c>
      <c r="E458" cm="1">
        <f t="array" ref="E458">VLOOKUP(OrderLines[[#This Row],[SKU]:[SKU]],Menu[],MATCH(OrderLines[[#Headers],[UnitCost]],Menu[#Headers],0),FALSE)</f>
        <v>13.89</v>
      </c>
      <c r="F458" t="str" cm="1">
        <f t="array" ref="F458">VLOOKUP(OrderLines[[#This Row],[SKU]:[SKU]],Menu[],MATCH(OrderLines[[#Headers],[Category]],Menu[#Headers],0),FALSE)</f>
        <v>Beverage</v>
      </c>
      <c r="G458" t="str" cm="1">
        <f t="array" ref="G458">_xlfn.TEXTJOIN("+",TRUE,_xlfn._xlws.SORT(_xlfn.UNIQUE(_xlfn._xlws.FILTER(OrderLines[Category],OrderLines[OrderID]=OrderLines[[#This Row],[OrderID]]))))</f>
        <v>Beverage</v>
      </c>
      <c r="H458" s="2" cm="1">
        <f t="array" ref="H458">INT(VLOOKUP(OrderLines[[#This Row],[OrderID]:[OrderID]],Orders[],MATCH(OrderLines[[#Headers],[OrderDateTime]],Orders[#Headers],0),FALSE))</f>
        <v>45846</v>
      </c>
      <c r="I458" t="str" cm="1">
        <f t="array" ref="I458">VLOOKUP(OrderLines[[#This Row],[OrderID]:[OrderID]],Orders[],MATCH(OrderLines[[#Headers],[Branch]],Orders[#Headers],0),FALSE)</f>
        <v>Plant 2 Canteen</v>
      </c>
      <c r="J458" cm="1">
        <f t="array" ref="J458">VLOOKUP(OrderLines[[#This Row],[OrderID]:[OrderID]],Orders[],MATCH(OrderLines[[#Headers],[DiscountPct]],Orders[#Headers],0),FALSE)</f>
        <v>0</v>
      </c>
      <c r="K458" t="str" cm="1">
        <f t="array" ref="K458">VLOOKUP(OrderLines[[#This Row],[OrderID]:[OrderID]],Orders[],MATCH(OrderLines[[#Headers],[PaymentType]],Orders[#Headers],0),FALSE)</f>
        <v>Card</v>
      </c>
      <c r="L458" t="str" cm="1">
        <f t="array" ref="L458">VLOOKUP(OrderLines[[#This Row],[OrderID]:[OrderID]],Orders[],MATCH(OrderLines[[#Headers],[Shift]],Orders[#Headers],0),FALSE)</f>
        <v>Lunch</v>
      </c>
      <c r="M458" s="8">
        <f>(OrderLines[[#This Row],[Qty]]*OrderLines[[#This Row],[UnitPrice]])*(1-OrderLines[[#This Row],[DiscountPct]])</f>
        <v>28.43</v>
      </c>
      <c r="N458" t="str">
        <f>IF(AND(COUNTIFS(OrderLines[OrderID],OrderLines[[#This Row],[OrderID]],OrderLines[Category],"Hot Meal"),COUNTIFS(OrderLines[OrderID],OrderLines[[#This Row],[OrderID]],OrderLines[Category],"Beverage")),"Combo","Single")</f>
        <v>Single</v>
      </c>
      <c r="O458" s="8" t="str" cm="1">
        <f t="array" ref="O458">IF(SUMPRODUCT(OrderLines[UnitPrice],OrderLines[Qty],OrderLines[DiscountPct],--(OrderLines[OrderID] = OrderLines[[#This Row],[OrderID]]))&gt;40,"High Discount","Ok")</f>
        <v>Ok</v>
      </c>
      <c r="P458">
        <f>OrderLines[[#This Row],[UnitCost]]*OrderLines[[#This Row],[Qty]]</f>
        <v>13.89</v>
      </c>
      <c r="Q458" s="8">
        <f>OrderLines[[#This Row],[LineNetAmount]]-OrderLines[[#This Row],[Food Cost]]</f>
        <v>14.54</v>
      </c>
    </row>
    <row r="459" spans="1:17" x14ac:dyDescent="0.3">
      <c r="A459" t="s">
        <v>218</v>
      </c>
      <c r="B459" t="s">
        <v>416</v>
      </c>
      <c r="C459">
        <v>3</v>
      </c>
      <c r="D459" cm="1">
        <f t="array" ref="D459">VLOOKUP(OrderLines[[#This Row],[SKU]:[SKU]],Menu[],MATCH(OrderLines[[#Headers],[UnitPrice]],Menu[#Headers],0),FALSE)</f>
        <v>227.61</v>
      </c>
      <c r="E459" cm="1">
        <f t="array" ref="E459">VLOOKUP(OrderLines[[#This Row],[SKU]:[SKU]],Menu[],MATCH(OrderLines[[#Headers],[UnitCost]],Menu[#Headers],0),FALSE)</f>
        <v>96.22</v>
      </c>
      <c r="F459" t="str" cm="1">
        <f t="array" ref="F459">VLOOKUP(OrderLines[[#This Row],[SKU]:[SKU]],Menu[],MATCH(OrderLines[[#Headers],[Category]],Menu[#Headers],0),FALSE)</f>
        <v>Hot Meal</v>
      </c>
      <c r="G459" t="str" cm="1">
        <f t="array" ref="G459">_xlfn.TEXTJOIN("+",TRUE,_xlfn._xlws.SORT(_xlfn.UNIQUE(_xlfn._xlws.FILTER(OrderLines[Category],OrderLines[OrderID]=OrderLines[[#This Row],[OrderID]]))))</f>
        <v>Dessert+Hot Meal</v>
      </c>
      <c r="H459" s="2" cm="1">
        <f t="array" ref="H459">INT(VLOOKUP(OrderLines[[#This Row],[OrderID]:[OrderID]],Orders[],MATCH(OrderLines[[#Headers],[OrderDateTime]],Orders[#Headers],0),FALSE))</f>
        <v>45847</v>
      </c>
      <c r="I459" t="str" cm="1">
        <f t="array" ref="I459">VLOOKUP(OrderLines[[#This Row],[OrderID]:[OrderID]],Orders[],MATCH(OrderLines[[#Headers],[Branch]],Orders[#Headers],0),FALSE)</f>
        <v>Plant 2 Canteen</v>
      </c>
      <c r="J459" cm="1">
        <f t="array" ref="J459">VLOOKUP(OrderLines[[#This Row],[OrderID]:[OrderID]],Orders[],MATCH(OrderLines[[#Headers],[DiscountPct]],Orders[#Headers],0),FALSE)</f>
        <v>0.09</v>
      </c>
      <c r="K459" t="str" cm="1">
        <f t="array" ref="K459">VLOOKUP(OrderLines[[#This Row],[OrderID]:[OrderID]],Orders[],MATCH(OrderLines[[#Headers],[PaymentType]],Orders[#Headers],0),FALSE)</f>
        <v>UPI</v>
      </c>
      <c r="L459" t="str" cm="1">
        <f t="array" ref="L459">VLOOKUP(OrderLines[[#This Row],[OrderID]:[OrderID]],Orders[],MATCH(OrderLines[[#Headers],[Shift]],Orders[#Headers],0),FALSE)</f>
        <v>Breakfast</v>
      </c>
      <c r="M459" s="8">
        <f>(OrderLines[[#This Row],[Qty]]*OrderLines[[#This Row],[UnitPrice]])*(1-OrderLines[[#This Row],[DiscountPct]])</f>
        <v>621.37530000000004</v>
      </c>
      <c r="N459" t="str">
        <f>IF(AND(COUNTIFS(OrderLines[OrderID],OrderLines[[#This Row],[OrderID]],OrderLines[Category],"Hot Meal"),COUNTIFS(OrderLines[OrderID],OrderLines[[#This Row],[OrderID]],OrderLines[Category],"Beverage")),"Combo","Single")</f>
        <v>Single</v>
      </c>
      <c r="O459" s="8" t="str" cm="1">
        <f t="array" ref="O459">IF(SUMPRODUCT(OrderLines[UnitPrice],OrderLines[Qty],OrderLines[DiscountPct],--(OrderLines[OrderID] = OrderLines[[#This Row],[OrderID]]))&gt;40,"High Discount","Ok")</f>
        <v>High Discount</v>
      </c>
      <c r="P459">
        <f>OrderLines[[#This Row],[UnitCost]]*OrderLines[[#This Row],[Qty]]</f>
        <v>288.65999999999997</v>
      </c>
      <c r="Q459" s="8">
        <f>OrderLines[[#This Row],[LineNetAmount]]-OrderLines[[#This Row],[Food Cost]]</f>
        <v>332.71530000000007</v>
      </c>
    </row>
    <row r="460" spans="1:17" x14ac:dyDescent="0.3">
      <c r="A460" t="s">
        <v>218</v>
      </c>
      <c r="B460" t="s">
        <v>407</v>
      </c>
      <c r="C460">
        <v>1</v>
      </c>
      <c r="D460" cm="1">
        <f t="array" ref="D460">VLOOKUP(OrderLines[[#This Row],[SKU]:[SKU]],Menu[],MATCH(OrderLines[[#Headers],[UnitPrice]],Menu[#Headers],0),FALSE)</f>
        <v>246.09</v>
      </c>
      <c r="E460" cm="1">
        <f t="array" ref="E460">VLOOKUP(OrderLines[[#This Row],[SKU]:[SKU]],Menu[],MATCH(OrderLines[[#Headers],[UnitCost]],Menu[#Headers],0),FALSE)</f>
        <v>112.08</v>
      </c>
      <c r="F460" t="str" cm="1">
        <f t="array" ref="F460">VLOOKUP(OrderLines[[#This Row],[SKU]:[SKU]],Menu[],MATCH(OrderLines[[#Headers],[Category]],Menu[#Headers],0),FALSE)</f>
        <v>Hot Meal</v>
      </c>
      <c r="G460" t="str" cm="1">
        <f t="array" ref="G460">_xlfn.TEXTJOIN("+",TRUE,_xlfn._xlws.SORT(_xlfn.UNIQUE(_xlfn._xlws.FILTER(OrderLines[Category],OrderLines[OrderID]=OrderLines[[#This Row],[OrderID]]))))</f>
        <v>Dessert+Hot Meal</v>
      </c>
      <c r="H460" s="2" cm="1">
        <f t="array" ref="H460">INT(VLOOKUP(OrderLines[[#This Row],[OrderID]:[OrderID]],Orders[],MATCH(OrderLines[[#Headers],[OrderDateTime]],Orders[#Headers],0),FALSE))</f>
        <v>45847</v>
      </c>
      <c r="I460" t="str" cm="1">
        <f t="array" ref="I460">VLOOKUP(OrderLines[[#This Row],[OrderID]:[OrderID]],Orders[],MATCH(OrderLines[[#Headers],[Branch]],Orders[#Headers],0),FALSE)</f>
        <v>Plant 2 Canteen</v>
      </c>
      <c r="J460" cm="1">
        <f t="array" ref="J460">VLOOKUP(OrderLines[[#This Row],[OrderID]:[OrderID]],Orders[],MATCH(OrderLines[[#Headers],[DiscountPct]],Orders[#Headers],0),FALSE)</f>
        <v>0.09</v>
      </c>
      <c r="K460" t="str" cm="1">
        <f t="array" ref="K460">VLOOKUP(OrderLines[[#This Row],[OrderID]:[OrderID]],Orders[],MATCH(OrderLines[[#Headers],[PaymentType]],Orders[#Headers],0),FALSE)</f>
        <v>UPI</v>
      </c>
      <c r="L460" t="str" cm="1">
        <f t="array" ref="L460">VLOOKUP(OrderLines[[#This Row],[OrderID]:[OrderID]],Orders[],MATCH(OrderLines[[#Headers],[Shift]],Orders[#Headers],0),FALSE)</f>
        <v>Breakfast</v>
      </c>
      <c r="M460" s="8">
        <f>(OrderLines[[#This Row],[Qty]]*OrderLines[[#This Row],[UnitPrice]])*(1-OrderLines[[#This Row],[DiscountPct]])</f>
        <v>223.9419</v>
      </c>
      <c r="N460" t="str">
        <f>IF(AND(COUNTIFS(OrderLines[OrderID],OrderLines[[#This Row],[OrderID]],OrderLines[Category],"Hot Meal"),COUNTIFS(OrderLines[OrderID],OrderLines[[#This Row],[OrderID]],OrderLines[Category],"Beverage")),"Combo","Single")</f>
        <v>Single</v>
      </c>
      <c r="O460" s="8" t="str" cm="1">
        <f t="array" ref="O460">IF(SUMPRODUCT(OrderLines[UnitPrice],OrderLines[Qty],OrderLines[DiscountPct],--(OrderLines[OrderID] = OrderLines[[#This Row],[OrderID]]))&gt;40,"High Discount","Ok")</f>
        <v>High Discount</v>
      </c>
      <c r="P460">
        <f>OrderLines[[#This Row],[UnitCost]]*OrderLines[[#This Row],[Qty]]</f>
        <v>112.08</v>
      </c>
      <c r="Q460" s="8">
        <f>OrderLines[[#This Row],[LineNetAmount]]-OrderLines[[#This Row],[Food Cost]]</f>
        <v>111.86190000000001</v>
      </c>
    </row>
    <row r="461" spans="1:17" x14ac:dyDescent="0.3">
      <c r="A461" t="s">
        <v>218</v>
      </c>
      <c r="B461" t="s">
        <v>415</v>
      </c>
      <c r="C461">
        <v>1</v>
      </c>
      <c r="D461" cm="1">
        <f t="array" ref="D461">VLOOKUP(OrderLines[[#This Row],[SKU]:[SKU]],Menu[],MATCH(OrderLines[[#Headers],[UnitPrice]],Menu[#Headers],0),FALSE)</f>
        <v>256.91000000000003</v>
      </c>
      <c r="E461" cm="1">
        <f t="array" ref="E461">VLOOKUP(OrderLines[[#This Row],[SKU]:[SKU]],Menu[],MATCH(OrderLines[[#Headers],[UnitCost]],Menu[#Headers],0),FALSE)</f>
        <v>121.24</v>
      </c>
      <c r="F461" t="str" cm="1">
        <f t="array" ref="F461">VLOOKUP(OrderLines[[#This Row],[SKU]:[SKU]],Menu[],MATCH(OrderLines[[#Headers],[Category]],Menu[#Headers],0),FALSE)</f>
        <v>Hot Meal</v>
      </c>
      <c r="G461" t="str" cm="1">
        <f t="array" ref="G461">_xlfn.TEXTJOIN("+",TRUE,_xlfn._xlws.SORT(_xlfn.UNIQUE(_xlfn._xlws.FILTER(OrderLines[Category],OrderLines[OrderID]=OrderLines[[#This Row],[OrderID]]))))</f>
        <v>Dessert+Hot Meal</v>
      </c>
      <c r="H461" s="2" cm="1">
        <f t="array" ref="H461">INT(VLOOKUP(OrderLines[[#This Row],[OrderID]:[OrderID]],Orders[],MATCH(OrderLines[[#Headers],[OrderDateTime]],Orders[#Headers],0),FALSE))</f>
        <v>45847</v>
      </c>
      <c r="I461" t="str" cm="1">
        <f t="array" ref="I461">VLOOKUP(OrderLines[[#This Row],[OrderID]:[OrderID]],Orders[],MATCH(OrderLines[[#Headers],[Branch]],Orders[#Headers],0),FALSE)</f>
        <v>Plant 2 Canteen</v>
      </c>
      <c r="J461" cm="1">
        <f t="array" ref="J461">VLOOKUP(OrderLines[[#This Row],[OrderID]:[OrderID]],Orders[],MATCH(OrderLines[[#Headers],[DiscountPct]],Orders[#Headers],0),FALSE)</f>
        <v>0.09</v>
      </c>
      <c r="K461" t="str" cm="1">
        <f t="array" ref="K461">VLOOKUP(OrderLines[[#This Row],[OrderID]:[OrderID]],Orders[],MATCH(OrderLines[[#Headers],[PaymentType]],Orders[#Headers],0),FALSE)</f>
        <v>UPI</v>
      </c>
      <c r="L461" t="str" cm="1">
        <f t="array" ref="L461">VLOOKUP(OrderLines[[#This Row],[OrderID]:[OrderID]],Orders[],MATCH(OrderLines[[#Headers],[Shift]],Orders[#Headers],0),FALSE)</f>
        <v>Breakfast</v>
      </c>
      <c r="M461" s="8">
        <f>(OrderLines[[#This Row],[Qty]]*OrderLines[[#This Row],[UnitPrice]])*(1-OrderLines[[#This Row],[DiscountPct]])</f>
        <v>233.78810000000004</v>
      </c>
      <c r="N461" t="str">
        <f>IF(AND(COUNTIFS(OrderLines[OrderID],OrderLines[[#This Row],[OrderID]],OrderLines[Category],"Hot Meal"),COUNTIFS(OrderLines[OrderID],OrderLines[[#This Row],[OrderID]],OrderLines[Category],"Beverage")),"Combo","Single")</f>
        <v>Single</v>
      </c>
      <c r="O461" s="8" t="str" cm="1">
        <f t="array" ref="O461">IF(SUMPRODUCT(OrderLines[UnitPrice],OrderLines[Qty],OrderLines[DiscountPct],--(OrderLines[OrderID] = OrderLines[[#This Row],[OrderID]]))&gt;40,"High Discount","Ok")</f>
        <v>High Discount</v>
      </c>
      <c r="P461">
        <f>OrderLines[[#This Row],[UnitCost]]*OrderLines[[#This Row],[Qty]]</f>
        <v>121.24</v>
      </c>
      <c r="Q461" s="8">
        <f>OrderLines[[#This Row],[LineNetAmount]]-OrderLines[[#This Row],[Food Cost]]</f>
        <v>112.54810000000005</v>
      </c>
    </row>
    <row r="462" spans="1:17" x14ac:dyDescent="0.3">
      <c r="A462" t="s">
        <v>218</v>
      </c>
      <c r="B462" t="s">
        <v>412</v>
      </c>
      <c r="C462">
        <v>2</v>
      </c>
      <c r="D462" cm="1">
        <f t="array" ref="D462">VLOOKUP(OrderLines[[#This Row],[SKU]:[SKU]],Menu[],MATCH(OrderLines[[#Headers],[UnitPrice]],Menu[#Headers],0),FALSE)</f>
        <v>57.07</v>
      </c>
      <c r="E462" cm="1">
        <f t="array" ref="E462">VLOOKUP(OrderLines[[#This Row],[SKU]:[SKU]],Menu[],MATCH(OrderLines[[#Headers],[UnitCost]],Menu[#Headers],0),FALSE)</f>
        <v>29.14</v>
      </c>
      <c r="F462" t="str" cm="1">
        <f t="array" ref="F462">VLOOKUP(OrderLines[[#This Row],[SKU]:[SKU]],Menu[],MATCH(OrderLines[[#Headers],[Category]],Menu[#Headers],0),FALSE)</f>
        <v>Dessert</v>
      </c>
      <c r="G462" t="str" cm="1">
        <f t="array" ref="G462">_xlfn.TEXTJOIN("+",TRUE,_xlfn._xlws.SORT(_xlfn.UNIQUE(_xlfn._xlws.FILTER(OrderLines[Category],OrderLines[OrderID]=OrderLines[[#This Row],[OrderID]]))))</f>
        <v>Dessert+Hot Meal</v>
      </c>
      <c r="H462" s="2" cm="1">
        <f t="array" ref="H462">INT(VLOOKUP(OrderLines[[#This Row],[OrderID]:[OrderID]],Orders[],MATCH(OrderLines[[#Headers],[OrderDateTime]],Orders[#Headers],0),FALSE))</f>
        <v>45847</v>
      </c>
      <c r="I462" t="str" cm="1">
        <f t="array" ref="I462">VLOOKUP(OrderLines[[#This Row],[OrderID]:[OrderID]],Orders[],MATCH(OrderLines[[#Headers],[Branch]],Orders[#Headers],0),FALSE)</f>
        <v>Plant 2 Canteen</v>
      </c>
      <c r="J462" cm="1">
        <f t="array" ref="J462">VLOOKUP(OrderLines[[#This Row],[OrderID]:[OrderID]],Orders[],MATCH(OrderLines[[#Headers],[DiscountPct]],Orders[#Headers],0),FALSE)</f>
        <v>0.09</v>
      </c>
      <c r="K462" t="str" cm="1">
        <f t="array" ref="K462">VLOOKUP(OrderLines[[#This Row],[OrderID]:[OrderID]],Orders[],MATCH(OrderLines[[#Headers],[PaymentType]],Orders[#Headers],0),FALSE)</f>
        <v>UPI</v>
      </c>
      <c r="L462" t="str" cm="1">
        <f t="array" ref="L462">VLOOKUP(OrderLines[[#This Row],[OrderID]:[OrderID]],Orders[],MATCH(OrderLines[[#Headers],[Shift]],Orders[#Headers],0),FALSE)</f>
        <v>Breakfast</v>
      </c>
      <c r="M462" s="8">
        <f>(OrderLines[[#This Row],[Qty]]*OrderLines[[#This Row],[UnitPrice]])*(1-OrderLines[[#This Row],[DiscountPct]])</f>
        <v>103.8674</v>
      </c>
      <c r="N462" t="str">
        <f>IF(AND(COUNTIFS(OrderLines[OrderID],OrderLines[[#This Row],[OrderID]],OrderLines[Category],"Hot Meal"),COUNTIFS(OrderLines[OrderID],OrderLines[[#This Row],[OrderID]],OrderLines[Category],"Beverage")),"Combo","Single")</f>
        <v>Single</v>
      </c>
      <c r="O462" s="8" t="str" cm="1">
        <f t="array" ref="O462">IF(SUMPRODUCT(OrderLines[UnitPrice],OrderLines[Qty],OrderLines[DiscountPct],--(OrderLines[OrderID] = OrderLines[[#This Row],[OrderID]]))&gt;40,"High Discount","Ok")</f>
        <v>High Discount</v>
      </c>
      <c r="P462">
        <f>OrderLines[[#This Row],[UnitCost]]*OrderLines[[#This Row],[Qty]]</f>
        <v>58.28</v>
      </c>
      <c r="Q462" s="8">
        <f>OrderLines[[#This Row],[LineNetAmount]]-OrderLines[[#This Row],[Food Cost]]</f>
        <v>45.587400000000002</v>
      </c>
    </row>
    <row r="463" spans="1:17" x14ac:dyDescent="0.3">
      <c r="A463" t="s">
        <v>219</v>
      </c>
      <c r="B463" t="s">
        <v>401</v>
      </c>
      <c r="C463">
        <v>1</v>
      </c>
      <c r="D463" cm="1">
        <f t="array" ref="D463">VLOOKUP(OrderLines[[#This Row],[SKU]:[SKU]],Menu[],MATCH(OrderLines[[#Headers],[UnitPrice]],Menu[#Headers],0),FALSE)</f>
        <v>52.45</v>
      </c>
      <c r="E463" cm="1">
        <f t="array" ref="E463">VLOOKUP(OrderLines[[#This Row],[SKU]:[SKU]],Menu[],MATCH(OrderLines[[#Headers],[UnitCost]],Menu[#Headers],0),FALSE)</f>
        <v>25.8</v>
      </c>
      <c r="F463" t="str" cm="1">
        <f t="array" ref="F463">VLOOKUP(OrderLines[[#This Row],[SKU]:[SKU]],Menu[],MATCH(OrderLines[[#Headers],[Category]],Menu[#Headers],0),FALSE)</f>
        <v>Snack</v>
      </c>
      <c r="G463" t="str" cm="1">
        <f t="array" ref="G463">_xlfn.TEXTJOIN("+",TRUE,_xlfn._xlws.SORT(_xlfn.UNIQUE(_xlfn._xlws.FILTER(OrderLines[Category],OrderLines[OrderID]=OrderLines[[#This Row],[OrderID]]))))</f>
        <v>Snack</v>
      </c>
      <c r="H463" s="2" cm="1">
        <f t="array" ref="H463">INT(VLOOKUP(OrderLines[[#This Row],[OrderID]:[OrderID]],Orders[],MATCH(OrderLines[[#Headers],[OrderDateTime]],Orders[#Headers],0),FALSE))</f>
        <v>45869</v>
      </c>
      <c r="I463" t="str" cm="1">
        <f t="array" ref="I463">VLOOKUP(OrderLines[[#This Row],[OrderID]:[OrderID]],Orders[],MATCH(OrderLines[[#Headers],[Branch]],Orders[#Headers],0),FALSE)</f>
        <v>Head Office Café</v>
      </c>
      <c r="J463" cm="1">
        <f t="array" ref="J463">VLOOKUP(OrderLines[[#This Row],[OrderID]:[OrderID]],Orders[],MATCH(OrderLines[[#Headers],[DiscountPct]],Orders[#Headers],0),FALSE)</f>
        <v>0</v>
      </c>
      <c r="K463" t="str" cm="1">
        <f t="array" ref="K463">VLOOKUP(OrderLines[[#This Row],[OrderID]:[OrderID]],Orders[],MATCH(OrderLines[[#Headers],[PaymentType]],Orders[#Headers],0),FALSE)</f>
        <v>Card</v>
      </c>
      <c r="L463" t="str" cm="1">
        <f t="array" ref="L463">VLOOKUP(OrderLines[[#This Row],[OrderID]:[OrderID]],Orders[],MATCH(OrderLines[[#Headers],[Shift]],Orders[#Headers],0),FALSE)</f>
        <v>Dinner</v>
      </c>
      <c r="M463" s="8">
        <f>(OrderLines[[#This Row],[Qty]]*OrderLines[[#This Row],[UnitPrice]])*(1-OrderLines[[#This Row],[DiscountPct]])</f>
        <v>52.45</v>
      </c>
      <c r="N463" t="str">
        <f>IF(AND(COUNTIFS(OrderLines[OrderID],OrderLines[[#This Row],[OrderID]],OrderLines[Category],"Hot Meal"),COUNTIFS(OrderLines[OrderID],OrderLines[[#This Row],[OrderID]],OrderLines[Category],"Beverage")),"Combo","Single")</f>
        <v>Single</v>
      </c>
      <c r="O463" s="8" t="str" cm="1">
        <f t="array" ref="O463">IF(SUMPRODUCT(OrderLines[UnitPrice],OrderLines[Qty],OrderLines[DiscountPct],--(OrderLines[OrderID] = OrderLines[[#This Row],[OrderID]]))&gt;40,"High Discount","Ok")</f>
        <v>Ok</v>
      </c>
      <c r="P463">
        <f>OrderLines[[#This Row],[UnitCost]]*OrderLines[[#This Row],[Qty]]</f>
        <v>25.8</v>
      </c>
      <c r="Q463" s="8">
        <f>OrderLines[[#This Row],[LineNetAmount]]-OrderLines[[#This Row],[Food Cost]]</f>
        <v>26.650000000000002</v>
      </c>
    </row>
    <row r="464" spans="1:17" x14ac:dyDescent="0.3">
      <c r="A464" t="s">
        <v>220</v>
      </c>
      <c r="B464" t="s">
        <v>402</v>
      </c>
      <c r="C464">
        <v>3</v>
      </c>
      <c r="D464" cm="1">
        <f t="array" ref="D464">VLOOKUP(OrderLines[[#This Row],[SKU]:[SKU]],Menu[],MATCH(OrderLines[[#Headers],[UnitPrice]],Menu[#Headers],0),FALSE)</f>
        <v>30.34</v>
      </c>
      <c r="E464" cm="1">
        <f t="array" ref="E464">VLOOKUP(OrderLines[[#This Row],[SKU]:[SKU]],Menu[],MATCH(OrderLines[[#Headers],[UnitCost]],Menu[#Headers],0),FALSE)</f>
        <v>14.18</v>
      </c>
      <c r="F464" t="str" cm="1">
        <f t="array" ref="F464">VLOOKUP(OrderLines[[#This Row],[SKU]:[SKU]],Menu[],MATCH(OrderLines[[#Headers],[Category]],Menu[#Headers],0),FALSE)</f>
        <v>Beverage</v>
      </c>
      <c r="G464" t="str" cm="1">
        <f t="array" ref="G464">_xlfn.TEXTJOIN("+",TRUE,_xlfn._xlws.SORT(_xlfn.UNIQUE(_xlfn._xlws.FILTER(OrderLines[Category],OrderLines[OrderID]=OrderLines[[#This Row],[OrderID]]))))</f>
        <v>Beverage</v>
      </c>
      <c r="H464" s="2" cm="1">
        <f t="array" ref="H464">INT(VLOOKUP(OrderLines[[#This Row],[OrderID]:[OrderID]],Orders[],MATCH(OrderLines[[#Headers],[OrderDateTime]],Orders[#Headers],0),FALSE))</f>
        <v>45842</v>
      </c>
      <c r="I464" t="str" cm="1">
        <f t="array" ref="I464">VLOOKUP(OrderLines[[#This Row],[OrderID]:[OrderID]],Orders[],MATCH(OrderLines[[#Headers],[Branch]],Orders[#Headers],0),FALSE)</f>
        <v>Head Office Café</v>
      </c>
      <c r="J464" cm="1">
        <f t="array" ref="J464">VLOOKUP(OrderLines[[#This Row],[OrderID]:[OrderID]],Orders[],MATCH(OrderLines[[#Headers],[DiscountPct]],Orders[#Headers],0),FALSE)</f>
        <v>0.04</v>
      </c>
      <c r="K464" t="str" cm="1">
        <f t="array" ref="K464">VLOOKUP(OrderLines[[#This Row],[OrderID]:[OrderID]],Orders[],MATCH(OrderLines[[#Headers],[PaymentType]],Orders[#Headers],0),FALSE)</f>
        <v>Cash</v>
      </c>
      <c r="L464" t="str" cm="1">
        <f t="array" ref="L464">VLOOKUP(OrderLines[[#This Row],[OrderID]:[OrderID]],Orders[],MATCH(OrderLines[[#Headers],[Shift]],Orders[#Headers],0),FALSE)</f>
        <v>Dinner</v>
      </c>
      <c r="M464" s="8">
        <f>(OrderLines[[#This Row],[Qty]]*OrderLines[[#This Row],[UnitPrice]])*(1-OrderLines[[#This Row],[DiscountPct]])</f>
        <v>87.379199999999997</v>
      </c>
      <c r="N464" t="str">
        <f>IF(AND(COUNTIFS(OrderLines[OrderID],OrderLines[[#This Row],[OrderID]],OrderLines[Category],"Hot Meal"),COUNTIFS(OrderLines[OrderID],OrderLines[[#This Row],[OrderID]],OrderLines[Category],"Beverage")),"Combo","Single")</f>
        <v>Single</v>
      </c>
      <c r="O464" s="8" t="str" cm="1">
        <f t="array" ref="O464">IF(SUMPRODUCT(OrderLines[UnitPrice],OrderLines[Qty],OrderLines[DiscountPct],--(OrderLines[OrderID] = OrderLines[[#This Row],[OrderID]]))&gt;40,"High Discount","Ok")</f>
        <v>Ok</v>
      </c>
      <c r="P464">
        <f>OrderLines[[#This Row],[UnitCost]]*OrderLines[[#This Row],[Qty]]</f>
        <v>42.54</v>
      </c>
      <c r="Q464" s="8">
        <f>OrderLines[[#This Row],[LineNetAmount]]-OrderLines[[#This Row],[Food Cost]]</f>
        <v>44.839199999999998</v>
      </c>
    </row>
    <row r="465" spans="1:17" x14ac:dyDescent="0.3">
      <c r="A465" t="s">
        <v>220</v>
      </c>
      <c r="B465" t="s">
        <v>404</v>
      </c>
      <c r="C465">
        <v>2</v>
      </c>
      <c r="D465" cm="1">
        <f t="array" ref="D465">VLOOKUP(OrderLines[[#This Row],[SKU]:[SKU]],Menu[],MATCH(OrderLines[[#Headers],[UnitPrice]],Menu[#Headers],0),FALSE)</f>
        <v>32.979999999999997</v>
      </c>
      <c r="E465" cm="1">
        <f t="array" ref="E465">VLOOKUP(OrderLines[[#This Row],[SKU]:[SKU]],Menu[],MATCH(OrderLines[[#Headers],[UnitCost]],Menu[#Headers],0),FALSE)</f>
        <v>11.84</v>
      </c>
      <c r="F465" t="str" cm="1">
        <f t="array" ref="F465">VLOOKUP(OrderLines[[#This Row],[SKU]:[SKU]],Menu[],MATCH(OrderLines[[#Headers],[Category]],Menu[#Headers],0),FALSE)</f>
        <v>Beverage</v>
      </c>
      <c r="G465" t="str" cm="1">
        <f t="array" ref="G465">_xlfn.TEXTJOIN("+",TRUE,_xlfn._xlws.SORT(_xlfn.UNIQUE(_xlfn._xlws.FILTER(OrderLines[Category],OrderLines[OrderID]=OrderLines[[#This Row],[OrderID]]))))</f>
        <v>Beverage</v>
      </c>
      <c r="H465" s="2" cm="1">
        <f t="array" ref="H465">INT(VLOOKUP(OrderLines[[#This Row],[OrderID]:[OrderID]],Orders[],MATCH(OrderLines[[#Headers],[OrderDateTime]],Orders[#Headers],0),FALSE))</f>
        <v>45842</v>
      </c>
      <c r="I465" t="str" cm="1">
        <f t="array" ref="I465">VLOOKUP(OrderLines[[#This Row],[OrderID]:[OrderID]],Orders[],MATCH(OrderLines[[#Headers],[Branch]],Orders[#Headers],0),FALSE)</f>
        <v>Head Office Café</v>
      </c>
      <c r="J465" cm="1">
        <f t="array" ref="J465">VLOOKUP(OrderLines[[#This Row],[OrderID]:[OrderID]],Orders[],MATCH(OrderLines[[#Headers],[DiscountPct]],Orders[#Headers],0),FALSE)</f>
        <v>0.04</v>
      </c>
      <c r="K465" t="str" cm="1">
        <f t="array" ref="K465">VLOOKUP(OrderLines[[#This Row],[OrderID]:[OrderID]],Orders[],MATCH(OrderLines[[#Headers],[PaymentType]],Orders[#Headers],0),FALSE)</f>
        <v>Cash</v>
      </c>
      <c r="L465" t="str" cm="1">
        <f t="array" ref="L465">VLOOKUP(OrderLines[[#This Row],[OrderID]:[OrderID]],Orders[],MATCH(OrderLines[[#Headers],[Shift]],Orders[#Headers],0),FALSE)</f>
        <v>Dinner</v>
      </c>
      <c r="M465" s="8">
        <f>(OrderLines[[#This Row],[Qty]]*OrderLines[[#This Row],[UnitPrice]])*(1-OrderLines[[#This Row],[DiscountPct]])</f>
        <v>63.321599999999989</v>
      </c>
      <c r="N465" t="str">
        <f>IF(AND(COUNTIFS(OrderLines[OrderID],OrderLines[[#This Row],[OrderID]],OrderLines[Category],"Hot Meal"),COUNTIFS(OrderLines[OrderID],OrderLines[[#This Row],[OrderID]],OrderLines[Category],"Beverage")),"Combo","Single")</f>
        <v>Single</v>
      </c>
      <c r="O465" s="8" t="str" cm="1">
        <f t="array" ref="O465">IF(SUMPRODUCT(OrderLines[UnitPrice],OrderLines[Qty],OrderLines[DiscountPct],--(OrderLines[OrderID] = OrderLines[[#This Row],[OrderID]]))&gt;40,"High Discount","Ok")</f>
        <v>Ok</v>
      </c>
      <c r="P465">
        <f>OrderLines[[#This Row],[UnitCost]]*OrderLines[[#This Row],[Qty]]</f>
        <v>23.68</v>
      </c>
      <c r="Q465" s="8">
        <f>OrderLines[[#This Row],[LineNetAmount]]-OrderLines[[#This Row],[Food Cost]]</f>
        <v>39.64159999999999</v>
      </c>
    </row>
    <row r="466" spans="1:17" x14ac:dyDescent="0.3">
      <c r="A466" t="s">
        <v>221</v>
      </c>
      <c r="B466" t="s">
        <v>406</v>
      </c>
      <c r="C466">
        <v>1</v>
      </c>
      <c r="D466" cm="1">
        <f t="array" ref="D466">VLOOKUP(OrderLines[[#This Row],[SKU]:[SKU]],Menu[],MATCH(OrderLines[[#Headers],[UnitPrice]],Menu[#Headers],0),FALSE)</f>
        <v>38.06</v>
      </c>
      <c r="E466" cm="1">
        <f t="array" ref="E466">VLOOKUP(OrderLines[[#This Row],[SKU]:[SKU]],Menu[],MATCH(OrderLines[[#Headers],[UnitCost]],Menu[#Headers],0),FALSE)</f>
        <v>19.55</v>
      </c>
      <c r="F466" t="str" cm="1">
        <f t="array" ref="F466">VLOOKUP(OrderLines[[#This Row],[SKU]:[SKU]],Menu[],MATCH(OrderLines[[#Headers],[Category]],Menu[#Headers],0),FALSE)</f>
        <v>Snack</v>
      </c>
      <c r="G466" t="str" cm="1">
        <f t="array" ref="G466">_xlfn.TEXTJOIN("+",TRUE,_xlfn._xlws.SORT(_xlfn.UNIQUE(_xlfn._xlws.FILTER(OrderLines[Category],OrderLines[OrderID]=OrderLines[[#This Row],[OrderID]]))))</f>
        <v>Dessert+Snack</v>
      </c>
      <c r="H466" s="2" cm="1">
        <f t="array" ref="H466">INT(VLOOKUP(OrderLines[[#This Row],[OrderID]:[OrderID]],Orders[],MATCH(OrderLines[[#Headers],[OrderDateTime]],Orders[#Headers],0),FALSE))</f>
        <v>45861</v>
      </c>
      <c r="I466" t="str" cm="1">
        <f t="array" ref="I466">VLOOKUP(OrderLines[[#This Row],[OrderID]:[OrderID]],Orders[],MATCH(OrderLines[[#Headers],[Branch]],Orders[#Headers],0),FALSE)</f>
        <v>Head Office Café</v>
      </c>
      <c r="J466" cm="1">
        <f t="array" ref="J466">VLOOKUP(OrderLines[[#This Row],[OrderID]:[OrderID]],Orders[],MATCH(OrderLines[[#Headers],[DiscountPct]],Orders[#Headers],0),FALSE)</f>
        <v>0.1</v>
      </c>
      <c r="K466" t="str" cm="1">
        <f t="array" ref="K466">VLOOKUP(OrderLines[[#This Row],[OrderID]:[OrderID]],Orders[],MATCH(OrderLines[[#Headers],[PaymentType]],Orders[#Headers],0),FALSE)</f>
        <v>Card</v>
      </c>
      <c r="L466" t="str" cm="1">
        <f t="array" ref="L466">VLOOKUP(OrderLines[[#This Row],[OrderID]:[OrderID]],Orders[],MATCH(OrderLines[[#Headers],[Shift]],Orders[#Headers],0),FALSE)</f>
        <v>Breakfast</v>
      </c>
      <c r="M466" s="8">
        <f>(OrderLines[[#This Row],[Qty]]*OrderLines[[#This Row],[UnitPrice]])*(1-OrderLines[[#This Row],[DiscountPct]])</f>
        <v>34.254000000000005</v>
      </c>
      <c r="N466" t="str">
        <f>IF(AND(COUNTIFS(OrderLines[OrderID],OrderLines[[#This Row],[OrderID]],OrderLines[Category],"Hot Meal"),COUNTIFS(OrderLines[OrderID],OrderLines[[#This Row],[OrderID]],OrderLines[Category],"Beverage")),"Combo","Single")</f>
        <v>Single</v>
      </c>
      <c r="O466" s="8" t="str" cm="1">
        <f t="array" ref="O466">IF(SUMPRODUCT(OrderLines[UnitPrice],OrderLines[Qty],OrderLines[DiscountPct],--(OrderLines[OrderID] = OrderLines[[#This Row],[OrderID]]))&gt;40,"High Discount","Ok")</f>
        <v>Ok</v>
      </c>
      <c r="P466">
        <f>OrderLines[[#This Row],[UnitCost]]*OrderLines[[#This Row],[Qty]]</f>
        <v>19.55</v>
      </c>
      <c r="Q466" s="8">
        <f>OrderLines[[#This Row],[LineNetAmount]]-OrderLines[[#This Row],[Food Cost]]</f>
        <v>14.704000000000004</v>
      </c>
    </row>
    <row r="467" spans="1:17" x14ac:dyDescent="0.3">
      <c r="A467" t="s">
        <v>221</v>
      </c>
      <c r="B467" t="s">
        <v>419</v>
      </c>
      <c r="C467">
        <v>1</v>
      </c>
      <c r="D467" cm="1">
        <f t="array" ref="D467">VLOOKUP(OrderLines[[#This Row],[SKU]:[SKU]],Menu[],MATCH(OrderLines[[#Headers],[UnitPrice]],Menu[#Headers],0),FALSE)</f>
        <v>50.19</v>
      </c>
      <c r="E467" cm="1">
        <f t="array" ref="E467">VLOOKUP(OrderLines[[#This Row],[SKU]:[SKU]],Menu[],MATCH(OrderLines[[#Headers],[UnitCost]],Menu[#Headers],0),FALSE)</f>
        <v>22.61</v>
      </c>
      <c r="F467" t="str" cm="1">
        <f t="array" ref="F467">VLOOKUP(OrderLines[[#This Row],[SKU]:[SKU]],Menu[],MATCH(OrderLines[[#Headers],[Category]],Menu[#Headers],0),FALSE)</f>
        <v>Snack</v>
      </c>
      <c r="G467" t="str" cm="1">
        <f t="array" ref="G467">_xlfn.TEXTJOIN("+",TRUE,_xlfn._xlws.SORT(_xlfn.UNIQUE(_xlfn._xlws.FILTER(OrderLines[Category],OrderLines[OrderID]=OrderLines[[#This Row],[OrderID]]))))</f>
        <v>Dessert+Snack</v>
      </c>
      <c r="H467" s="2" cm="1">
        <f t="array" ref="H467">INT(VLOOKUP(OrderLines[[#This Row],[OrderID]:[OrderID]],Orders[],MATCH(OrderLines[[#Headers],[OrderDateTime]],Orders[#Headers],0),FALSE))</f>
        <v>45861</v>
      </c>
      <c r="I467" t="str" cm="1">
        <f t="array" ref="I467">VLOOKUP(OrderLines[[#This Row],[OrderID]:[OrderID]],Orders[],MATCH(OrderLines[[#Headers],[Branch]],Orders[#Headers],0),FALSE)</f>
        <v>Head Office Café</v>
      </c>
      <c r="J467" cm="1">
        <f t="array" ref="J467">VLOOKUP(OrderLines[[#This Row],[OrderID]:[OrderID]],Orders[],MATCH(OrderLines[[#Headers],[DiscountPct]],Orders[#Headers],0),FALSE)</f>
        <v>0.1</v>
      </c>
      <c r="K467" t="str" cm="1">
        <f t="array" ref="K467">VLOOKUP(OrderLines[[#This Row],[OrderID]:[OrderID]],Orders[],MATCH(OrderLines[[#Headers],[PaymentType]],Orders[#Headers],0),FALSE)</f>
        <v>Card</v>
      </c>
      <c r="L467" t="str" cm="1">
        <f t="array" ref="L467">VLOOKUP(OrderLines[[#This Row],[OrderID]:[OrderID]],Orders[],MATCH(OrderLines[[#Headers],[Shift]],Orders[#Headers],0),FALSE)</f>
        <v>Breakfast</v>
      </c>
      <c r="M467" s="8">
        <f>(OrderLines[[#This Row],[Qty]]*OrderLines[[#This Row],[UnitPrice]])*(1-OrderLines[[#This Row],[DiscountPct]])</f>
        <v>45.170999999999999</v>
      </c>
      <c r="N467" t="str">
        <f>IF(AND(COUNTIFS(OrderLines[OrderID],OrderLines[[#This Row],[OrderID]],OrderLines[Category],"Hot Meal"),COUNTIFS(OrderLines[OrderID],OrderLines[[#This Row],[OrderID]],OrderLines[Category],"Beverage")),"Combo","Single")</f>
        <v>Single</v>
      </c>
      <c r="O467" s="8" t="str" cm="1">
        <f t="array" ref="O467">IF(SUMPRODUCT(OrderLines[UnitPrice],OrderLines[Qty],OrderLines[DiscountPct],--(OrderLines[OrderID] = OrderLines[[#This Row],[OrderID]]))&gt;40,"High Discount","Ok")</f>
        <v>Ok</v>
      </c>
      <c r="P467">
        <f>OrderLines[[#This Row],[UnitCost]]*OrderLines[[#This Row],[Qty]]</f>
        <v>22.61</v>
      </c>
      <c r="Q467" s="8">
        <f>OrderLines[[#This Row],[LineNetAmount]]-OrderLines[[#This Row],[Food Cost]]</f>
        <v>22.561</v>
      </c>
    </row>
    <row r="468" spans="1:17" x14ac:dyDescent="0.3">
      <c r="A468" t="s">
        <v>221</v>
      </c>
      <c r="B468" t="s">
        <v>412</v>
      </c>
      <c r="C468">
        <v>1</v>
      </c>
      <c r="D468" cm="1">
        <f t="array" ref="D468">VLOOKUP(OrderLines[[#This Row],[SKU]:[SKU]],Menu[],MATCH(OrderLines[[#Headers],[UnitPrice]],Menu[#Headers],0),FALSE)</f>
        <v>57.07</v>
      </c>
      <c r="E468" cm="1">
        <f t="array" ref="E468">VLOOKUP(OrderLines[[#This Row],[SKU]:[SKU]],Menu[],MATCH(OrderLines[[#Headers],[UnitCost]],Menu[#Headers],0),FALSE)</f>
        <v>29.14</v>
      </c>
      <c r="F468" t="str" cm="1">
        <f t="array" ref="F468">VLOOKUP(OrderLines[[#This Row],[SKU]:[SKU]],Menu[],MATCH(OrderLines[[#Headers],[Category]],Menu[#Headers],0),FALSE)</f>
        <v>Dessert</v>
      </c>
      <c r="G468" t="str" cm="1">
        <f t="array" ref="G468">_xlfn.TEXTJOIN("+",TRUE,_xlfn._xlws.SORT(_xlfn.UNIQUE(_xlfn._xlws.FILTER(OrderLines[Category],OrderLines[OrderID]=OrderLines[[#This Row],[OrderID]]))))</f>
        <v>Dessert+Snack</v>
      </c>
      <c r="H468" s="2" cm="1">
        <f t="array" ref="H468">INT(VLOOKUP(OrderLines[[#This Row],[OrderID]:[OrderID]],Orders[],MATCH(OrderLines[[#Headers],[OrderDateTime]],Orders[#Headers],0),FALSE))</f>
        <v>45861</v>
      </c>
      <c r="I468" t="str" cm="1">
        <f t="array" ref="I468">VLOOKUP(OrderLines[[#This Row],[OrderID]:[OrderID]],Orders[],MATCH(OrderLines[[#Headers],[Branch]],Orders[#Headers],0),FALSE)</f>
        <v>Head Office Café</v>
      </c>
      <c r="J468" cm="1">
        <f t="array" ref="J468">VLOOKUP(OrderLines[[#This Row],[OrderID]:[OrderID]],Orders[],MATCH(OrderLines[[#Headers],[DiscountPct]],Orders[#Headers],0),FALSE)</f>
        <v>0.1</v>
      </c>
      <c r="K468" t="str" cm="1">
        <f t="array" ref="K468">VLOOKUP(OrderLines[[#This Row],[OrderID]:[OrderID]],Orders[],MATCH(OrderLines[[#Headers],[PaymentType]],Orders[#Headers],0),FALSE)</f>
        <v>Card</v>
      </c>
      <c r="L468" t="str" cm="1">
        <f t="array" ref="L468">VLOOKUP(OrderLines[[#This Row],[OrderID]:[OrderID]],Orders[],MATCH(OrderLines[[#Headers],[Shift]],Orders[#Headers],0),FALSE)</f>
        <v>Breakfast</v>
      </c>
      <c r="M468" s="8">
        <f>(OrderLines[[#This Row],[Qty]]*OrderLines[[#This Row],[UnitPrice]])*(1-OrderLines[[#This Row],[DiscountPct]])</f>
        <v>51.363</v>
      </c>
      <c r="N468" t="str">
        <f>IF(AND(COUNTIFS(OrderLines[OrderID],OrderLines[[#This Row],[OrderID]],OrderLines[Category],"Hot Meal"),COUNTIFS(OrderLines[OrderID],OrderLines[[#This Row],[OrderID]],OrderLines[Category],"Beverage")),"Combo","Single")</f>
        <v>Single</v>
      </c>
      <c r="O468" s="8" t="str" cm="1">
        <f t="array" ref="O468">IF(SUMPRODUCT(OrderLines[UnitPrice],OrderLines[Qty],OrderLines[DiscountPct],--(OrderLines[OrderID] = OrderLines[[#This Row],[OrderID]]))&gt;40,"High Discount","Ok")</f>
        <v>Ok</v>
      </c>
      <c r="P468">
        <f>OrderLines[[#This Row],[UnitCost]]*OrderLines[[#This Row],[Qty]]</f>
        <v>29.14</v>
      </c>
      <c r="Q468" s="8">
        <f>OrderLines[[#This Row],[LineNetAmount]]-OrderLines[[#This Row],[Food Cost]]</f>
        <v>22.222999999999999</v>
      </c>
    </row>
    <row r="469" spans="1:17" x14ac:dyDescent="0.3">
      <c r="A469" t="s">
        <v>222</v>
      </c>
      <c r="B469" t="s">
        <v>408</v>
      </c>
      <c r="C469">
        <v>1</v>
      </c>
      <c r="D469" cm="1">
        <f t="array" ref="D469">VLOOKUP(OrderLines[[#This Row],[SKU]:[SKU]],Menu[],MATCH(OrderLines[[#Headers],[UnitPrice]],Menu[#Headers],0),FALSE)</f>
        <v>70.540000000000006</v>
      </c>
      <c r="E469" cm="1">
        <f t="array" ref="E469">VLOOKUP(OrderLines[[#This Row],[SKU]:[SKU]],Menu[],MATCH(OrderLines[[#Headers],[UnitCost]],Menu[#Headers],0),FALSE)</f>
        <v>35.81</v>
      </c>
      <c r="F469" t="str" cm="1">
        <f t="array" ref="F469">VLOOKUP(OrderLines[[#This Row],[SKU]:[SKU]],Menu[],MATCH(OrderLines[[#Headers],[Category]],Menu[#Headers],0),FALSE)</f>
        <v>Snack</v>
      </c>
      <c r="G469" t="str" cm="1">
        <f t="array" ref="G469">_xlfn.TEXTJOIN("+",TRUE,_xlfn._xlws.SORT(_xlfn.UNIQUE(_xlfn._xlws.FILTER(OrderLines[Category],OrderLines[OrderID]=OrderLines[[#This Row],[OrderID]]))))</f>
        <v>Beverage+Dessert+Snack</v>
      </c>
      <c r="H469" s="2" cm="1">
        <f t="array" ref="H469">INT(VLOOKUP(OrderLines[[#This Row],[OrderID]:[OrderID]],Orders[],MATCH(OrderLines[[#Headers],[OrderDateTime]],Orders[#Headers],0),FALSE))</f>
        <v>45849</v>
      </c>
      <c r="I469" t="str" cm="1">
        <f t="array" ref="I469">VLOOKUP(OrderLines[[#This Row],[OrderID]:[OrderID]],Orders[],MATCH(OrderLines[[#Headers],[Branch]],Orders[#Headers],0),FALSE)</f>
        <v>Plant 2 Canteen</v>
      </c>
      <c r="J469" cm="1">
        <f t="array" ref="J469">VLOOKUP(OrderLines[[#This Row],[OrderID]:[OrderID]],Orders[],MATCH(OrderLines[[#Headers],[DiscountPct]],Orders[#Headers],0),FALSE)</f>
        <v>0.06</v>
      </c>
      <c r="K469" t="str" cm="1">
        <f t="array" ref="K469">VLOOKUP(OrderLines[[#This Row],[OrderID]:[OrderID]],Orders[],MATCH(OrderLines[[#Headers],[PaymentType]],Orders[#Headers],0),FALSE)</f>
        <v>UPI</v>
      </c>
      <c r="L469" t="str" cm="1">
        <f t="array" ref="L469">VLOOKUP(OrderLines[[#This Row],[OrderID]:[OrderID]],Orders[],MATCH(OrderLines[[#Headers],[Shift]],Orders[#Headers],0),FALSE)</f>
        <v>Breakfast</v>
      </c>
      <c r="M469" s="8">
        <f>(OrderLines[[#This Row],[Qty]]*OrderLines[[#This Row],[UnitPrice]])*(1-OrderLines[[#This Row],[DiscountPct]])</f>
        <v>66.307600000000008</v>
      </c>
      <c r="N469" t="str">
        <f>IF(AND(COUNTIFS(OrderLines[OrderID],OrderLines[[#This Row],[OrderID]],OrderLines[Category],"Hot Meal"),COUNTIFS(OrderLines[OrderID],OrderLines[[#This Row],[OrderID]],OrderLines[Category],"Beverage")),"Combo","Single")</f>
        <v>Single</v>
      </c>
      <c r="O469" s="8" t="str" cm="1">
        <f t="array" ref="O469">IF(SUMPRODUCT(OrderLines[UnitPrice],OrderLines[Qty],OrderLines[DiscountPct],--(OrderLines[OrderID] = OrderLines[[#This Row],[OrderID]]))&gt;40,"High Discount","Ok")</f>
        <v>Ok</v>
      </c>
      <c r="P469">
        <f>OrderLines[[#This Row],[UnitCost]]*OrderLines[[#This Row],[Qty]]</f>
        <v>35.81</v>
      </c>
      <c r="Q469" s="8">
        <f>OrderLines[[#This Row],[LineNetAmount]]-OrderLines[[#This Row],[Food Cost]]</f>
        <v>30.497600000000006</v>
      </c>
    </row>
    <row r="470" spans="1:17" x14ac:dyDescent="0.3">
      <c r="A470" t="s">
        <v>222</v>
      </c>
      <c r="B470" t="s">
        <v>412</v>
      </c>
      <c r="C470">
        <v>1</v>
      </c>
      <c r="D470" cm="1">
        <f t="array" ref="D470">VLOOKUP(OrderLines[[#This Row],[SKU]:[SKU]],Menu[],MATCH(OrderLines[[#Headers],[UnitPrice]],Menu[#Headers],0),FALSE)</f>
        <v>57.07</v>
      </c>
      <c r="E470" cm="1">
        <f t="array" ref="E470">VLOOKUP(OrderLines[[#This Row],[SKU]:[SKU]],Menu[],MATCH(OrderLines[[#Headers],[UnitCost]],Menu[#Headers],0),FALSE)</f>
        <v>29.14</v>
      </c>
      <c r="F470" t="str" cm="1">
        <f t="array" ref="F470">VLOOKUP(OrderLines[[#This Row],[SKU]:[SKU]],Menu[],MATCH(OrderLines[[#Headers],[Category]],Menu[#Headers],0),FALSE)</f>
        <v>Dessert</v>
      </c>
      <c r="G470" t="str" cm="1">
        <f t="array" ref="G470">_xlfn.TEXTJOIN("+",TRUE,_xlfn._xlws.SORT(_xlfn.UNIQUE(_xlfn._xlws.FILTER(OrderLines[Category],OrderLines[OrderID]=OrderLines[[#This Row],[OrderID]]))))</f>
        <v>Beverage+Dessert+Snack</v>
      </c>
      <c r="H470" s="2" cm="1">
        <f t="array" ref="H470">INT(VLOOKUP(OrderLines[[#This Row],[OrderID]:[OrderID]],Orders[],MATCH(OrderLines[[#Headers],[OrderDateTime]],Orders[#Headers],0),FALSE))</f>
        <v>45849</v>
      </c>
      <c r="I470" t="str" cm="1">
        <f t="array" ref="I470">VLOOKUP(OrderLines[[#This Row],[OrderID]:[OrderID]],Orders[],MATCH(OrderLines[[#Headers],[Branch]],Orders[#Headers],0),FALSE)</f>
        <v>Plant 2 Canteen</v>
      </c>
      <c r="J470" cm="1">
        <f t="array" ref="J470">VLOOKUP(OrderLines[[#This Row],[OrderID]:[OrderID]],Orders[],MATCH(OrderLines[[#Headers],[DiscountPct]],Orders[#Headers],0),FALSE)</f>
        <v>0.06</v>
      </c>
      <c r="K470" t="str" cm="1">
        <f t="array" ref="K470">VLOOKUP(OrderLines[[#This Row],[OrderID]:[OrderID]],Orders[],MATCH(OrderLines[[#Headers],[PaymentType]],Orders[#Headers],0),FALSE)</f>
        <v>UPI</v>
      </c>
      <c r="L470" t="str" cm="1">
        <f t="array" ref="L470">VLOOKUP(OrderLines[[#This Row],[OrderID]:[OrderID]],Orders[],MATCH(OrderLines[[#Headers],[Shift]],Orders[#Headers],0),FALSE)</f>
        <v>Breakfast</v>
      </c>
      <c r="M470" s="8">
        <f>(OrderLines[[#This Row],[Qty]]*OrderLines[[#This Row],[UnitPrice]])*(1-OrderLines[[#This Row],[DiscountPct]])</f>
        <v>53.645799999999994</v>
      </c>
      <c r="N470" t="str">
        <f>IF(AND(COUNTIFS(OrderLines[OrderID],OrderLines[[#This Row],[OrderID]],OrderLines[Category],"Hot Meal"),COUNTIFS(OrderLines[OrderID],OrderLines[[#This Row],[OrderID]],OrderLines[Category],"Beverage")),"Combo","Single")</f>
        <v>Single</v>
      </c>
      <c r="O470" s="8" t="str" cm="1">
        <f t="array" ref="O470">IF(SUMPRODUCT(OrderLines[UnitPrice],OrderLines[Qty],OrderLines[DiscountPct],--(OrderLines[OrderID] = OrderLines[[#This Row],[OrderID]]))&gt;40,"High Discount","Ok")</f>
        <v>Ok</v>
      </c>
      <c r="P470">
        <f>OrderLines[[#This Row],[UnitCost]]*OrderLines[[#This Row],[Qty]]</f>
        <v>29.14</v>
      </c>
      <c r="Q470" s="8">
        <f>OrderLines[[#This Row],[LineNetAmount]]-OrderLines[[#This Row],[Food Cost]]</f>
        <v>24.505799999999994</v>
      </c>
    </row>
    <row r="471" spans="1:17" x14ac:dyDescent="0.3">
      <c r="A471" t="s">
        <v>222</v>
      </c>
      <c r="B471" t="s">
        <v>410</v>
      </c>
      <c r="C471">
        <v>1</v>
      </c>
      <c r="D471" cm="1">
        <f t="array" ref="D471">VLOOKUP(OrderLines[[#This Row],[SKU]:[SKU]],Menu[],MATCH(OrderLines[[#Headers],[UnitPrice]],Menu[#Headers],0),FALSE)</f>
        <v>20.11</v>
      </c>
      <c r="E471" cm="1">
        <f t="array" ref="E471">VLOOKUP(OrderLines[[#This Row],[SKU]:[SKU]],Menu[],MATCH(OrderLines[[#Headers],[UnitCost]],Menu[#Headers],0),FALSE)</f>
        <v>8</v>
      </c>
      <c r="F471" t="str" cm="1">
        <f t="array" ref="F471">VLOOKUP(OrderLines[[#This Row],[SKU]:[SKU]],Menu[],MATCH(OrderLines[[#Headers],[Category]],Menu[#Headers],0),FALSE)</f>
        <v>Beverage</v>
      </c>
      <c r="G471" t="str" cm="1">
        <f t="array" ref="G471">_xlfn.TEXTJOIN("+",TRUE,_xlfn._xlws.SORT(_xlfn.UNIQUE(_xlfn._xlws.FILTER(OrderLines[Category],OrderLines[OrderID]=OrderLines[[#This Row],[OrderID]]))))</f>
        <v>Beverage+Dessert+Snack</v>
      </c>
      <c r="H471" s="2" cm="1">
        <f t="array" ref="H471">INT(VLOOKUP(OrderLines[[#This Row],[OrderID]:[OrderID]],Orders[],MATCH(OrderLines[[#Headers],[OrderDateTime]],Orders[#Headers],0),FALSE))</f>
        <v>45849</v>
      </c>
      <c r="I471" t="str" cm="1">
        <f t="array" ref="I471">VLOOKUP(OrderLines[[#This Row],[OrderID]:[OrderID]],Orders[],MATCH(OrderLines[[#Headers],[Branch]],Orders[#Headers],0),FALSE)</f>
        <v>Plant 2 Canteen</v>
      </c>
      <c r="J471" cm="1">
        <f t="array" ref="J471">VLOOKUP(OrderLines[[#This Row],[OrderID]:[OrderID]],Orders[],MATCH(OrderLines[[#Headers],[DiscountPct]],Orders[#Headers],0),FALSE)</f>
        <v>0.06</v>
      </c>
      <c r="K471" t="str" cm="1">
        <f t="array" ref="K471">VLOOKUP(OrderLines[[#This Row],[OrderID]:[OrderID]],Orders[],MATCH(OrderLines[[#Headers],[PaymentType]],Orders[#Headers],0),FALSE)</f>
        <v>UPI</v>
      </c>
      <c r="L471" t="str" cm="1">
        <f t="array" ref="L471">VLOOKUP(OrderLines[[#This Row],[OrderID]:[OrderID]],Orders[],MATCH(OrderLines[[#Headers],[Shift]],Orders[#Headers],0),FALSE)</f>
        <v>Breakfast</v>
      </c>
      <c r="M471" s="8">
        <f>(OrderLines[[#This Row],[Qty]]*OrderLines[[#This Row],[UnitPrice]])*(1-OrderLines[[#This Row],[DiscountPct]])</f>
        <v>18.903399999999998</v>
      </c>
      <c r="N471" t="str">
        <f>IF(AND(COUNTIFS(OrderLines[OrderID],OrderLines[[#This Row],[OrderID]],OrderLines[Category],"Hot Meal"),COUNTIFS(OrderLines[OrderID],OrderLines[[#This Row],[OrderID]],OrderLines[Category],"Beverage")),"Combo","Single")</f>
        <v>Single</v>
      </c>
      <c r="O471" s="8" t="str" cm="1">
        <f t="array" ref="O471">IF(SUMPRODUCT(OrderLines[UnitPrice],OrderLines[Qty],OrderLines[DiscountPct],--(OrderLines[OrderID] = OrderLines[[#This Row],[OrderID]]))&gt;40,"High Discount","Ok")</f>
        <v>Ok</v>
      </c>
      <c r="P471">
        <f>OrderLines[[#This Row],[UnitCost]]*OrderLines[[#This Row],[Qty]]</f>
        <v>8</v>
      </c>
      <c r="Q471" s="8">
        <f>OrderLines[[#This Row],[LineNetAmount]]-OrderLines[[#This Row],[Food Cost]]</f>
        <v>10.903399999999998</v>
      </c>
    </row>
    <row r="472" spans="1:17" x14ac:dyDescent="0.3">
      <c r="A472" t="s">
        <v>223</v>
      </c>
      <c r="B472" t="s">
        <v>402</v>
      </c>
      <c r="C472">
        <v>2</v>
      </c>
      <c r="D472" cm="1">
        <f t="array" ref="D472">VLOOKUP(OrderLines[[#This Row],[SKU]:[SKU]],Menu[],MATCH(OrderLines[[#Headers],[UnitPrice]],Menu[#Headers],0),FALSE)</f>
        <v>30.34</v>
      </c>
      <c r="E472" cm="1">
        <f t="array" ref="E472">VLOOKUP(OrderLines[[#This Row],[SKU]:[SKU]],Menu[],MATCH(OrderLines[[#Headers],[UnitCost]],Menu[#Headers],0),FALSE)</f>
        <v>14.18</v>
      </c>
      <c r="F472" t="str" cm="1">
        <f t="array" ref="F472">VLOOKUP(OrderLines[[#This Row],[SKU]:[SKU]],Menu[],MATCH(OrderLines[[#Headers],[Category]],Menu[#Headers],0),FALSE)</f>
        <v>Beverage</v>
      </c>
      <c r="G472" t="str" cm="1">
        <f t="array" ref="G472">_xlfn.TEXTJOIN("+",TRUE,_xlfn._xlws.SORT(_xlfn.UNIQUE(_xlfn._xlws.FILTER(OrderLines[Category],OrderLines[OrderID]=OrderLines[[#This Row],[OrderID]]))))</f>
        <v>Beverage</v>
      </c>
      <c r="H472" s="2" cm="1">
        <f t="array" ref="H472">INT(VLOOKUP(OrderLines[[#This Row],[OrderID]:[OrderID]],Orders[],MATCH(OrderLines[[#Headers],[OrderDateTime]],Orders[#Headers],0),FALSE))</f>
        <v>45842</v>
      </c>
      <c r="I472" t="str" cm="1">
        <f t="array" ref="I472">VLOOKUP(OrderLines[[#This Row],[OrderID]:[OrderID]],Orders[],MATCH(OrderLines[[#Headers],[Branch]],Orders[#Headers],0),FALSE)</f>
        <v>Plant 1 Canteen</v>
      </c>
      <c r="J472" cm="1">
        <f t="array" ref="J472">VLOOKUP(OrderLines[[#This Row],[OrderID]:[OrderID]],Orders[],MATCH(OrderLines[[#Headers],[DiscountPct]],Orders[#Headers],0),FALSE)</f>
        <v>0.02</v>
      </c>
      <c r="K472" t="str" cm="1">
        <f t="array" ref="K472">VLOOKUP(OrderLines[[#This Row],[OrderID]:[OrderID]],Orders[],MATCH(OrderLines[[#Headers],[PaymentType]],Orders[#Headers],0),FALSE)</f>
        <v>Cash</v>
      </c>
      <c r="L472" t="str" cm="1">
        <f t="array" ref="L472">VLOOKUP(OrderLines[[#This Row],[OrderID]:[OrderID]],Orders[],MATCH(OrderLines[[#Headers],[Shift]],Orders[#Headers],0),FALSE)</f>
        <v>Breakfast</v>
      </c>
      <c r="M472" s="8">
        <f>(OrderLines[[#This Row],[Qty]]*OrderLines[[#This Row],[UnitPrice]])*(1-OrderLines[[#This Row],[DiscountPct]])</f>
        <v>59.4664</v>
      </c>
      <c r="N472" t="str">
        <f>IF(AND(COUNTIFS(OrderLines[OrderID],OrderLines[[#This Row],[OrderID]],OrderLines[Category],"Hot Meal"),COUNTIFS(OrderLines[OrderID],OrderLines[[#This Row],[OrderID]],OrderLines[Category],"Beverage")),"Combo","Single")</f>
        <v>Single</v>
      </c>
      <c r="O472" s="8" t="str" cm="1">
        <f t="array" ref="O472">IF(SUMPRODUCT(OrderLines[UnitPrice],OrderLines[Qty],OrderLines[DiscountPct],--(OrderLines[OrderID] = OrderLines[[#This Row],[OrderID]]))&gt;40,"High Discount","Ok")</f>
        <v>Ok</v>
      </c>
      <c r="P472">
        <f>OrderLines[[#This Row],[UnitCost]]*OrderLines[[#This Row],[Qty]]</f>
        <v>28.36</v>
      </c>
      <c r="Q472" s="8">
        <f>OrderLines[[#This Row],[LineNetAmount]]-OrderLines[[#This Row],[Food Cost]]</f>
        <v>31.106400000000001</v>
      </c>
    </row>
    <row r="473" spans="1:17" x14ac:dyDescent="0.3">
      <c r="A473" t="s">
        <v>224</v>
      </c>
      <c r="B473" t="s">
        <v>408</v>
      </c>
      <c r="C473">
        <v>1</v>
      </c>
      <c r="D473" cm="1">
        <f t="array" ref="D473">VLOOKUP(OrderLines[[#This Row],[SKU]:[SKU]],Menu[],MATCH(OrderLines[[#Headers],[UnitPrice]],Menu[#Headers],0),FALSE)</f>
        <v>70.540000000000006</v>
      </c>
      <c r="E473" cm="1">
        <f t="array" ref="E473">VLOOKUP(OrderLines[[#This Row],[SKU]:[SKU]],Menu[],MATCH(OrderLines[[#Headers],[UnitCost]],Menu[#Headers],0),FALSE)</f>
        <v>35.81</v>
      </c>
      <c r="F473" t="str" cm="1">
        <f t="array" ref="F473">VLOOKUP(OrderLines[[#This Row],[SKU]:[SKU]],Menu[],MATCH(OrderLines[[#Headers],[Category]],Menu[#Headers],0),FALSE)</f>
        <v>Snack</v>
      </c>
      <c r="G473" t="str" cm="1">
        <f t="array" ref="G473">_xlfn.TEXTJOIN("+",TRUE,_xlfn._xlws.SORT(_xlfn.UNIQUE(_xlfn._xlws.FILTER(OrderLines[Category],OrderLines[OrderID]=OrderLines[[#This Row],[OrderID]]))))</f>
        <v>Beverage+Dessert+Hot Meal+Snack</v>
      </c>
      <c r="H473" s="2" cm="1">
        <f t="array" ref="H473">INT(VLOOKUP(OrderLines[[#This Row],[OrderID]:[OrderID]],Orders[],MATCH(OrderLines[[#Headers],[OrderDateTime]],Orders[#Headers],0),FALSE))</f>
        <v>45874</v>
      </c>
      <c r="I473" t="str" cm="1">
        <f t="array" ref="I473">VLOOKUP(OrderLines[[#This Row],[OrderID]:[OrderID]],Orders[],MATCH(OrderLines[[#Headers],[Branch]],Orders[#Headers],0),FALSE)</f>
        <v>Plant 2 Canteen</v>
      </c>
      <c r="J473" cm="1">
        <f t="array" ref="J473">VLOOKUP(OrderLines[[#This Row],[OrderID]:[OrderID]],Orders[],MATCH(OrderLines[[#Headers],[DiscountPct]],Orders[#Headers],0),FALSE)</f>
        <v>0.03</v>
      </c>
      <c r="K473" t="str" cm="1">
        <f t="array" ref="K473">VLOOKUP(OrderLines[[#This Row],[OrderID]:[OrderID]],Orders[],MATCH(OrderLines[[#Headers],[PaymentType]],Orders[#Headers],0),FALSE)</f>
        <v>Cash</v>
      </c>
      <c r="L473" t="str" cm="1">
        <f t="array" ref="L473">VLOOKUP(OrderLines[[#This Row],[OrderID]:[OrderID]],Orders[],MATCH(OrderLines[[#Headers],[Shift]],Orders[#Headers],0),FALSE)</f>
        <v>Breakfast</v>
      </c>
      <c r="M473" s="8">
        <f>(OrderLines[[#This Row],[Qty]]*OrderLines[[#This Row],[UnitPrice]])*(1-OrderLines[[#This Row],[DiscountPct]])</f>
        <v>68.4238</v>
      </c>
      <c r="N473" t="str">
        <f>IF(AND(COUNTIFS(OrderLines[OrderID],OrderLines[[#This Row],[OrderID]],OrderLines[Category],"Hot Meal"),COUNTIFS(OrderLines[OrderID],OrderLines[[#This Row],[OrderID]],OrderLines[Category],"Beverage")),"Combo","Single")</f>
        <v>Combo</v>
      </c>
      <c r="O473" s="8" t="str" cm="1">
        <f t="array" ref="O473">IF(SUMPRODUCT(OrderLines[UnitPrice],OrderLines[Qty],OrderLines[DiscountPct],--(OrderLines[OrderID] = OrderLines[[#This Row],[OrderID]]))&gt;40,"High Discount","Ok")</f>
        <v>Ok</v>
      </c>
      <c r="P473">
        <f>OrderLines[[#This Row],[UnitCost]]*OrderLines[[#This Row],[Qty]]</f>
        <v>35.81</v>
      </c>
      <c r="Q473" s="8">
        <f>OrderLines[[#This Row],[LineNetAmount]]-OrderLines[[#This Row],[Food Cost]]</f>
        <v>32.613799999999998</v>
      </c>
    </row>
    <row r="474" spans="1:17" x14ac:dyDescent="0.3">
      <c r="A474" t="s">
        <v>224</v>
      </c>
      <c r="B474" t="s">
        <v>404</v>
      </c>
      <c r="C474">
        <v>2</v>
      </c>
      <c r="D474" cm="1">
        <f t="array" ref="D474">VLOOKUP(OrderLines[[#This Row],[SKU]:[SKU]],Menu[],MATCH(OrderLines[[#Headers],[UnitPrice]],Menu[#Headers],0),FALSE)</f>
        <v>32.979999999999997</v>
      </c>
      <c r="E474" cm="1">
        <f t="array" ref="E474">VLOOKUP(OrderLines[[#This Row],[SKU]:[SKU]],Menu[],MATCH(OrderLines[[#Headers],[UnitCost]],Menu[#Headers],0),FALSE)</f>
        <v>11.84</v>
      </c>
      <c r="F474" t="str" cm="1">
        <f t="array" ref="F474">VLOOKUP(OrderLines[[#This Row],[SKU]:[SKU]],Menu[],MATCH(OrderLines[[#Headers],[Category]],Menu[#Headers],0),FALSE)</f>
        <v>Beverage</v>
      </c>
      <c r="G474" t="str" cm="1">
        <f t="array" ref="G474">_xlfn.TEXTJOIN("+",TRUE,_xlfn._xlws.SORT(_xlfn.UNIQUE(_xlfn._xlws.FILTER(OrderLines[Category],OrderLines[OrderID]=OrderLines[[#This Row],[OrderID]]))))</f>
        <v>Beverage+Dessert+Hot Meal+Snack</v>
      </c>
      <c r="H474" s="2" cm="1">
        <f t="array" ref="H474">INT(VLOOKUP(OrderLines[[#This Row],[OrderID]:[OrderID]],Orders[],MATCH(OrderLines[[#Headers],[OrderDateTime]],Orders[#Headers],0),FALSE))</f>
        <v>45874</v>
      </c>
      <c r="I474" t="str" cm="1">
        <f t="array" ref="I474">VLOOKUP(OrderLines[[#This Row],[OrderID]:[OrderID]],Orders[],MATCH(OrderLines[[#Headers],[Branch]],Orders[#Headers],0),FALSE)</f>
        <v>Plant 2 Canteen</v>
      </c>
      <c r="J474" cm="1">
        <f t="array" ref="J474">VLOOKUP(OrderLines[[#This Row],[OrderID]:[OrderID]],Orders[],MATCH(OrderLines[[#Headers],[DiscountPct]],Orders[#Headers],0),FALSE)</f>
        <v>0.03</v>
      </c>
      <c r="K474" t="str" cm="1">
        <f t="array" ref="K474">VLOOKUP(OrderLines[[#This Row],[OrderID]:[OrderID]],Orders[],MATCH(OrderLines[[#Headers],[PaymentType]],Orders[#Headers],0),FALSE)</f>
        <v>Cash</v>
      </c>
      <c r="L474" t="str" cm="1">
        <f t="array" ref="L474">VLOOKUP(OrderLines[[#This Row],[OrderID]:[OrderID]],Orders[],MATCH(OrderLines[[#Headers],[Shift]],Orders[#Headers],0),FALSE)</f>
        <v>Breakfast</v>
      </c>
      <c r="M474" s="8">
        <f>(OrderLines[[#This Row],[Qty]]*OrderLines[[#This Row],[UnitPrice]])*(1-OrderLines[[#This Row],[DiscountPct]])</f>
        <v>63.981199999999994</v>
      </c>
      <c r="N474" t="str">
        <f>IF(AND(COUNTIFS(OrderLines[OrderID],OrderLines[[#This Row],[OrderID]],OrderLines[Category],"Hot Meal"),COUNTIFS(OrderLines[OrderID],OrderLines[[#This Row],[OrderID]],OrderLines[Category],"Beverage")),"Combo","Single")</f>
        <v>Combo</v>
      </c>
      <c r="O474" s="8" t="str" cm="1">
        <f t="array" ref="O474">IF(SUMPRODUCT(OrderLines[UnitPrice],OrderLines[Qty],OrderLines[DiscountPct],--(OrderLines[OrderID] = OrderLines[[#This Row],[OrderID]]))&gt;40,"High Discount","Ok")</f>
        <v>Ok</v>
      </c>
      <c r="P474">
        <f>OrderLines[[#This Row],[UnitCost]]*OrderLines[[#This Row],[Qty]]</f>
        <v>23.68</v>
      </c>
      <c r="Q474" s="8">
        <f>OrderLines[[#This Row],[LineNetAmount]]-OrderLines[[#This Row],[Food Cost]]</f>
        <v>40.301199999999994</v>
      </c>
    </row>
    <row r="475" spans="1:17" x14ac:dyDescent="0.3">
      <c r="A475" t="s">
        <v>224</v>
      </c>
      <c r="B475" t="s">
        <v>413</v>
      </c>
      <c r="C475">
        <v>2</v>
      </c>
      <c r="D475" cm="1">
        <f t="array" ref="D475">VLOOKUP(OrderLines[[#This Row],[SKU]:[SKU]],Menu[],MATCH(OrderLines[[#Headers],[UnitPrice]],Menu[#Headers],0),FALSE)</f>
        <v>54.2</v>
      </c>
      <c r="E475" cm="1">
        <f t="array" ref="E475">VLOOKUP(OrderLines[[#This Row],[SKU]:[SKU]],Menu[],MATCH(OrderLines[[#Headers],[UnitCost]],Menu[#Headers],0),FALSE)</f>
        <v>21.95</v>
      </c>
      <c r="F475" t="str" cm="1">
        <f t="array" ref="F475">VLOOKUP(OrderLines[[#This Row],[SKU]:[SKU]],Menu[],MATCH(OrderLines[[#Headers],[Category]],Menu[#Headers],0),FALSE)</f>
        <v>Dessert</v>
      </c>
      <c r="G475" t="str" cm="1">
        <f t="array" ref="G475">_xlfn.TEXTJOIN("+",TRUE,_xlfn._xlws.SORT(_xlfn.UNIQUE(_xlfn._xlws.FILTER(OrderLines[Category],OrderLines[OrderID]=OrderLines[[#This Row],[OrderID]]))))</f>
        <v>Beverage+Dessert+Hot Meal+Snack</v>
      </c>
      <c r="H475" s="2" cm="1">
        <f t="array" ref="H475">INT(VLOOKUP(OrderLines[[#This Row],[OrderID]:[OrderID]],Orders[],MATCH(OrderLines[[#Headers],[OrderDateTime]],Orders[#Headers],0),FALSE))</f>
        <v>45874</v>
      </c>
      <c r="I475" t="str" cm="1">
        <f t="array" ref="I475">VLOOKUP(OrderLines[[#This Row],[OrderID]:[OrderID]],Orders[],MATCH(OrderLines[[#Headers],[Branch]],Orders[#Headers],0),FALSE)</f>
        <v>Plant 2 Canteen</v>
      </c>
      <c r="J475" cm="1">
        <f t="array" ref="J475">VLOOKUP(OrderLines[[#This Row],[OrderID]:[OrderID]],Orders[],MATCH(OrderLines[[#Headers],[DiscountPct]],Orders[#Headers],0),FALSE)</f>
        <v>0.03</v>
      </c>
      <c r="K475" t="str" cm="1">
        <f t="array" ref="K475">VLOOKUP(OrderLines[[#This Row],[OrderID]:[OrderID]],Orders[],MATCH(OrderLines[[#Headers],[PaymentType]],Orders[#Headers],0),FALSE)</f>
        <v>Cash</v>
      </c>
      <c r="L475" t="str" cm="1">
        <f t="array" ref="L475">VLOOKUP(OrderLines[[#This Row],[OrderID]:[OrderID]],Orders[],MATCH(OrderLines[[#Headers],[Shift]],Orders[#Headers],0),FALSE)</f>
        <v>Breakfast</v>
      </c>
      <c r="M475" s="8">
        <f>(OrderLines[[#This Row],[Qty]]*OrderLines[[#This Row],[UnitPrice]])*(1-OrderLines[[#This Row],[DiscountPct]])</f>
        <v>105.148</v>
      </c>
      <c r="N475" t="str">
        <f>IF(AND(COUNTIFS(OrderLines[OrderID],OrderLines[[#This Row],[OrderID]],OrderLines[Category],"Hot Meal"),COUNTIFS(OrderLines[OrderID],OrderLines[[#This Row],[OrderID]],OrderLines[Category],"Beverage")),"Combo","Single")</f>
        <v>Combo</v>
      </c>
      <c r="O475" s="8" t="str" cm="1">
        <f t="array" ref="O475">IF(SUMPRODUCT(OrderLines[UnitPrice],OrderLines[Qty],OrderLines[DiscountPct],--(OrderLines[OrderID] = OrderLines[[#This Row],[OrderID]]))&gt;40,"High Discount","Ok")</f>
        <v>Ok</v>
      </c>
      <c r="P475">
        <f>OrderLines[[#This Row],[UnitCost]]*OrderLines[[#This Row],[Qty]]</f>
        <v>43.9</v>
      </c>
      <c r="Q475" s="8">
        <f>OrderLines[[#This Row],[LineNetAmount]]-OrderLines[[#This Row],[Food Cost]]</f>
        <v>61.247999999999998</v>
      </c>
    </row>
    <row r="476" spans="1:17" x14ac:dyDescent="0.3">
      <c r="A476" t="s">
        <v>224</v>
      </c>
      <c r="B476" t="s">
        <v>405</v>
      </c>
      <c r="C476">
        <v>1</v>
      </c>
      <c r="D476" cm="1">
        <f t="array" ref="D476">VLOOKUP(OrderLines[[#This Row],[SKU]:[SKU]],Menu[],MATCH(OrderLines[[#Headers],[UnitPrice]],Menu[#Headers],0),FALSE)</f>
        <v>170.83</v>
      </c>
      <c r="E476" cm="1">
        <f t="array" ref="E476">VLOOKUP(OrderLines[[#This Row],[SKU]:[SKU]],Menu[],MATCH(OrderLines[[#Headers],[UnitCost]],Menu[#Headers],0),FALSE)</f>
        <v>74.069999999999993</v>
      </c>
      <c r="F476" t="str" cm="1">
        <f t="array" ref="F476">VLOOKUP(OrderLines[[#This Row],[SKU]:[SKU]],Menu[],MATCH(OrderLines[[#Headers],[Category]],Menu[#Headers],0),FALSE)</f>
        <v>Hot Meal</v>
      </c>
      <c r="G476" t="str" cm="1">
        <f t="array" ref="G476">_xlfn.TEXTJOIN("+",TRUE,_xlfn._xlws.SORT(_xlfn.UNIQUE(_xlfn._xlws.FILTER(OrderLines[Category],OrderLines[OrderID]=OrderLines[[#This Row],[OrderID]]))))</f>
        <v>Beverage+Dessert+Hot Meal+Snack</v>
      </c>
      <c r="H476" s="2" cm="1">
        <f t="array" ref="H476">INT(VLOOKUP(OrderLines[[#This Row],[OrderID]:[OrderID]],Orders[],MATCH(OrderLines[[#Headers],[OrderDateTime]],Orders[#Headers],0),FALSE))</f>
        <v>45874</v>
      </c>
      <c r="I476" t="str" cm="1">
        <f t="array" ref="I476">VLOOKUP(OrderLines[[#This Row],[OrderID]:[OrderID]],Orders[],MATCH(OrderLines[[#Headers],[Branch]],Orders[#Headers],0),FALSE)</f>
        <v>Plant 2 Canteen</v>
      </c>
      <c r="J476" cm="1">
        <f t="array" ref="J476">VLOOKUP(OrderLines[[#This Row],[OrderID]:[OrderID]],Orders[],MATCH(OrderLines[[#Headers],[DiscountPct]],Orders[#Headers],0),FALSE)</f>
        <v>0.03</v>
      </c>
      <c r="K476" t="str" cm="1">
        <f t="array" ref="K476">VLOOKUP(OrderLines[[#This Row],[OrderID]:[OrderID]],Orders[],MATCH(OrderLines[[#Headers],[PaymentType]],Orders[#Headers],0),FALSE)</f>
        <v>Cash</v>
      </c>
      <c r="L476" t="str" cm="1">
        <f t="array" ref="L476">VLOOKUP(OrderLines[[#This Row],[OrderID]:[OrderID]],Orders[],MATCH(OrderLines[[#Headers],[Shift]],Orders[#Headers],0),FALSE)</f>
        <v>Breakfast</v>
      </c>
      <c r="M476" s="8">
        <f>(OrderLines[[#This Row],[Qty]]*OrderLines[[#This Row],[UnitPrice]])*(1-OrderLines[[#This Row],[DiscountPct]])</f>
        <v>165.70510000000002</v>
      </c>
      <c r="N476" t="str">
        <f>IF(AND(COUNTIFS(OrderLines[OrderID],OrderLines[[#This Row],[OrderID]],OrderLines[Category],"Hot Meal"),COUNTIFS(OrderLines[OrderID],OrderLines[[#This Row],[OrderID]],OrderLines[Category],"Beverage")),"Combo","Single")</f>
        <v>Combo</v>
      </c>
      <c r="O476" s="8" t="str" cm="1">
        <f t="array" ref="O476">IF(SUMPRODUCT(OrderLines[UnitPrice],OrderLines[Qty],OrderLines[DiscountPct],--(OrderLines[OrderID] = OrderLines[[#This Row],[OrderID]]))&gt;40,"High Discount","Ok")</f>
        <v>Ok</v>
      </c>
      <c r="P476">
        <f>OrderLines[[#This Row],[UnitCost]]*OrderLines[[#This Row],[Qty]]</f>
        <v>74.069999999999993</v>
      </c>
      <c r="Q476" s="8">
        <f>OrderLines[[#This Row],[LineNetAmount]]-OrderLines[[#This Row],[Food Cost]]</f>
        <v>91.635100000000023</v>
      </c>
    </row>
    <row r="477" spans="1:17" x14ac:dyDescent="0.3">
      <c r="A477" t="s">
        <v>225</v>
      </c>
      <c r="B477" t="s">
        <v>411</v>
      </c>
      <c r="C477">
        <v>2</v>
      </c>
      <c r="D477" cm="1">
        <f t="array" ref="D477">VLOOKUP(OrderLines[[#This Row],[SKU]:[SKU]],Menu[],MATCH(OrderLines[[#Headers],[UnitPrice]],Menu[#Headers],0),FALSE)</f>
        <v>22.2</v>
      </c>
      <c r="E477" cm="1">
        <f t="array" ref="E477">VLOOKUP(OrderLines[[#This Row],[SKU]:[SKU]],Menu[],MATCH(OrderLines[[#Headers],[UnitCost]],Menu[#Headers],0),FALSE)</f>
        <v>9.3800000000000008</v>
      </c>
      <c r="F477" t="str" cm="1">
        <f t="array" ref="F477">VLOOKUP(OrderLines[[#This Row],[SKU]:[SKU]],Menu[],MATCH(OrderLines[[#Headers],[Category]],Menu[#Headers],0),FALSE)</f>
        <v>Beverage</v>
      </c>
      <c r="G477" t="str" cm="1">
        <f t="array" ref="G477">_xlfn.TEXTJOIN("+",TRUE,_xlfn._xlws.SORT(_xlfn.UNIQUE(_xlfn._xlws.FILTER(OrderLines[Category],OrderLines[OrderID]=OrderLines[[#This Row],[OrderID]]))))</f>
        <v>Beverage+Snack</v>
      </c>
      <c r="H477" s="2" cm="1">
        <f t="array" ref="H477">INT(VLOOKUP(OrderLines[[#This Row],[OrderID]:[OrderID]],Orders[],MATCH(OrderLines[[#Headers],[OrderDateTime]],Orders[#Headers],0),FALSE))</f>
        <v>45890</v>
      </c>
      <c r="I477" t="str" cm="1">
        <f t="array" ref="I477">VLOOKUP(OrderLines[[#This Row],[OrderID]:[OrderID]],Orders[],MATCH(OrderLines[[#Headers],[Branch]],Orders[#Headers],0),FALSE)</f>
        <v>Plant 2 Canteen</v>
      </c>
      <c r="J477" cm="1">
        <f t="array" ref="J477">VLOOKUP(OrderLines[[#This Row],[OrderID]:[OrderID]],Orders[],MATCH(OrderLines[[#Headers],[DiscountPct]],Orders[#Headers],0),FALSE)</f>
        <v>0.09</v>
      </c>
      <c r="K477" t="str" cm="1">
        <f t="array" ref="K477">VLOOKUP(OrderLines[[#This Row],[OrderID]:[OrderID]],Orders[],MATCH(OrderLines[[#Headers],[PaymentType]],Orders[#Headers],0),FALSE)</f>
        <v>UPI</v>
      </c>
      <c r="L477" t="str" cm="1">
        <f t="array" ref="L477">VLOOKUP(OrderLines[[#This Row],[OrderID]:[OrderID]],Orders[],MATCH(OrderLines[[#Headers],[Shift]],Orders[#Headers],0),FALSE)</f>
        <v>Dinner</v>
      </c>
      <c r="M477" s="8">
        <f>(OrderLines[[#This Row],[Qty]]*OrderLines[[#This Row],[UnitPrice]])*(1-OrderLines[[#This Row],[DiscountPct]])</f>
        <v>40.404000000000003</v>
      </c>
      <c r="N477" t="str">
        <f>IF(AND(COUNTIFS(OrderLines[OrderID],OrderLines[[#This Row],[OrderID]],OrderLines[Category],"Hot Meal"),COUNTIFS(OrderLines[OrderID],OrderLines[[#This Row],[OrderID]],OrderLines[Category],"Beverage")),"Combo","Single")</f>
        <v>Single</v>
      </c>
      <c r="O477" s="8" t="str" cm="1">
        <f t="array" ref="O477">IF(SUMPRODUCT(OrderLines[UnitPrice],OrderLines[Qty],OrderLines[DiscountPct],--(OrderLines[OrderID] = OrderLines[[#This Row],[OrderID]]))&gt;40,"High Discount","Ok")</f>
        <v>Ok</v>
      </c>
      <c r="P477">
        <f>OrderLines[[#This Row],[UnitCost]]*OrderLines[[#This Row],[Qty]]</f>
        <v>18.760000000000002</v>
      </c>
      <c r="Q477" s="8">
        <f>OrderLines[[#This Row],[LineNetAmount]]-OrderLines[[#This Row],[Food Cost]]</f>
        <v>21.644000000000002</v>
      </c>
    </row>
    <row r="478" spans="1:17" x14ac:dyDescent="0.3">
      <c r="A478" t="s">
        <v>225</v>
      </c>
      <c r="B478" t="s">
        <v>410</v>
      </c>
      <c r="C478">
        <v>2</v>
      </c>
      <c r="D478" cm="1">
        <f t="array" ref="D478">VLOOKUP(OrderLines[[#This Row],[SKU]:[SKU]],Menu[],MATCH(OrderLines[[#Headers],[UnitPrice]],Menu[#Headers],0),FALSE)</f>
        <v>20.11</v>
      </c>
      <c r="E478" cm="1">
        <f t="array" ref="E478">VLOOKUP(OrderLines[[#This Row],[SKU]:[SKU]],Menu[],MATCH(OrderLines[[#Headers],[UnitCost]],Menu[#Headers],0),FALSE)</f>
        <v>8</v>
      </c>
      <c r="F478" t="str" cm="1">
        <f t="array" ref="F478">VLOOKUP(OrderLines[[#This Row],[SKU]:[SKU]],Menu[],MATCH(OrderLines[[#Headers],[Category]],Menu[#Headers],0),FALSE)</f>
        <v>Beverage</v>
      </c>
      <c r="G478" t="str" cm="1">
        <f t="array" ref="G478">_xlfn.TEXTJOIN("+",TRUE,_xlfn._xlws.SORT(_xlfn.UNIQUE(_xlfn._xlws.FILTER(OrderLines[Category],OrderLines[OrderID]=OrderLines[[#This Row],[OrderID]]))))</f>
        <v>Beverage+Snack</v>
      </c>
      <c r="H478" s="2" cm="1">
        <f t="array" ref="H478">INT(VLOOKUP(OrderLines[[#This Row],[OrderID]:[OrderID]],Orders[],MATCH(OrderLines[[#Headers],[OrderDateTime]],Orders[#Headers],0),FALSE))</f>
        <v>45890</v>
      </c>
      <c r="I478" t="str" cm="1">
        <f t="array" ref="I478">VLOOKUP(OrderLines[[#This Row],[OrderID]:[OrderID]],Orders[],MATCH(OrderLines[[#Headers],[Branch]],Orders[#Headers],0),FALSE)</f>
        <v>Plant 2 Canteen</v>
      </c>
      <c r="J478" cm="1">
        <f t="array" ref="J478">VLOOKUP(OrderLines[[#This Row],[OrderID]:[OrderID]],Orders[],MATCH(OrderLines[[#Headers],[DiscountPct]],Orders[#Headers],0),FALSE)</f>
        <v>0.09</v>
      </c>
      <c r="K478" t="str" cm="1">
        <f t="array" ref="K478">VLOOKUP(OrderLines[[#This Row],[OrderID]:[OrderID]],Orders[],MATCH(OrderLines[[#Headers],[PaymentType]],Orders[#Headers],0),FALSE)</f>
        <v>UPI</v>
      </c>
      <c r="L478" t="str" cm="1">
        <f t="array" ref="L478">VLOOKUP(OrderLines[[#This Row],[OrderID]:[OrderID]],Orders[],MATCH(OrderLines[[#Headers],[Shift]],Orders[#Headers],0),FALSE)</f>
        <v>Dinner</v>
      </c>
      <c r="M478" s="8">
        <f>(OrderLines[[#This Row],[Qty]]*OrderLines[[#This Row],[UnitPrice]])*(1-OrderLines[[#This Row],[DiscountPct]])</f>
        <v>36.600200000000001</v>
      </c>
      <c r="N478" t="str">
        <f>IF(AND(COUNTIFS(OrderLines[OrderID],OrderLines[[#This Row],[OrderID]],OrderLines[Category],"Hot Meal"),COUNTIFS(OrderLines[OrderID],OrderLines[[#This Row],[OrderID]],OrderLines[Category],"Beverage")),"Combo","Single")</f>
        <v>Single</v>
      </c>
      <c r="O478" s="8" t="str" cm="1">
        <f t="array" ref="O478">IF(SUMPRODUCT(OrderLines[UnitPrice],OrderLines[Qty],OrderLines[DiscountPct],--(OrderLines[OrderID] = OrderLines[[#This Row],[OrderID]]))&gt;40,"High Discount","Ok")</f>
        <v>Ok</v>
      </c>
      <c r="P478">
        <f>OrderLines[[#This Row],[UnitCost]]*OrderLines[[#This Row],[Qty]]</f>
        <v>16</v>
      </c>
      <c r="Q478" s="8">
        <f>OrderLines[[#This Row],[LineNetAmount]]-OrderLines[[#This Row],[Food Cost]]</f>
        <v>20.600200000000001</v>
      </c>
    </row>
    <row r="479" spans="1:17" x14ac:dyDescent="0.3">
      <c r="A479" t="s">
        <v>225</v>
      </c>
      <c r="B479" t="s">
        <v>408</v>
      </c>
      <c r="C479">
        <v>1</v>
      </c>
      <c r="D479" cm="1">
        <f t="array" ref="D479">VLOOKUP(OrderLines[[#This Row],[SKU]:[SKU]],Menu[],MATCH(OrderLines[[#Headers],[UnitPrice]],Menu[#Headers],0),FALSE)</f>
        <v>70.540000000000006</v>
      </c>
      <c r="E479" cm="1">
        <f t="array" ref="E479">VLOOKUP(OrderLines[[#This Row],[SKU]:[SKU]],Menu[],MATCH(OrderLines[[#Headers],[UnitCost]],Menu[#Headers],0),FALSE)</f>
        <v>35.81</v>
      </c>
      <c r="F479" t="str" cm="1">
        <f t="array" ref="F479">VLOOKUP(OrderLines[[#This Row],[SKU]:[SKU]],Menu[],MATCH(OrderLines[[#Headers],[Category]],Menu[#Headers],0),FALSE)</f>
        <v>Snack</v>
      </c>
      <c r="G479" t="str" cm="1">
        <f t="array" ref="G479">_xlfn.TEXTJOIN("+",TRUE,_xlfn._xlws.SORT(_xlfn.UNIQUE(_xlfn._xlws.FILTER(OrderLines[Category],OrderLines[OrderID]=OrderLines[[#This Row],[OrderID]]))))</f>
        <v>Beverage+Snack</v>
      </c>
      <c r="H479" s="2" cm="1">
        <f t="array" ref="H479">INT(VLOOKUP(OrderLines[[#This Row],[OrderID]:[OrderID]],Orders[],MATCH(OrderLines[[#Headers],[OrderDateTime]],Orders[#Headers],0),FALSE))</f>
        <v>45890</v>
      </c>
      <c r="I479" t="str" cm="1">
        <f t="array" ref="I479">VLOOKUP(OrderLines[[#This Row],[OrderID]:[OrderID]],Orders[],MATCH(OrderLines[[#Headers],[Branch]],Orders[#Headers],0),FALSE)</f>
        <v>Plant 2 Canteen</v>
      </c>
      <c r="J479" cm="1">
        <f t="array" ref="J479">VLOOKUP(OrderLines[[#This Row],[OrderID]:[OrderID]],Orders[],MATCH(OrderLines[[#Headers],[DiscountPct]],Orders[#Headers],0),FALSE)</f>
        <v>0.09</v>
      </c>
      <c r="K479" t="str" cm="1">
        <f t="array" ref="K479">VLOOKUP(OrderLines[[#This Row],[OrderID]:[OrderID]],Orders[],MATCH(OrderLines[[#Headers],[PaymentType]],Orders[#Headers],0),FALSE)</f>
        <v>UPI</v>
      </c>
      <c r="L479" t="str" cm="1">
        <f t="array" ref="L479">VLOOKUP(OrderLines[[#This Row],[OrderID]:[OrderID]],Orders[],MATCH(OrderLines[[#Headers],[Shift]],Orders[#Headers],0),FALSE)</f>
        <v>Dinner</v>
      </c>
      <c r="M479" s="8">
        <f>(OrderLines[[#This Row],[Qty]]*OrderLines[[#This Row],[UnitPrice]])*(1-OrderLines[[#This Row],[DiscountPct]])</f>
        <v>64.191400000000002</v>
      </c>
      <c r="N479" t="str">
        <f>IF(AND(COUNTIFS(OrderLines[OrderID],OrderLines[[#This Row],[OrderID]],OrderLines[Category],"Hot Meal"),COUNTIFS(OrderLines[OrderID],OrderLines[[#This Row],[OrderID]],OrderLines[Category],"Beverage")),"Combo","Single")</f>
        <v>Single</v>
      </c>
      <c r="O479" s="8" t="str" cm="1">
        <f t="array" ref="O479">IF(SUMPRODUCT(OrderLines[UnitPrice],OrderLines[Qty],OrderLines[DiscountPct],--(OrderLines[OrderID] = OrderLines[[#This Row],[OrderID]]))&gt;40,"High Discount","Ok")</f>
        <v>Ok</v>
      </c>
      <c r="P479">
        <f>OrderLines[[#This Row],[UnitCost]]*OrderLines[[#This Row],[Qty]]</f>
        <v>35.81</v>
      </c>
      <c r="Q479" s="8">
        <f>OrderLines[[#This Row],[LineNetAmount]]-OrderLines[[#This Row],[Food Cost]]</f>
        <v>28.381399999999999</v>
      </c>
    </row>
    <row r="480" spans="1:17" x14ac:dyDescent="0.3">
      <c r="A480" t="s">
        <v>225</v>
      </c>
      <c r="B480" t="s">
        <v>419</v>
      </c>
      <c r="C480">
        <v>1</v>
      </c>
      <c r="D480" cm="1">
        <f t="array" ref="D480">VLOOKUP(OrderLines[[#This Row],[SKU]:[SKU]],Menu[],MATCH(OrderLines[[#Headers],[UnitPrice]],Menu[#Headers],0),FALSE)</f>
        <v>50.19</v>
      </c>
      <c r="E480" cm="1">
        <f t="array" ref="E480">VLOOKUP(OrderLines[[#This Row],[SKU]:[SKU]],Menu[],MATCH(OrderLines[[#Headers],[UnitCost]],Menu[#Headers],0),FALSE)</f>
        <v>22.61</v>
      </c>
      <c r="F480" t="str" cm="1">
        <f t="array" ref="F480">VLOOKUP(OrderLines[[#This Row],[SKU]:[SKU]],Menu[],MATCH(OrderLines[[#Headers],[Category]],Menu[#Headers],0),FALSE)</f>
        <v>Snack</v>
      </c>
      <c r="G480" t="str" cm="1">
        <f t="array" ref="G480">_xlfn.TEXTJOIN("+",TRUE,_xlfn._xlws.SORT(_xlfn.UNIQUE(_xlfn._xlws.FILTER(OrderLines[Category],OrderLines[OrderID]=OrderLines[[#This Row],[OrderID]]))))</f>
        <v>Beverage+Snack</v>
      </c>
      <c r="H480" s="2" cm="1">
        <f t="array" ref="H480">INT(VLOOKUP(OrderLines[[#This Row],[OrderID]:[OrderID]],Orders[],MATCH(OrderLines[[#Headers],[OrderDateTime]],Orders[#Headers],0),FALSE))</f>
        <v>45890</v>
      </c>
      <c r="I480" t="str" cm="1">
        <f t="array" ref="I480">VLOOKUP(OrderLines[[#This Row],[OrderID]:[OrderID]],Orders[],MATCH(OrderLines[[#Headers],[Branch]],Orders[#Headers],0),FALSE)</f>
        <v>Plant 2 Canteen</v>
      </c>
      <c r="J480" cm="1">
        <f t="array" ref="J480">VLOOKUP(OrderLines[[#This Row],[OrderID]:[OrderID]],Orders[],MATCH(OrderLines[[#Headers],[DiscountPct]],Orders[#Headers],0),FALSE)</f>
        <v>0.09</v>
      </c>
      <c r="K480" t="str" cm="1">
        <f t="array" ref="K480">VLOOKUP(OrderLines[[#This Row],[OrderID]:[OrderID]],Orders[],MATCH(OrderLines[[#Headers],[PaymentType]],Orders[#Headers],0),FALSE)</f>
        <v>UPI</v>
      </c>
      <c r="L480" t="str" cm="1">
        <f t="array" ref="L480">VLOOKUP(OrderLines[[#This Row],[OrderID]:[OrderID]],Orders[],MATCH(OrderLines[[#Headers],[Shift]],Orders[#Headers],0),FALSE)</f>
        <v>Dinner</v>
      </c>
      <c r="M480" s="8">
        <f>(OrderLines[[#This Row],[Qty]]*OrderLines[[#This Row],[UnitPrice]])*(1-OrderLines[[#This Row],[DiscountPct]])</f>
        <v>45.672899999999998</v>
      </c>
      <c r="N480" t="str">
        <f>IF(AND(COUNTIFS(OrderLines[OrderID],OrderLines[[#This Row],[OrderID]],OrderLines[Category],"Hot Meal"),COUNTIFS(OrderLines[OrderID],OrderLines[[#This Row],[OrderID]],OrderLines[Category],"Beverage")),"Combo","Single")</f>
        <v>Single</v>
      </c>
      <c r="O480" s="8" t="str" cm="1">
        <f t="array" ref="O480">IF(SUMPRODUCT(OrderLines[UnitPrice],OrderLines[Qty],OrderLines[DiscountPct],--(OrderLines[OrderID] = OrderLines[[#This Row],[OrderID]]))&gt;40,"High Discount","Ok")</f>
        <v>Ok</v>
      </c>
      <c r="P480">
        <f>OrderLines[[#This Row],[UnitCost]]*OrderLines[[#This Row],[Qty]]</f>
        <v>22.61</v>
      </c>
      <c r="Q480" s="8">
        <f>OrderLines[[#This Row],[LineNetAmount]]-OrderLines[[#This Row],[Food Cost]]</f>
        <v>23.062899999999999</v>
      </c>
    </row>
    <row r="481" spans="1:17" x14ac:dyDescent="0.3">
      <c r="A481" t="s">
        <v>226</v>
      </c>
      <c r="B481" t="s">
        <v>408</v>
      </c>
      <c r="C481">
        <v>1</v>
      </c>
      <c r="D481" cm="1">
        <f t="array" ref="D481">VLOOKUP(OrderLines[[#This Row],[SKU]:[SKU]],Menu[],MATCH(OrderLines[[#Headers],[UnitPrice]],Menu[#Headers],0),FALSE)</f>
        <v>70.540000000000006</v>
      </c>
      <c r="E481" cm="1">
        <f t="array" ref="E481">VLOOKUP(OrderLines[[#This Row],[SKU]:[SKU]],Menu[],MATCH(OrderLines[[#Headers],[UnitCost]],Menu[#Headers],0),FALSE)</f>
        <v>35.81</v>
      </c>
      <c r="F481" t="str" cm="1">
        <f t="array" ref="F481">VLOOKUP(OrderLines[[#This Row],[SKU]:[SKU]],Menu[],MATCH(OrderLines[[#Headers],[Category]],Menu[#Headers],0),FALSE)</f>
        <v>Snack</v>
      </c>
      <c r="G481" t="str" cm="1">
        <f t="array" ref="G481">_xlfn.TEXTJOIN("+",TRUE,_xlfn._xlws.SORT(_xlfn.UNIQUE(_xlfn._xlws.FILTER(OrderLines[Category],OrderLines[OrderID]=OrderLines[[#This Row],[OrderID]]))))</f>
        <v>Beverage+Hot Meal+Snack</v>
      </c>
      <c r="H481" s="2" cm="1">
        <f t="array" ref="H481">INT(VLOOKUP(OrderLines[[#This Row],[OrderID]:[OrderID]],Orders[],MATCH(OrderLines[[#Headers],[OrderDateTime]],Orders[#Headers],0),FALSE))</f>
        <v>45855</v>
      </c>
      <c r="I481" t="str" cm="1">
        <f t="array" ref="I481">VLOOKUP(OrderLines[[#This Row],[OrderID]:[OrderID]],Orders[],MATCH(OrderLines[[#Headers],[Branch]],Orders[#Headers],0),FALSE)</f>
        <v>Plant 1 Canteen</v>
      </c>
      <c r="J481" cm="1">
        <f t="array" ref="J481">VLOOKUP(OrderLines[[#This Row],[OrderID]:[OrderID]],Orders[],MATCH(OrderLines[[#Headers],[DiscountPct]],Orders[#Headers],0),FALSE)</f>
        <v>0.03</v>
      </c>
      <c r="K481" t="str" cm="1">
        <f t="array" ref="K481">VLOOKUP(OrderLines[[#This Row],[OrderID]:[OrderID]],Orders[],MATCH(OrderLines[[#Headers],[PaymentType]],Orders[#Headers],0),FALSE)</f>
        <v>UPI</v>
      </c>
      <c r="L481" t="str" cm="1">
        <f t="array" ref="L481">VLOOKUP(OrderLines[[#This Row],[OrderID]:[OrderID]],Orders[],MATCH(OrderLines[[#Headers],[Shift]],Orders[#Headers],0),FALSE)</f>
        <v>Dinner</v>
      </c>
      <c r="M481" s="8">
        <f>(OrderLines[[#This Row],[Qty]]*OrderLines[[#This Row],[UnitPrice]])*(1-OrderLines[[#This Row],[DiscountPct]])</f>
        <v>68.4238</v>
      </c>
      <c r="N481" t="str">
        <f>IF(AND(COUNTIFS(OrderLines[OrderID],OrderLines[[#This Row],[OrderID]],OrderLines[Category],"Hot Meal"),COUNTIFS(OrderLines[OrderID],OrderLines[[#This Row],[OrderID]],OrderLines[Category],"Beverage")),"Combo","Single")</f>
        <v>Combo</v>
      </c>
      <c r="O481" s="8" t="str" cm="1">
        <f t="array" ref="O481">IF(SUMPRODUCT(OrderLines[UnitPrice],OrderLines[Qty],OrderLines[DiscountPct],--(OrderLines[OrderID] = OrderLines[[#This Row],[OrderID]]))&gt;40,"High Discount","Ok")</f>
        <v>Ok</v>
      </c>
      <c r="P481">
        <f>OrderLines[[#This Row],[UnitCost]]*OrderLines[[#This Row],[Qty]]</f>
        <v>35.81</v>
      </c>
      <c r="Q481" s="8">
        <f>OrderLines[[#This Row],[LineNetAmount]]-OrderLines[[#This Row],[Food Cost]]</f>
        <v>32.613799999999998</v>
      </c>
    </row>
    <row r="482" spans="1:17" x14ac:dyDescent="0.3">
      <c r="A482" t="s">
        <v>226</v>
      </c>
      <c r="B482" t="s">
        <v>410</v>
      </c>
      <c r="C482">
        <v>2</v>
      </c>
      <c r="D482" cm="1">
        <f t="array" ref="D482">VLOOKUP(OrderLines[[#This Row],[SKU]:[SKU]],Menu[],MATCH(OrderLines[[#Headers],[UnitPrice]],Menu[#Headers],0),FALSE)</f>
        <v>20.11</v>
      </c>
      <c r="E482" cm="1">
        <f t="array" ref="E482">VLOOKUP(OrderLines[[#This Row],[SKU]:[SKU]],Menu[],MATCH(OrderLines[[#Headers],[UnitCost]],Menu[#Headers],0),FALSE)</f>
        <v>8</v>
      </c>
      <c r="F482" t="str" cm="1">
        <f t="array" ref="F482">VLOOKUP(OrderLines[[#This Row],[SKU]:[SKU]],Menu[],MATCH(OrderLines[[#Headers],[Category]],Menu[#Headers],0),FALSE)</f>
        <v>Beverage</v>
      </c>
      <c r="G482" t="str" cm="1">
        <f t="array" ref="G482">_xlfn.TEXTJOIN("+",TRUE,_xlfn._xlws.SORT(_xlfn.UNIQUE(_xlfn._xlws.FILTER(OrderLines[Category],OrderLines[OrderID]=OrderLines[[#This Row],[OrderID]]))))</f>
        <v>Beverage+Hot Meal+Snack</v>
      </c>
      <c r="H482" s="2" cm="1">
        <f t="array" ref="H482">INT(VLOOKUP(OrderLines[[#This Row],[OrderID]:[OrderID]],Orders[],MATCH(OrderLines[[#Headers],[OrderDateTime]],Orders[#Headers],0),FALSE))</f>
        <v>45855</v>
      </c>
      <c r="I482" t="str" cm="1">
        <f t="array" ref="I482">VLOOKUP(OrderLines[[#This Row],[OrderID]:[OrderID]],Orders[],MATCH(OrderLines[[#Headers],[Branch]],Orders[#Headers],0),FALSE)</f>
        <v>Plant 1 Canteen</v>
      </c>
      <c r="J482" cm="1">
        <f t="array" ref="J482">VLOOKUP(OrderLines[[#This Row],[OrderID]:[OrderID]],Orders[],MATCH(OrderLines[[#Headers],[DiscountPct]],Orders[#Headers],0),FALSE)</f>
        <v>0.03</v>
      </c>
      <c r="K482" t="str" cm="1">
        <f t="array" ref="K482">VLOOKUP(OrderLines[[#This Row],[OrderID]:[OrderID]],Orders[],MATCH(OrderLines[[#Headers],[PaymentType]],Orders[#Headers],0),FALSE)</f>
        <v>UPI</v>
      </c>
      <c r="L482" t="str" cm="1">
        <f t="array" ref="L482">VLOOKUP(OrderLines[[#This Row],[OrderID]:[OrderID]],Orders[],MATCH(OrderLines[[#Headers],[Shift]],Orders[#Headers],0),FALSE)</f>
        <v>Dinner</v>
      </c>
      <c r="M482" s="8">
        <f>(OrderLines[[#This Row],[Qty]]*OrderLines[[#This Row],[UnitPrice]])*(1-OrderLines[[#This Row],[DiscountPct]])</f>
        <v>39.013399999999997</v>
      </c>
      <c r="N482" t="str">
        <f>IF(AND(COUNTIFS(OrderLines[OrderID],OrderLines[[#This Row],[OrderID]],OrderLines[Category],"Hot Meal"),COUNTIFS(OrderLines[OrderID],OrderLines[[#This Row],[OrderID]],OrderLines[Category],"Beverage")),"Combo","Single")</f>
        <v>Combo</v>
      </c>
      <c r="O482" s="8" t="str" cm="1">
        <f t="array" ref="O482">IF(SUMPRODUCT(OrderLines[UnitPrice],OrderLines[Qty],OrderLines[DiscountPct],--(OrderLines[OrderID] = OrderLines[[#This Row],[OrderID]]))&gt;40,"High Discount","Ok")</f>
        <v>Ok</v>
      </c>
      <c r="P482">
        <f>OrderLines[[#This Row],[UnitCost]]*OrderLines[[#This Row],[Qty]]</f>
        <v>16</v>
      </c>
      <c r="Q482" s="8">
        <f>OrderLines[[#This Row],[LineNetAmount]]-OrderLines[[#This Row],[Food Cost]]</f>
        <v>23.013399999999997</v>
      </c>
    </row>
    <row r="483" spans="1:17" x14ac:dyDescent="0.3">
      <c r="A483" t="s">
        <v>226</v>
      </c>
      <c r="B483" t="s">
        <v>407</v>
      </c>
      <c r="C483">
        <v>2</v>
      </c>
      <c r="D483" cm="1">
        <f t="array" ref="D483">VLOOKUP(OrderLines[[#This Row],[SKU]:[SKU]],Menu[],MATCH(OrderLines[[#Headers],[UnitPrice]],Menu[#Headers],0),FALSE)</f>
        <v>246.09</v>
      </c>
      <c r="E483" cm="1">
        <f t="array" ref="E483">VLOOKUP(OrderLines[[#This Row],[SKU]:[SKU]],Menu[],MATCH(OrderLines[[#Headers],[UnitCost]],Menu[#Headers],0),FALSE)</f>
        <v>112.08</v>
      </c>
      <c r="F483" t="str" cm="1">
        <f t="array" ref="F483">VLOOKUP(OrderLines[[#This Row],[SKU]:[SKU]],Menu[],MATCH(OrderLines[[#Headers],[Category]],Menu[#Headers],0),FALSE)</f>
        <v>Hot Meal</v>
      </c>
      <c r="G483" t="str" cm="1">
        <f t="array" ref="G483">_xlfn.TEXTJOIN("+",TRUE,_xlfn._xlws.SORT(_xlfn.UNIQUE(_xlfn._xlws.FILTER(OrderLines[Category],OrderLines[OrderID]=OrderLines[[#This Row],[OrderID]]))))</f>
        <v>Beverage+Hot Meal+Snack</v>
      </c>
      <c r="H483" s="2" cm="1">
        <f t="array" ref="H483">INT(VLOOKUP(OrderLines[[#This Row],[OrderID]:[OrderID]],Orders[],MATCH(OrderLines[[#Headers],[OrderDateTime]],Orders[#Headers],0),FALSE))</f>
        <v>45855</v>
      </c>
      <c r="I483" t="str" cm="1">
        <f t="array" ref="I483">VLOOKUP(OrderLines[[#This Row],[OrderID]:[OrderID]],Orders[],MATCH(OrderLines[[#Headers],[Branch]],Orders[#Headers],0),FALSE)</f>
        <v>Plant 1 Canteen</v>
      </c>
      <c r="J483" cm="1">
        <f t="array" ref="J483">VLOOKUP(OrderLines[[#This Row],[OrderID]:[OrderID]],Orders[],MATCH(OrderLines[[#Headers],[DiscountPct]],Orders[#Headers],0),FALSE)</f>
        <v>0.03</v>
      </c>
      <c r="K483" t="str" cm="1">
        <f t="array" ref="K483">VLOOKUP(OrderLines[[#This Row],[OrderID]:[OrderID]],Orders[],MATCH(OrderLines[[#Headers],[PaymentType]],Orders[#Headers],0),FALSE)</f>
        <v>UPI</v>
      </c>
      <c r="L483" t="str" cm="1">
        <f t="array" ref="L483">VLOOKUP(OrderLines[[#This Row],[OrderID]:[OrderID]],Orders[],MATCH(OrderLines[[#Headers],[Shift]],Orders[#Headers],0),FALSE)</f>
        <v>Dinner</v>
      </c>
      <c r="M483" s="8">
        <f>(OrderLines[[#This Row],[Qty]]*OrderLines[[#This Row],[UnitPrice]])*(1-OrderLines[[#This Row],[DiscountPct]])</f>
        <v>477.41460000000001</v>
      </c>
      <c r="N483" t="str">
        <f>IF(AND(COUNTIFS(OrderLines[OrderID],OrderLines[[#This Row],[OrderID]],OrderLines[Category],"Hot Meal"),COUNTIFS(OrderLines[OrderID],OrderLines[[#This Row],[OrderID]],OrderLines[Category],"Beverage")),"Combo","Single")</f>
        <v>Combo</v>
      </c>
      <c r="O483" s="8" t="str" cm="1">
        <f t="array" ref="O483">IF(SUMPRODUCT(OrderLines[UnitPrice],OrderLines[Qty],OrderLines[DiscountPct],--(OrderLines[OrderID] = OrderLines[[#This Row],[OrderID]]))&gt;40,"High Discount","Ok")</f>
        <v>Ok</v>
      </c>
      <c r="P483">
        <f>OrderLines[[#This Row],[UnitCost]]*OrderLines[[#This Row],[Qty]]</f>
        <v>224.16</v>
      </c>
      <c r="Q483" s="8">
        <f>OrderLines[[#This Row],[LineNetAmount]]-OrderLines[[#This Row],[Food Cost]]</f>
        <v>253.25460000000001</v>
      </c>
    </row>
    <row r="484" spans="1:17" x14ac:dyDescent="0.3">
      <c r="A484" t="s">
        <v>227</v>
      </c>
      <c r="B484" t="s">
        <v>417</v>
      </c>
      <c r="C484">
        <v>1</v>
      </c>
      <c r="D484" cm="1">
        <f t="array" ref="D484">VLOOKUP(OrderLines[[#This Row],[SKU]:[SKU]],Menu[],MATCH(OrderLines[[#Headers],[UnitPrice]],Menu[#Headers],0),FALSE)</f>
        <v>146.4</v>
      </c>
      <c r="E484" cm="1">
        <f t="array" ref="E484">VLOOKUP(OrderLines[[#This Row],[SKU]:[SKU]],Menu[],MATCH(OrderLines[[#Headers],[UnitCost]],Menu[#Headers],0),FALSE)</f>
        <v>80.92</v>
      </c>
      <c r="F484" t="str" cm="1">
        <f t="array" ref="F484">VLOOKUP(OrderLines[[#This Row],[SKU]:[SKU]],Menu[],MATCH(OrderLines[[#Headers],[Category]],Menu[#Headers],0),FALSE)</f>
        <v>Hot Meal</v>
      </c>
      <c r="G484" t="str" cm="1">
        <f t="array" ref="G484">_xlfn.TEXTJOIN("+",TRUE,_xlfn._xlws.SORT(_xlfn.UNIQUE(_xlfn._xlws.FILTER(OrderLines[Category],OrderLines[OrderID]=OrderLines[[#This Row],[OrderID]]))))</f>
        <v>Hot Meal</v>
      </c>
      <c r="H484" s="2" cm="1">
        <f t="array" ref="H484">INT(VLOOKUP(OrderLines[[#This Row],[OrderID]:[OrderID]],Orders[],MATCH(OrderLines[[#Headers],[OrderDateTime]],Orders[#Headers],0),FALSE))</f>
        <v>45862</v>
      </c>
      <c r="I484" t="str" cm="1">
        <f t="array" ref="I484">VLOOKUP(OrderLines[[#This Row],[OrderID]:[OrderID]],Orders[],MATCH(OrderLines[[#Headers],[Branch]],Orders[#Headers],0),FALSE)</f>
        <v>Plant 2 Canteen</v>
      </c>
      <c r="J484" cm="1">
        <f t="array" ref="J484">VLOOKUP(OrderLines[[#This Row],[OrderID]:[OrderID]],Orders[],MATCH(OrderLines[[#Headers],[DiscountPct]],Orders[#Headers],0),FALSE)</f>
        <v>7.0000000000000007E-2</v>
      </c>
      <c r="K484" t="str" cm="1">
        <f t="array" ref="K484">VLOOKUP(OrderLines[[#This Row],[OrderID]:[OrderID]],Orders[],MATCH(OrderLines[[#Headers],[PaymentType]],Orders[#Headers],0),FALSE)</f>
        <v>Cash</v>
      </c>
      <c r="L484" t="str" cm="1">
        <f t="array" ref="L484">VLOOKUP(OrderLines[[#This Row],[OrderID]:[OrderID]],Orders[],MATCH(OrderLines[[#Headers],[Shift]],Orders[#Headers],0),FALSE)</f>
        <v>Lunch</v>
      </c>
      <c r="M484" s="8">
        <f>(OrderLines[[#This Row],[Qty]]*OrderLines[[#This Row],[UnitPrice]])*(1-OrderLines[[#This Row],[DiscountPct]])</f>
        <v>136.15199999999999</v>
      </c>
      <c r="N484" t="str">
        <f>IF(AND(COUNTIFS(OrderLines[OrderID],OrderLines[[#This Row],[OrderID]],OrderLines[Category],"Hot Meal"),COUNTIFS(OrderLines[OrderID],OrderLines[[#This Row],[OrderID]],OrderLines[Category],"Beverage")),"Combo","Single")</f>
        <v>Single</v>
      </c>
      <c r="O484" s="8" t="str" cm="1">
        <f t="array" ref="O484">IF(SUMPRODUCT(OrderLines[UnitPrice],OrderLines[Qty],OrderLines[DiscountPct],--(OrderLines[OrderID] = OrderLines[[#This Row],[OrderID]]))&gt;40,"High Discount","Ok")</f>
        <v>Ok</v>
      </c>
      <c r="P484">
        <f>OrderLines[[#This Row],[UnitCost]]*OrderLines[[#This Row],[Qty]]</f>
        <v>80.92</v>
      </c>
      <c r="Q484" s="8">
        <f>OrderLines[[#This Row],[LineNetAmount]]-OrderLines[[#This Row],[Food Cost]]</f>
        <v>55.231999999999985</v>
      </c>
    </row>
    <row r="485" spans="1:17" x14ac:dyDescent="0.3">
      <c r="A485" t="s">
        <v>228</v>
      </c>
      <c r="B485" t="s">
        <v>419</v>
      </c>
      <c r="C485">
        <v>2</v>
      </c>
      <c r="D485" cm="1">
        <f t="array" ref="D485">VLOOKUP(OrderLines[[#This Row],[SKU]:[SKU]],Menu[],MATCH(OrderLines[[#Headers],[UnitPrice]],Menu[#Headers],0),FALSE)</f>
        <v>50.19</v>
      </c>
      <c r="E485" cm="1">
        <f t="array" ref="E485">VLOOKUP(OrderLines[[#This Row],[SKU]:[SKU]],Menu[],MATCH(OrderLines[[#Headers],[UnitCost]],Menu[#Headers],0),FALSE)</f>
        <v>22.61</v>
      </c>
      <c r="F485" t="str" cm="1">
        <f t="array" ref="F485">VLOOKUP(OrderLines[[#This Row],[SKU]:[SKU]],Menu[],MATCH(OrderLines[[#Headers],[Category]],Menu[#Headers],0),FALSE)</f>
        <v>Snack</v>
      </c>
      <c r="G485" t="str" cm="1">
        <f t="array" ref="G485">_xlfn.TEXTJOIN("+",TRUE,_xlfn._xlws.SORT(_xlfn.UNIQUE(_xlfn._xlws.FILTER(OrderLines[Category],OrderLines[OrderID]=OrderLines[[#This Row],[OrderID]]))))</f>
        <v>Dessert+Snack</v>
      </c>
      <c r="H485" s="2" cm="1">
        <f t="array" ref="H485">INT(VLOOKUP(OrderLines[[#This Row],[OrderID]:[OrderID]],Orders[],MATCH(OrderLines[[#Headers],[OrderDateTime]],Orders[#Headers],0),FALSE))</f>
        <v>45884</v>
      </c>
      <c r="I485" t="str" cm="1">
        <f t="array" ref="I485">VLOOKUP(OrderLines[[#This Row],[OrderID]:[OrderID]],Orders[],MATCH(OrderLines[[#Headers],[Branch]],Orders[#Headers],0),FALSE)</f>
        <v>Head Office Café</v>
      </c>
      <c r="J485" cm="1">
        <f t="array" ref="J485">VLOOKUP(OrderLines[[#This Row],[OrderID]:[OrderID]],Orders[],MATCH(OrderLines[[#Headers],[DiscountPct]],Orders[#Headers],0),FALSE)</f>
        <v>0.06</v>
      </c>
      <c r="K485" t="str" cm="1">
        <f t="array" ref="K485">VLOOKUP(OrderLines[[#This Row],[OrderID]:[OrderID]],Orders[],MATCH(OrderLines[[#Headers],[PaymentType]],Orders[#Headers],0),FALSE)</f>
        <v>Card</v>
      </c>
      <c r="L485" t="str" cm="1">
        <f t="array" ref="L485">VLOOKUP(OrderLines[[#This Row],[OrderID]:[OrderID]],Orders[],MATCH(OrderLines[[#Headers],[Shift]],Orders[#Headers],0),FALSE)</f>
        <v>Breakfast</v>
      </c>
      <c r="M485" s="8">
        <f>(OrderLines[[#This Row],[Qty]]*OrderLines[[#This Row],[UnitPrice]])*(1-OrderLines[[#This Row],[DiscountPct]])</f>
        <v>94.357199999999992</v>
      </c>
      <c r="N485" t="str">
        <f>IF(AND(COUNTIFS(OrderLines[OrderID],OrderLines[[#This Row],[OrderID]],OrderLines[Category],"Hot Meal"),COUNTIFS(OrderLines[OrderID],OrderLines[[#This Row],[OrderID]],OrderLines[Category],"Beverage")),"Combo","Single")</f>
        <v>Single</v>
      </c>
      <c r="O485" s="8" t="str" cm="1">
        <f t="array" ref="O485">IF(SUMPRODUCT(OrderLines[UnitPrice],OrderLines[Qty],OrderLines[DiscountPct],--(OrderLines[OrderID] = OrderLines[[#This Row],[OrderID]]))&gt;40,"High Discount","Ok")</f>
        <v>Ok</v>
      </c>
      <c r="P485">
        <f>OrderLines[[#This Row],[UnitCost]]*OrderLines[[#This Row],[Qty]]</f>
        <v>45.22</v>
      </c>
      <c r="Q485" s="8">
        <f>OrderLines[[#This Row],[LineNetAmount]]-OrderLines[[#This Row],[Food Cost]]</f>
        <v>49.137199999999993</v>
      </c>
    </row>
    <row r="486" spans="1:17" x14ac:dyDescent="0.3">
      <c r="A486" t="s">
        <v>228</v>
      </c>
      <c r="B486" t="s">
        <v>412</v>
      </c>
      <c r="C486">
        <v>3</v>
      </c>
      <c r="D486" cm="1">
        <f t="array" ref="D486">VLOOKUP(OrderLines[[#This Row],[SKU]:[SKU]],Menu[],MATCH(OrderLines[[#Headers],[UnitPrice]],Menu[#Headers],0),FALSE)</f>
        <v>57.07</v>
      </c>
      <c r="E486" cm="1">
        <f t="array" ref="E486">VLOOKUP(OrderLines[[#This Row],[SKU]:[SKU]],Menu[],MATCH(OrderLines[[#Headers],[UnitCost]],Menu[#Headers],0),FALSE)</f>
        <v>29.14</v>
      </c>
      <c r="F486" t="str" cm="1">
        <f t="array" ref="F486">VLOOKUP(OrderLines[[#This Row],[SKU]:[SKU]],Menu[],MATCH(OrderLines[[#Headers],[Category]],Menu[#Headers],0),FALSE)</f>
        <v>Dessert</v>
      </c>
      <c r="G486" t="str" cm="1">
        <f t="array" ref="G486">_xlfn.TEXTJOIN("+",TRUE,_xlfn._xlws.SORT(_xlfn.UNIQUE(_xlfn._xlws.FILTER(OrderLines[Category],OrderLines[OrderID]=OrderLines[[#This Row],[OrderID]]))))</f>
        <v>Dessert+Snack</v>
      </c>
      <c r="H486" s="2" cm="1">
        <f t="array" ref="H486">INT(VLOOKUP(OrderLines[[#This Row],[OrderID]:[OrderID]],Orders[],MATCH(OrderLines[[#Headers],[OrderDateTime]],Orders[#Headers],0),FALSE))</f>
        <v>45884</v>
      </c>
      <c r="I486" t="str" cm="1">
        <f t="array" ref="I486">VLOOKUP(OrderLines[[#This Row],[OrderID]:[OrderID]],Orders[],MATCH(OrderLines[[#Headers],[Branch]],Orders[#Headers],0),FALSE)</f>
        <v>Head Office Café</v>
      </c>
      <c r="J486" cm="1">
        <f t="array" ref="J486">VLOOKUP(OrderLines[[#This Row],[OrderID]:[OrderID]],Orders[],MATCH(OrderLines[[#Headers],[DiscountPct]],Orders[#Headers],0),FALSE)</f>
        <v>0.06</v>
      </c>
      <c r="K486" t="str" cm="1">
        <f t="array" ref="K486">VLOOKUP(OrderLines[[#This Row],[OrderID]:[OrderID]],Orders[],MATCH(OrderLines[[#Headers],[PaymentType]],Orders[#Headers],0),FALSE)</f>
        <v>Card</v>
      </c>
      <c r="L486" t="str" cm="1">
        <f t="array" ref="L486">VLOOKUP(OrderLines[[#This Row],[OrderID]:[OrderID]],Orders[],MATCH(OrderLines[[#Headers],[Shift]],Orders[#Headers],0),FALSE)</f>
        <v>Breakfast</v>
      </c>
      <c r="M486" s="8">
        <f>(OrderLines[[#This Row],[Qty]]*OrderLines[[#This Row],[UnitPrice]])*(1-OrderLines[[#This Row],[DiscountPct]])</f>
        <v>160.9374</v>
      </c>
      <c r="N486" t="str">
        <f>IF(AND(COUNTIFS(OrderLines[OrderID],OrderLines[[#This Row],[OrderID]],OrderLines[Category],"Hot Meal"),COUNTIFS(OrderLines[OrderID],OrderLines[[#This Row],[OrderID]],OrderLines[Category],"Beverage")),"Combo","Single")</f>
        <v>Single</v>
      </c>
      <c r="O486" s="8" t="str" cm="1">
        <f t="array" ref="O486">IF(SUMPRODUCT(OrderLines[UnitPrice],OrderLines[Qty],OrderLines[DiscountPct],--(OrderLines[OrderID] = OrderLines[[#This Row],[OrderID]]))&gt;40,"High Discount","Ok")</f>
        <v>Ok</v>
      </c>
      <c r="P486">
        <f>OrderLines[[#This Row],[UnitCost]]*OrderLines[[#This Row],[Qty]]</f>
        <v>87.42</v>
      </c>
      <c r="Q486" s="8">
        <f>OrderLines[[#This Row],[LineNetAmount]]-OrderLines[[#This Row],[Food Cost]]</f>
        <v>73.517399999999995</v>
      </c>
    </row>
    <row r="487" spans="1:17" x14ac:dyDescent="0.3">
      <c r="A487" t="s">
        <v>229</v>
      </c>
      <c r="B487" t="s">
        <v>415</v>
      </c>
      <c r="C487">
        <v>2</v>
      </c>
      <c r="D487" cm="1">
        <f t="array" ref="D487">VLOOKUP(OrderLines[[#This Row],[SKU]:[SKU]],Menu[],MATCH(OrderLines[[#Headers],[UnitPrice]],Menu[#Headers],0),FALSE)</f>
        <v>256.91000000000003</v>
      </c>
      <c r="E487" cm="1">
        <f t="array" ref="E487">VLOOKUP(OrderLines[[#This Row],[SKU]:[SKU]],Menu[],MATCH(OrderLines[[#Headers],[UnitCost]],Menu[#Headers],0),FALSE)</f>
        <v>121.24</v>
      </c>
      <c r="F487" t="str" cm="1">
        <f t="array" ref="F487">VLOOKUP(OrderLines[[#This Row],[SKU]:[SKU]],Menu[],MATCH(OrderLines[[#Headers],[Category]],Menu[#Headers],0),FALSE)</f>
        <v>Hot Meal</v>
      </c>
      <c r="G487" t="str" cm="1">
        <f t="array" ref="G487">_xlfn.TEXTJOIN("+",TRUE,_xlfn._xlws.SORT(_xlfn.UNIQUE(_xlfn._xlws.FILTER(OrderLines[Category],OrderLines[OrderID]=OrderLines[[#This Row],[OrderID]]))))</f>
        <v>Hot Meal</v>
      </c>
      <c r="H487" s="2" cm="1">
        <f t="array" ref="H487">INT(VLOOKUP(OrderLines[[#This Row],[OrderID]:[OrderID]],Orders[],MATCH(OrderLines[[#Headers],[OrderDateTime]],Orders[#Headers],0),FALSE))</f>
        <v>45840</v>
      </c>
      <c r="I487" t="str" cm="1">
        <f t="array" ref="I487">VLOOKUP(OrderLines[[#This Row],[OrderID]:[OrderID]],Orders[],MATCH(OrderLines[[#Headers],[Branch]],Orders[#Headers],0),FALSE)</f>
        <v>Plant 2 Canteen</v>
      </c>
      <c r="J487" cm="1">
        <f t="array" ref="J487">VLOOKUP(OrderLines[[#This Row],[OrderID]:[OrderID]],Orders[],MATCH(OrderLines[[#Headers],[DiscountPct]],Orders[#Headers],0),FALSE)</f>
        <v>0.03</v>
      </c>
      <c r="K487" t="str" cm="1">
        <f t="array" ref="K487">VLOOKUP(OrderLines[[#This Row],[OrderID]:[OrderID]],Orders[],MATCH(OrderLines[[#Headers],[PaymentType]],Orders[#Headers],0),FALSE)</f>
        <v>UPI</v>
      </c>
      <c r="L487" t="str" cm="1">
        <f t="array" ref="L487">VLOOKUP(OrderLines[[#This Row],[OrderID]:[OrderID]],Orders[],MATCH(OrderLines[[#Headers],[Shift]],Orders[#Headers],0),FALSE)</f>
        <v>Breakfast</v>
      </c>
      <c r="M487" s="8">
        <f>(OrderLines[[#This Row],[Qty]]*OrderLines[[#This Row],[UnitPrice]])*(1-OrderLines[[#This Row],[DiscountPct]])</f>
        <v>498.40540000000004</v>
      </c>
      <c r="N487" t="str">
        <f>IF(AND(COUNTIFS(OrderLines[OrderID],OrderLines[[#This Row],[OrderID]],OrderLines[Category],"Hot Meal"),COUNTIFS(OrderLines[OrderID],OrderLines[[#This Row],[OrderID]],OrderLines[Category],"Beverage")),"Combo","Single")</f>
        <v>Single</v>
      </c>
      <c r="O487" s="8" t="str" cm="1">
        <f t="array" ref="O487">IF(SUMPRODUCT(OrderLines[UnitPrice],OrderLines[Qty],OrderLines[DiscountPct],--(OrderLines[OrderID] = OrderLines[[#This Row],[OrderID]]))&gt;40,"High Discount","Ok")</f>
        <v>Ok</v>
      </c>
      <c r="P487">
        <f>OrderLines[[#This Row],[UnitCost]]*OrderLines[[#This Row],[Qty]]</f>
        <v>242.48</v>
      </c>
      <c r="Q487" s="8">
        <f>OrderLines[[#This Row],[LineNetAmount]]-OrderLines[[#This Row],[Food Cost]]</f>
        <v>255.92540000000005</v>
      </c>
    </row>
    <row r="488" spans="1:17" x14ac:dyDescent="0.3">
      <c r="A488" t="s">
        <v>230</v>
      </c>
      <c r="B488" t="s">
        <v>410</v>
      </c>
      <c r="C488">
        <v>1</v>
      </c>
      <c r="D488" cm="1">
        <f t="array" ref="D488">VLOOKUP(OrderLines[[#This Row],[SKU]:[SKU]],Menu[],MATCH(OrderLines[[#Headers],[UnitPrice]],Menu[#Headers],0),FALSE)</f>
        <v>20.11</v>
      </c>
      <c r="E488" cm="1">
        <f t="array" ref="E488">VLOOKUP(OrderLines[[#This Row],[SKU]:[SKU]],Menu[],MATCH(OrderLines[[#Headers],[UnitCost]],Menu[#Headers],0),FALSE)</f>
        <v>8</v>
      </c>
      <c r="F488" t="str" cm="1">
        <f t="array" ref="F488">VLOOKUP(OrderLines[[#This Row],[SKU]:[SKU]],Menu[],MATCH(OrderLines[[#Headers],[Category]],Menu[#Headers],0),FALSE)</f>
        <v>Beverage</v>
      </c>
      <c r="G488" t="str" cm="1">
        <f t="array" ref="G488">_xlfn.TEXTJOIN("+",TRUE,_xlfn._xlws.SORT(_xlfn.UNIQUE(_xlfn._xlws.FILTER(OrderLines[Category],OrderLines[OrderID]=OrderLines[[#This Row],[OrderID]]))))</f>
        <v>Beverage+Dessert+Snack</v>
      </c>
      <c r="H488" s="2" cm="1">
        <f t="array" ref="H488">INT(VLOOKUP(OrderLines[[#This Row],[OrderID]:[OrderID]],Orders[],MATCH(OrderLines[[#Headers],[OrderDateTime]],Orders[#Headers],0),FALSE))</f>
        <v>45854</v>
      </c>
      <c r="I488" t="str" cm="1">
        <f t="array" ref="I488">VLOOKUP(OrderLines[[#This Row],[OrderID]:[OrderID]],Orders[],MATCH(OrderLines[[#Headers],[Branch]],Orders[#Headers],0),FALSE)</f>
        <v>Plant 1 Canteen</v>
      </c>
      <c r="J488" cm="1">
        <f t="array" ref="J488">VLOOKUP(OrderLines[[#This Row],[OrderID]:[OrderID]],Orders[],MATCH(OrderLines[[#Headers],[DiscountPct]],Orders[#Headers],0),FALSE)</f>
        <v>0.15</v>
      </c>
      <c r="K488" t="str" cm="1">
        <f t="array" ref="K488">VLOOKUP(OrderLines[[#This Row],[OrderID]:[OrderID]],Orders[],MATCH(OrderLines[[#Headers],[PaymentType]],Orders[#Headers],0),FALSE)</f>
        <v>Card</v>
      </c>
      <c r="L488" t="str" cm="1">
        <f t="array" ref="L488">VLOOKUP(OrderLines[[#This Row],[OrderID]:[OrderID]],Orders[],MATCH(OrderLines[[#Headers],[Shift]],Orders[#Headers],0),FALSE)</f>
        <v>Lunch</v>
      </c>
      <c r="M488" s="8">
        <f>(OrderLines[[#This Row],[Qty]]*OrderLines[[#This Row],[UnitPrice]])*(1-OrderLines[[#This Row],[DiscountPct]])</f>
        <v>17.093499999999999</v>
      </c>
      <c r="N488" t="str">
        <f>IF(AND(COUNTIFS(OrderLines[OrderID],OrderLines[[#This Row],[OrderID]],OrderLines[Category],"Hot Meal"),COUNTIFS(OrderLines[OrderID],OrderLines[[#This Row],[OrderID]],OrderLines[Category],"Beverage")),"Combo","Single")</f>
        <v>Single</v>
      </c>
      <c r="O488" s="8" t="str" cm="1">
        <f t="array" ref="O488">IF(SUMPRODUCT(OrderLines[UnitPrice],OrderLines[Qty],OrderLines[DiscountPct],--(OrderLines[OrderID] = OrderLines[[#This Row],[OrderID]]))&gt;40,"High Discount","Ok")</f>
        <v>Ok</v>
      </c>
      <c r="P488">
        <f>OrderLines[[#This Row],[UnitCost]]*OrderLines[[#This Row],[Qty]]</f>
        <v>8</v>
      </c>
      <c r="Q488" s="8">
        <f>OrderLines[[#This Row],[LineNetAmount]]-OrderLines[[#This Row],[Food Cost]]</f>
        <v>9.0934999999999988</v>
      </c>
    </row>
    <row r="489" spans="1:17" x14ac:dyDescent="0.3">
      <c r="A489" t="s">
        <v>230</v>
      </c>
      <c r="B489" t="s">
        <v>408</v>
      </c>
      <c r="C489">
        <v>1</v>
      </c>
      <c r="D489" cm="1">
        <f t="array" ref="D489">VLOOKUP(OrderLines[[#This Row],[SKU]:[SKU]],Menu[],MATCH(OrderLines[[#Headers],[UnitPrice]],Menu[#Headers],0),FALSE)</f>
        <v>70.540000000000006</v>
      </c>
      <c r="E489" cm="1">
        <f t="array" ref="E489">VLOOKUP(OrderLines[[#This Row],[SKU]:[SKU]],Menu[],MATCH(OrderLines[[#Headers],[UnitCost]],Menu[#Headers],0),FALSE)</f>
        <v>35.81</v>
      </c>
      <c r="F489" t="str" cm="1">
        <f t="array" ref="F489">VLOOKUP(OrderLines[[#This Row],[SKU]:[SKU]],Menu[],MATCH(OrderLines[[#Headers],[Category]],Menu[#Headers],0),FALSE)</f>
        <v>Snack</v>
      </c>
      <c r="G489" t="str" cm="1">
        <f t="array" ref="G489">_xlfn.TEXTJOIN("+",TRUE,_xlfn._xlws.SORT(_xlfn.UNIQUE(_xlfn._xlws.FILTER(OrderLines[Category],OrderLines[OrderID]=OrderLines[[#This Row],[OrderID]]))))</f>
        <v>Beverage+Dessert+Snack</v>
      </c>
      <c r="H489" s="2" cm="1">
        <f t="array" ref="H489">INT(VLOOKUP(OrderLines[[#This Row],[OrderID]:[OrderID]],Orders[],MATCH(OrderLines[[#Headers],[OrderDateTime]],Orders[#Headers],0),FALSE))</f>
        <v>45854</v>
      </c>
      <c r="I489" t="str" cm="1">
        <f t="array" ref="I489">VLOOKUP(OrderLines[[#This Row],[OrderID]:[OrderID]],Orders[],MATCH(OrderLines[[#Headers],[Branch]],Orders[#Headers],0),FALSE)</f>
        <v>Plant 1 Canteen</v>
      </c>
      <c r="J489" cm="1">
        <f t="array" ref="J489">VLOOKUP(OrderLines[[#This Row],[OrderID]:[OrderID]],Orders[],MATCH(OrderLines[[#Headers],[DiscountPct]],Orders[#Headers],0),FALSE)</f>
        <v>0.15</v>
      </c>
      <c r="K489" t="str" cm="1">
        <f t="array" ref="K489">VLOOKUP(OrderLines[[#This Row],[OrderID]:[OrderID]],Orders[],MATCH(OrderLines[[#Headers],[PaymentType]],Orders[#Headers],0),FALSE)</f>
        <v>Card</v>
      </c>
      <c r="L489" t="str" cm="1">
        <f t="array" ref="L489">VLOOKUP(OrderLines[[#This Row],[OrderID]:[OrderID]],Orders[],MATCH(OrderLines[[#Headers],[Shift]],Orders[#Headers],0),FALSE)</f>
        <v>Lunch</v>
      </c>
      <c r="M489" s="8">
        <f>(OrderLines[[#This Row],[Qty]]*OrderLines[[#This Row],[UnitPrice]])*(1-OrderLines[[#This Row],[DiscountPct]])</f>
        <v>59.959000000000003</v>
      </c>
      <c r="N489" t="str">
        <f>IF(AND(COUNTIFS(OrderLines[OrderID],OrderLines[[#This Row],[OrderID]],OrderLines[Category],"Hot Meal"),COUNTIFS(OrderLines[OrderID],OrderLines[[#This Row],[OrderID]],OrderLines[Category],"Beverage")),"Combo","Single")</f>
        <v>Single</v>
      </c>
      <c r="O489" s="8" t="str" cm="1">
        <f t="array" ref="O489">IF(SUMPRODUCT(OrderLines[UnitPrice],OrderLines[Qty],OrderLines[DiscountPct],--(OrderLines[OrderID] = OrderLines[[#This Row],[OrderID]]))&gt;40,"High Discount","Ok")</f>
        <v>Ok</v>
      </c>
      <c r="P489">
        <f>OrderLines[[#This Row],[UnitCost]]*OrderLines[[#This Row],[Qty]]</f>
        <v>35.81</v>
      </c>
      <c r="Q489" s="8">
        <f>OrderLines[[#This Row],[LineNetAmount]]-OrderLines[[#This Row],[Food Cost]]</f>
        <v>24.149000000000001</v>
      </c>
    </row>
    <row r="490" spans="1:17" x14ac:dyDescent="0.3">
      <c r="A490" t="s">
        <v>230</v>
      </c>
      <c r="B490" t="s">
        <v>404</v>
      </c>
      <c r="C490">
        <v>3</v>
      </c>
      <c r="D490" cm="1">
        <f t="array" ref="D490">VLOOKUP(OrderLines[[#This Row],[SKU]:[SKU]],Menu[],MATCH(OrderLines[[#Headers],[UnitPrice]],Menu[#Headers],0),FALSE)</f>
        <v>32.979999999999997</v>
      </c>
      <c r="E490" cm="1">
        <f t="array" ref="E490">VLOOKUP(OrderLines[[#This Row],[SKU]:[SKU]],Menu[],MATCH(OrderLines[[#Headers],[UnitCost]],Menu[#Headers],0),FALSE)</f>
        <v>11.84</v>
      </c>
      <c r="F490" t="str" cm="1">
        <f t="array" ref="F490">VLOOKUP(OrderLines[[#This Row],[SKU]:[SKU]],Menu[],MATCH(OrderLines[[#Headers],[Category]],Menu[#Headers],0),FALSE)</f>
        <v>Beverage</v>
      </c>
      <c r="G490" t="str" cm="1">
        <f t="array" ref="G490">_xlfn.TEXTJOIN("+",TRUE,_xlfn._xlws.SORT(_xlfn.UNIQUE(_xlfn._xlws.FILTER(OrderLines[Category],OrderLines[OrderID]=OrderLines[[#This Row],[OrderID]]))))</f>
        <v>Beverage+Dessert+Snack</v>
      </c>
      <c r="H490" s="2" cm="1">
        <f t="array" ref="H490">INT(VLOOKUP(OrderLines[[#This Row],[OrderID]:[OrderID]],Orders[],MATCH(OrderLines[[#Headers],[OrderDateTime]],Orders[#Headers],0),FALSE))</f>
        <v>45854</v>
      </c>
      <c r="I490" t="str" cm="1">
        <f t="array" ref="I490">VLOOKUP(OrderLines[[#This Row],[OrderID]:[OrderID]],Orders[],MATCH(OrderLines[[#Headers],[Branch]],Orders[#Headers],0),FALSE)</f>
        <v>Plant 1 Canteen</v>
      </c>
      <c r="J490" cm="1">
        <f t="array" ref="J490">VLOOKUP(OrderLines[[#This Row],[OrderID]:[OrderID]],Orders[],MATCH(OrderLines[[#Headers],[DiscountPct]],Orders[#Headers],0),FALSE)</f>
        <v>0.15</v>
      </c>
      <c r="K490" t="str" cm="1">
        <f t="array" ref="K490">VLOOKUP(OrderLines[[#This Row],[OrderID]:[OrderID]],Orders[],MATCH(OrderLines[[#Headers],[PaymentType]],Orders[#Headers],0),FALSE)</f>
        <v>Card</v>
      </c>
      <c r="L490" t="str" cm="1">
        <f t="array" ref="L490">VLOOKUP(OrderLines[[#This Row],[OrderID]:[OrderID]],Orders[],MATCH(OrderLines[[#Headers],[Shift]],Orders[#Headers],0),FALSE)</f>
        <v>Lunch</v>
      </c>
      <c r="M490" s="8">
        <f>(OrderLines[[#This Row],[Qty]]*OrderLines[[#This Row],[UnitPrice]])*(1-OrderLines[[#This Row],[DiscountPct]])</f>
        <v>84.09899999999999</v>
      </c>
      <c r="N490" t="str">
        <f>IF(AND(COUNTIFS(OrderLines[OrderID],OrderLines[[#This Row],[OrderID]],OrderLines[Category],"Hot Meal"),COUNTIFS(OrderLines[OrderID],OrderLines[[#This Row],[OrderID]],OrderLines[Category],"Beverage")),"Combo","Single")</f>
        <v>Single</v>
      </c>
      <c r="O490" s="8" t="str" cm="1">
        <f t="array" ref="O490">IF(SUMPRODUCT(OrderLines[UnitPrice],OrderLines[Qty],OrderLines[DiscountPct],--(OrderLines[OrderID] = OrderLines[[#This Row],[OrderID]]))&gt;40,"High Discount","Ok")</f>
        <v>Ok</v>
      </c>
      <c r="P490">
        <f>OrderLines[[#This Row],[UnitCost]]*OrderLines[[#This Row],[Qty]]</f>
        <v>35.519999999999996</v>
      </c>
      <c r="Q490" s="8">
        <f>OrderLines[[#This Row],[LineNetAmount]]-OrderLines[[#This Row],[Food Cost]]</f>
        <v>48.578999999999994</v>
      </c>
    </row>
    <row r="491" spans="1:17" x14ac:dyDescent="0.3">
      <c r="A491" t="s">
        <v>230</v>
      </c>
      <c r="B491" t="s">
        <v>412</v>
      </c>
      <c r="C491">
        <v>1</v>
      </c>
      <c r="D491" cm="1">
        <f t="array" ref="D491">VLOOKUP(OrderLines[[#This Row],[SKU]:[SKU]],Menu[],MATCH(OrderLines[[#Headers],[UnitPrice]],Menu[#Headers],0),FALSE)</f>
        <v>57.07</v>
      </c>
      <c r="E491" cm="1">
        <f t="array" ref="E491">VLOOKUP(OrderLines[[#This Row],[SKU]:[SKU]],Menu[],MATCH(OrderLines[[#Headers],[UnitCost]],Menu[#Headers],0),FALSE)</f>
        <v>29.14</v>
      </c>
      <c r="F491" t="str" cm="1">
        <f t="array" ref="F491">VLOOKUP(OrderLines[[#This Row],[SKU]:[SKU]],Menu[],MATCH(OrderLines[[#Headers],[Category]],Menu[#Headers],0),FALSE)</f>
        <v>Dessert</v>
      </c>
      <c r="G491" t="str" cm="1">
        <f t="array" ref="G491">_xlfn.TEXTJOIN("+",TRUE,_xlfn._xlws.SORT(_xlfn.UNIQUE(_xlfn._xlws.FILTER(OrderLines[Category],OrderLines[OrderID]=OrderLines[[#This Row],[OrderID]]))))</f>
        <v>Beverage+Dessert+Snack</v>
      </c>
      <c r="H491" s="2" cm="1">
        <f t="array" ref="H491">INT(VLOOKUP(OrderLines[[#This Row],[OrderID]:[OrderID]],Orders[],MATCH(OrderLines[[#Headers],[OrderDateTime]],Orders[#Headers],0),FALSE))</f>
        <v>45854</v>
      </c>
      <c r="I491" t="str" cm="1">
        <f t="array" ref="I491">VLOOKUP(OrderLines[[#This Row],[OrderID]:[OrderID]],Orders[],MATCH(OrderLines[[#Headers],[Branch]],Orders[#Headers],0),FALSE)</f>
        <v>Plant 1 Canteen</v>
      </c>
      <c r="J491" cm="1">
        <f t="array" ref="J491">VLOOKUP(OrderLines[[#This Row],[OrderID]:[OrderID]],Orders[],MATCH(OrderLines[[#Headers],[DiscountPct]],Orders[#Headers],0),FALSE)</f>
        <v>0.15</v>
      </c>
      <c r="K491" t="str" cm="1">
        <f t="array" ref="K491">VLOOKUP(OrderLines[[#This Row],[OrderID]:[OrderID]],Orders[],MATCH(OrderLines[[#Headers],[PaymentType]],Orders[#Headers],0),FALSE)</f>
        <v>Card</v>
      </c>
      <c r="L491" t="str" cm="1">
        <f t="array" ref="L491">VLOOKUP(OrderLines[[#This Row],[OrderID]:[OrderID]],Orders[],MATCH(OrderLines[[#Headers],[Shift]],Orders[#Headers],0),FALSE)</f>
        <v>Lunch</v>
      </c>
      <c r="M491" s="8">
        <f>(OrderLines[[#This Row],[Qty]]*OrderLines[[#This Row],[UnitPrice]])*(1-OrderLines[[#This Row],[DiscountPct]])</f>
        <v>48.509499999999996</v>
      </c>
      <c r="N491" t="str">
        <f>IF(AND(COUNTIFS(OrderLines[OrderID],OrderLines[[#This Row],[OrderID]],OrderLines[Category],"Hot Meal"),COUNTIFS(OrderLines[OrderID],OrderLines[[#This Row],[OrderID]],OrderLines[Category],"Beverage")),"Combo","Single")</f>
        <v>Single</v>
      </c>
      <c r="O491" s="8" t="str" cm="1">
        <f t="array" ref="O491">IF(SUMPRODUCT(OrderLines[UnitPrice],OrderLines[Qty],OrderLines[DiscountPct],--(OrderLines[OrderID] = OrderLines[[#This Row],[OrderID]]))&gt;40,"High Discount","Ok")</f>
        <v>Ok</v>
      </c>
      <c r="P491">
        <f>OrderLines[[#This Row],[UnitCost]]*OrderLines[[#This Row],[Qty]]</f>
        <v>29.14</v>
      </c>
      <c r="Q491" s="8">
        <f>OrderLines[[#This Row],[LineNetAmount]]-OrderLines[[#This Row],[Food Cost]]</f>
        <v>19.369499999999995</v>
      </c>
    </row>
    <row r="492" spans="1:17" x14ac:dyDescent="0.3">
      <c r="A492" t="s">
        <v>231</v>
      </c>
      <c r="B492" t="s">
        <v>411</v>
      </c>
      <c r="C492">
        <v>2</v>
      </c>
      <c r="D492" cm="1">
        <f t="array" ref="D492">VLOOKUP(OrderLines[[#This Row],[SKU]:[SKU]],Menu[],MATCH(OrderLines[[#Headers],[UnitPrice]],Menu[#Headers],0),FALSE)</f>
        <v>22.2</v>
      </c>
      <c r="E492" cm="1">
        <f t="array" ref="E492">VLOOKUP(OrderLines[[#This Row],[SKU]:[SKU]],Menu[],MATCH(OrderLines[[#Headers],[UnitCost]],Menu[#Headers],0),FALSE)</f>
        <v>9.3800000000000008</v>
      </c>
      <c r="F492" t="str" cm="1">
        <f t="array" ref="F492">VLOOKUP(OrderLines[[#This Row],[SKU]:[SKU]],Menu[],MATCH(OrderLines[[#Headers],[Category]],Menu[#Headers],0),FALSE)</f>
        <v>Beverage</v>
      </c>
      <c r="G492" t="str" cm="1">
        <f t="array" ref="G492">_xlfn.TEXTJOIN("+",TRUE,_xlfn._xlws.SORT(_xlfn.UNIQUE(_xlfn._xlws.FILTER(OrderLines[Category],OrderLines[OrderID]=OrderLines[[#This Row],[OrderID]]))))</f>
        <v>Beverage+Snack</v>
      </c>
      <c r="H492" s="2" cm="1">
        <f t="array" ref="H492">INT(VLOOKUP(OrderLines[[#This Row],[OrderID]:[OrderID]],Orders[],MATCH(OrderLines[[#Headers],[OrderDateTime]],Orders[#Headers],0),FALSE))</f>
        <v>45880</v>
      </c>
      <c r="I492" t="str" cm="1">
        <f t="array" ref="I492">VLOOKUP(OrderLines[[#This Row],[OrderID]:[OrderID]],Orders[],MATCH(OrderLines[[#Headers],[Branch]],Orders[#Headers],0),FALSE)</f>
        <v>Head Office Café</v>
      </c>
      <c r="J492" cm="1">
        <f t="array" ref="J492">VLOOKUP(OrderLines[[#This Row],[OrderID]:[OrderID]],Orders[],MATCH(OrderLines[[#Headers],[DiscountPct]],Orders[#Headers],0),FALSE)</f>
        <v>0.09</v>
      </c>
      <c r="K492" t="str" cm="1">
        <f t="array" ref="K492">VLOOKUP(OrderLines[[#This Row],[OrderID]:[OrderID]],Orders[],MATCH(OrderLines[[#Headers],[PaymentType]],Orders[#Headers],0),FALSE)</f>
        <v>Card</v>
      </c>
      <c r="L492" t="str" cm="1">
        <f t="array" ref="L492">VLOOKUP(OrderLines[[#This Row],[OrderID]:[OrderID]],Orders[],MATCH(OrderLines[[#Headers],[Shift]],Orders[#Headers],0),FALSE)</f>
        <v>Breakfast</v>
      </c>
      <c r="M492" s="8">
        <f>(OrderLines[[#This Row],[Qty]]*OrderLines[[#This Row],[UnitPrice]])*(1-OrderLines[[#This Row],[DiscountPct]])</f>
        <v>40.404000000000003</v>
      </c>
      <c r="N492" t="str">
        <f>IF(AND(COUNTIFS(OrderLines[OrderID],OrderLines[[#This Row],[OrderID]],OrderLines[Category],"Hot Meal"),COUNTIFS(OrderLines[OrderID],OrderLines[[#This Row],[OrderID]],OrderLines[Category],"Beverage")),"Combo","Single")</f>
        <v>Single</v>
      </c>
      <c r="O492" s="8" t="str" cm="1">
        <f t="array" ref="O492">IF(SUMPRODUCT(OrderLines[UnitPrice],OrderLines[Qty],OrderLines[DiscountPct],--(OrderLines[OrderID] = OrderLines[[#This Row],[OrderID]]))&gt;40,"High Discount","Ok")</f>
        <v>Ok</v>
      </c>
      <c r="P492">
        <f>OrderLines[[#This Row],[UnitCost]]*OrderLines[[#This Row],[Qty]]</f>
        <v>18.760000000000002</v>
      </c>
      <c r="Q492" s="8">
        <f>OrderLines[[#This Row],[LineNetAmount]]-OrderLines[[#This Row],[Food Cost]]</f>
        <v>21.644000000000002</v>
      </c>
    </row>
    <row r="493" spans="1:17" x14ac:dyDescent="0.3">
      <c r="A493" t="s">
        <v>231</v>
      </c>
      <c r="B493" t="s">
        <v>419</v>
      </c>
      <c r="C493">
        <v>2</v>
      </c>
      <c r="D493" cm="1">
        <f t="array" ref="D493">VLOOKUP(OrderLines[[#This Row],[SKU]:[SKU]],Menu[],MATCH(OrderLines[[#Headers],[UnitPrice]],Menu[#Headers],0),FALSE)</f>
        <v>50.19</v>
      </c>
      <c r="E493" cm="1">
        <f t="array" ref="E493">VLOOKUP(OrderLines[[#This Row],[SKU]:[SKU]],Menu[],MATCH(OrderLines[[#Headers],[UnitCost]],Menu[#Headers],0),FALSE)</f>
        <v>22.61</v>
      </c>
      <c r="F493" t="str" cm="1">
        <f t="array" ref="F493">VLOOKUP(OrderLines[[#This Row],[SKU]:[SKU]],Menu[],MATCH(OrderLines[[#Headers],[Category]],Menu[#Headers],0),FALSE)</f>
        <v>Snack</v>
      </c>
      <c r="G493" t="str" cm="1">
        <f t="array" ref="G493">_xlfn.TEXTJOIN("+",TRUE,_xlfn._xlws.SORT(_xlfn.UNIQUE(_xlfn._xlws.FILTER(OrderLines[Category],OrderLines[OrderID]=OrderLines[[#This Row],[OrderID]]))))</f>
        <v>Beverage+Snack</v>
      </c>
      <c r="H493" s="2" cm="1">
        <f t="array" ref="H493">INT(VLOOKUP(OrderLines[[#This Row],[OrderID]:[OrderID]],Orders[],MATCH(OrderLines[[#Headers],[OrderDateTime]],Orders[#Headers],0),FALSE))</f>
        <v>45880</v>
      </c>
      <c r="I493" t="str" cm="1">
        <f t="array" ref="I493">VLOOKUP(OrderLines[[#This Row],[OrderID]:[OrderID]],Orders[],MATCH(OrderLines[[#Headers],[Branch]],Orders[#Headers],0),FALSE)</f>
        <v>Head Office Café</v>
      </c>
      <c r="J493" cm="1">
        <f t="array" ref="J493">VLOOKUP(OrderLines[[#This Row],[OrderID]:[OrderID]],Orders[],MATCH(OrderLines[[#Headers],[DiscountPct]],Orders[#Headers],0),FALSE)</f>
        <v>0.09</v>
      </c>
      <c r="K493" t="str" cm="1">
        <f t="array" ref="K493">VLOOKUP(OrderLines[[#This Row],[OrderID]:[OrderID]],Orders[],MATCH(OrderLines[[#Headers],[PaymentType]],Orders[#Headers],0),FALSE)</f>
        <v>Card</v>
      </c>
      <c r="L493" t="str" cm="1">
        <f t="array" ref="L493">VLOOKUP(OrderLines[[#This Row],[OrderID]:[OrderID]],Orders[],MATCH(OrderLines[[#Headers],[Shift]],Orders[#Headers],0),FALSE)</f>
        <v>Breakfast</v>
      </c>
      <c r="M493" s="8">
        <f>(OrderLines[[#This Row],[Qty]]*OrderLines[[#This Row],[UnitPrice]])*(1-OrderLines[[#This Row],[DiscountPct]])</f>
        <v>91.345799999999997</v>
      </c>
      <c r="N493" t="str">
        <f>IF(AND(COUNTIFS(OrderLines[OrderID],OrderLines[[#This Row],[OrderID]],OrderLines[Category],"Hot Meal"),COUNTIFS(OrderLines[OrderID],OrderLines[[#This Row],[OrderID]],OrderLines[Category],"Beverage")),"Combo","Single")</f>
        <v>Single</v>
      </c>
      <c r="O493" s="8" t="str" cm="1">
        <f t="array" ref="O493">IF(SUMPRODUCT(OrderLines[UnitPrice],OrderLines[Qty],OrderLines[DiscountPct],--(OrderLines[OrderID] = OrderLines[[#This Row],[OrderID]]))&gt;40,"High Discount","Ok")</f>
        <v>Ok</v>
      </c>
      <c r="P493">
        <f>OrderLines[[#This Row],[UnitCost]]*OrderLines[[#This Row],[Qty]]</f>
        <v>45.22</v>
      </c>
      <c r="Q493" s="8">
        <f>OrderLines[[#This Row],[LineNetAmount]]-OrderLines[[#This Row],[Food Cost]]</f>
        <v>46.125799999999998</v>
      </c>
    </row>
    <row r="494" spans="1:17" x14ac:dyDescent="0.3">
      <c r="A494" t="s">
        <v>231</v>
      </c>
      <c r="B494" t="s">
        <v>401</v>
      </c>
      <c r="C494">
        <v>2</v>
      </c>
      <c r="D494" cm="1">
        <f t="array" ref="D494">VLOOKUP(OrderLines[[#This Row],[SKU]:[SKU]],Menu[],MATCH(OrderLines[[#Headers],[UnitPrice]],Menu[#Headers],0),FALSE)</f>
        <v>52.45</v>
      </c>
      <c r="E494" cm="1">
        <f t="array" ref="E494">VLOOKUP(OrderLines[[#This Row],[SKU]:[SKU]],Menu[],MATCH(OrderLines[[#Headers],[UnitCost]],Menu[#Headers],0),FALSE)</f>
        <v>25.8</v>
      </c>
      <c r="F494" t="str" cm="1">
        <f t="array" ref="F494">VLOOKUP(OrderLines[[#This Row],[SKU]:[SKU]],Menu[],MATCH(OrderLines[[#Headers],[Category]],Menu[#Headers],0),FALSE)</f>
        <v>Snack</v>
      </c>
      <c r="G494" t="str" cm="1">
        <f t="array" ref="G494">_xlfn.TEXTJOIN("+",TRUE,_xlfn._xlws.SORT(_xlfn.UNIQUE(_xlfn._xlws.FILTER(OrderLines[Category],OrderLines[OrderID]=OrderLines[[#This Row],[OrderID]]))))</f>
        <v>Beverage+Snack</v>
      </c>
      <c r="H494" s="2" cm="1">
        <f t="array" ref="H494">INT(VLOOKUP(OrderLines[[#This Row],[OrderID]:[OrderID]],Orders[],MATCH(OrderLines[[#Headers],[OrderDateTime]],Orders[#Headers],0),FALSE))</f>
        <v>45880</v>
      </c>
      <c r="I494" t="str" cm="1">
        <f t="array" ref="I494">VLOOKUP(OrderLines[[#This Row],[OrderID]:[OrderID]],Orders[],MATCH(OrderLines[[#Headers],[Branch]],Orders[#Headers],0),FALSE)</f>
        <v>Head Office Café</v>
      </c>
      <c r="J494" cm="1">
        <f t="array" ref="J494">VLOOKUP(OrderLines[[#This Row],[OrderID]:[OrderID]],Orders[],MATCH(OrderLines[[#Headers],[DiscountPct]],Orders[#Headers],0),FALSE)</f>
        <v>0.09</v>
      </c>
      <c r="K494" t="str" cm="1">
        <f t="array" ref="K494">VLOOKUP(OrderLines[[#This Row],[OrderID]:[OrderID]],Orders[],MATCH(OrderLines[[#Headers],[PaymentType]],Orders[#Headers],0),FALSE)</f>
        <v>Card</v>
      </c>
      <c r="L494" t="str" cm="1">
        <f t="array" ref="L494">VLOOKUP(OrderLines[[#This Row],[OrderID]:[OrderID]],Orders[],MATCH(OrderLines[[#Headers],[Shift]],Orders[#Headers],0),FALSE)</f>
        <v>Breakfast</v>
      </c>
      <c r="M494" s="8">
        <f>(OrderLines[[#This Row],[Qty]]*OrderLines[[#This Row],[UnitPrice]])*(1-OrderLines[[#This Row],[DiscountPct]])</f>
        <v>95.459000000000003</v>
      </c>
      <c r="N494" t="str">
        <f>IF(AND(COUNTIFS(OrderLines[OrderID],OrderLines[[#This Row],[OrderID]],OrderLines[Category],"Hot Meal"),COUNTIFS(OrderLines[OrderID],OrderLines[[#This Row],[OrderID]],OrderLines[Category],"Beverage")),"Combo","Single")</f>
        <v>Single</v>
      </c>
      <c r="O494" s="8" t="str" cm="1">
        <f t="array" ref="O494">IF(SUMPRODUCT(OrderLines[UnitPrice],OrderLines[Qty],OrderLines[DiscountPct],--(OrderLines[OrderID] = OrderLines[[#This Row],[OrderID]]))&gt;40,"High Discount","Ok")</f>
        <v>Ok</v>
      </c>
      <c r="P494">
        <f>OrderLines[[#This Row],[UnitCost]]*OrderLines[[#This Row],[Qty]]</f>
        <v>51.6</v>
      </c>
      <c r="Q494" s="8">
        <f>OrderLines[[#This Row],[LineNetAmount]]-OrderLines[[#This Row],[Food Cost]]</f>
        <v>43.859000000000002</v>
      </c>
    </row>
    <row r="495" spans="1:17" x14ac:dyDescent="0.3">
      <c r="A495" t="s">
        <v>232</v>
      </c>
      <c r="B495" t="s">
        <v>414</v>
      </c>
      <c r="C495">
        <v>1</v>
      </c>
      <c r="D495" cm="1">
        <f t="array" ref="D495">VLOOKUP(OrderLines[[#This Row],[SKU]:[SKU]],Menu[],MATCH(OrderLines[[#Headers],[UnitPrice]],Menu[#Headers],0),FALSE)</f>
        <v>116.8</v>
      </c>
      <c r="E495" cm="1">
        <f t="array" ref="E495">VLOOKUP(OrderLines[[#This Row],[SKU]:[SKU]],Menu[],MATCH(OrderLines[[#Headers],[UnitCost]],Menu[#Headers],0),FALSE)</f>
        <v>48.97</v>
      </c>
      <c r="F495" t="str" cm="1">
        <f t="array" ref="F495">VLOOKUP(OrderLines[[#This Row],[SKU]:[SKU]],Menu[],MATCH(OrderLines[[#Headers],[Category]],Menu[#Headers],0),FALSE)</f>
        <v>Dessert</v>
      </c>
      <c r="G495" t="str" cm="1">
        <f t="array" ref="G495">_xlfn.TEXTJOIN("+",TRUE,_xlfn._xlws.SORT(_xlfn.UNIQUE(_xlfn._xlws.FILTER(OrderLines[Category],OrderLines[OrderID]=OrderLines[[#This Row],[OrderID]]))))</f>
        <v>Dessert+Hot Meal+Snack</v>
      </c>
      <c r="H495" s="2" cm="1">
        <f t="array" ref="H495">INT(VLOOKUP(OrderLines[[#This Row],[OrderID]:[OrderID]],Orders[],MATCH(OrderLines[[#Headers],[OrderDateTime]],Orders[#Headers],0),FALSE))</f>
        <v>45858</v>
      </c>
      <c r="I495" t="str" cm="1">
        <f t="array" ref="I495">VLOOKUP(OrderLines[[#This Row],[OrderID]:[OrderID]],Orders[],MATCH(OrderLines[[#Headers],[Branch]],Orders[#Headers],0),FALSE)</f>
        <v>Plant 2 Canteen</v>
      </c>
      <c r="J495" cm="1">
        <f t="array" ref="J495">VLOOKUP(OrderLines[[#This Row],[OrderID]:[OrderID]],Orders[],MATCH(OrderLines[[#Headers],[DiscountPct]],Orders[#Headers],0),FALSE)</f>
        <v>0</v>
      </c>
      <c r="K495" t="str" cm="1">
        <f t="array" ref="K495">VLOOKUP(OrderLines[[#This Row],[OrderID]:[OrderID]],Orders[],MATCH(OrderLines[[#Headers],[PaymentType]],Orders[#Headers],0),FALSE)</f>
        <v>Cash</v>
      </c>
      <c r="L495" t="str" cm="1">
        <f t="array" ref="L495">VLOOKUP(OrderLines[[#This Row],[OrderID]:[OrderID]],Orders[],MATCH(OrderLines[[#Headers],[Shift]],Orders[#Headers],0),FALSE)</f>
        <v>Lunch</v>
      </c>
      <c r="M495" s="8">
        <f>(OrderLines[[#This Row],[Qty]]*OrderLines[[#This Row],[UnitPrice]])*(1-OrderLines[[#This Row],[DiscountPct]])</f>
        <v>116.8</v>
      </c>
      <c r="N495" t="str">
        <f>IF(AND(COUNTIFS(OrderLines[OrderID],OrderLines[[#This Row],[OrderID]],OrderLines[Category],"Hot Meal"),COUNTIFS(OrderLines[OrderID],OrderLines[[#This Row],[OrderID]],OrderLines[Category],"Beverage")),"Combo","Single")</f>
        <v>Single</v>
      </c>
      <c r="O495" s="8" t="str" cm="1">
        <f t="array" ref="O495">IF(SUMPRODUCT(OrderLines[UnitPrice],OrderLines[Qty],OrderLines[DiscountPct],--(OrderLines[OrderID] = OrderLines[[#This Row],[OrderID]]))&gt;40,"High Discount","Ok")</f>
        <v>Ok</v>
      </c>
      <c r="P495">
        <f>OrderLines[[#This Row],[UnitCost]]*OrderLines[[#This Row],[Qty]]</f>
        <v>48.97</v>
      </c>
      <c r="Q495" s="8">
        <f>OrderLines[[#This Row],[LineNetAmount]]-OrderLines[[#This Row],[Food Cost]]</f>
        <v>67.83</v>
      </c>
    </row>
    <row r="496" spans="1:17" x14ac:dyDescent="0.3">
      <c r="A496" t="s">
        <v>232</v>
      </c>
      <c r="B496" t="s">
        <v>419</v>
      </c>
      <c r="C496">
        <v>2</v>
      </c>
      <c r="D496" cm="1">
        <f t="array" ref="D496">VLOOKUP(OrderLines[[#This Row],[SKU]:[SKU]],Menu[],MATCH(OrderLines[[#Headers],[UnitPrice]],Menu[#Headers],0),FALSE)</f>
        <v>50.19</v>
      </c>
      <c r="E496" cm="1">
        <f t="array" ref="E496">VLOOKUP(OrderLines[[#This Row],[SKU]:[SKU]],Menu[],MATCH(OrderLines[[#Headers],[UnitCost]],Menu[#Headers],0),FALSE)</f>
        <v>22.61</v>
      </c>
      <c r="F496" t="str" cm="1">
        <f t="array" ref="F496">VLOOKUP(OrderLines[[#This Row],[SKU]:[SKU]],Menu[],MATCH(OrderLines[[#Headers],[Category]],Menu[#Headers],0),FALSE)</f>
        <v>Snack</v>
      </c>
      <c r="G496" t="str" cm="1">
        <f t="array" ref="G496">_xlfn.TEXTJOIN("+",TRUE,_xlfn._xlws.SORT(_xlfn.UNIQUE(_xlfn._xlws.FILTER(OrderLines[Category],OrderLines[OrderID]=OrderLines[[#This Row],[OrderID]]))))</f>
        <v>Dessert+Hot Meal+Snack</v>
      </c>
      <c r="H496" s="2" cm="1">
        <f t="array" ref="H496">INT(VLOOKUP(OrderLines[[#This Row],[OrderID]:[OrderID]],Orders[],MATCH(OrderLines[[#Headers],[OrderDateTime]],Orders[#Headers],0),FALSE))</f>
        <v>45858</v>
      </c>
      <c r="I496" t="str" cm="1">
        <f t="array" ref="I496">VLOOKUP(OrderLines[[#This Row],[OrderID]:[OrderID]],Orders[],MATCH(OrderLines[[#Headers],[Branch]],Orders[#Headers],0),FALSE)</f>
        <v>Plant 2 Canteen</v>
      </c>
      <c r="J496" cm="1">
        <f t="array" ref="J496">VLOOKUP(OrderLines[[#This Row],[OrderID]:[OrderID]],Orders[],MATCH(OrderLines[[#Headers],[DiscountPct]],Orders[#Headers],0),FALSE)</f>
        <v>0</v>
      </c>
      <c r="K496" t="str" cm="1">
        <f t="array" ref="K496">VLOOKUP(OrderLines[[#This Row],[OrderID]:[OrderID]],Orders[],MATCH(OrderLines[[#Headers],[PaymentType]],Orders[#Headers],0),FALSE)</f>
        <v>Cash</v>
      </c>
      <c r="L496" t="str" cm="1">
        <f t="array" ref="L496">VLOOKUP(OrderLines[[#This Row],[OrderID]:[OrderID]],Orders[],MATCH(OrderLines[[#Headers],[Shift]],Orders[#Headers],0),FALSE)</f>
        <v>Lunch</v>
      </c>
      <c r="M496" s="8">
        <f>(OrderLines[[#This Row],[Qty]]*OrderLines[[#This Row],[UnitPrice]])*(1-OrderLines[[#This Row],[DiscountPct]])</f>
        <v>100.38</v>
      </c>
      <c r="N496" t="str">
        <f>IF(AND(COUNTIFS(OrderLines[OrderID],OrderLines[[#This Row],[OrderID]],OrderLines[Category],"Hot Meal"),COUNTIFS(OrderLines[OrderID],OrderLines[[#This Row],[OrderID]],OrderLines[Category],"Beverage")),"Combo","Single")</f>
        <v>Single</v>
      </c>
      <c r="O496" s="8" t="str" cm="1">
        <f t="array" ref="O496">IF(SUMPRODUCT(OrderLines[UnitPrice],OrderLines[Qty],OrderLines[DiscountPct],--(OrderLines[OrderID] = OrderLines[[#This Row],[OrderID]]))&gt;40,"High Discount","Ok")</f>
        <v>Ok</v>
      </c>
      <c r="P496">
        <f>OrderLines[[#This Row],[UnitCost]]*OrderLines[[#This Row],[Qty]]</f>
        <v>45.22</v>
      </c>
      <c r="Q496" s="8">
        <f>OrderLines[[#This Row],[LineNetAmount]]-OrderLines[[#This Row],[Food Cost]]</f>
        <v>55.16</v>
      </c>
    </row>
    <row r="497" spans="1:17" x14ac:dyDescent="0.3">
      <c r="A497" t="s">
        <v>232</v>
      </c>
      <c r="B497" t="s">
        <v>415</v>
      </c>
      <c r="C497">
        <v>2</v>
      </c>
      <c r="D497" cm="1">
        <f t="array" ref="D497">VLOOKUP(OrderLines[[#This Row],[SKU]:[SKU]],Menu[],MATCH(OrderLines[[#Headers],[UnitPrice]],Menu[#Headers],0),FALSE)</f>
        <v>256.91000000000003</v>
      </c>
      <c r="E497" cm="1">
        <f t="array" ref="E497">VLOOKUP(OrderLines[[#This Row],[SKU]:[SKU]],Menu[],MATCH(OrderLines[[#Headers],[UnitCost]],Menu[#Headers],0),FALSE)</f>
        <v>121.24</v>
      </c>
      <c r="F497" t="str" cm="1">
        <f t="array" ref="F497">VLOOKUP(OrderLines[[#This Row],[SKU]:[SKU]],Menu[],MATCH(OrderLines[[#Headers],[Category]],Menu[#Headers],0),FALSE)</f>
        <v>Hot Meal</v>
      </c>
      <c r="G497" t="str" cm="1">
        <f t="array" ref="G497">_xlfn.TEXTJOIN("+",TRUE,_xlfn._xlws.SORT(_xlfn.UNIQUE(_xlfn._xlws.FILTER(OrderLines[Category],OrderLines[OrderID]=OrderLines[[#This Row],[OrderID]]))))</f>
        <v>Dessert+Hot Meal+Snack</v>
      </c>
      <c r="H497" s="2" cm="1">
        <f t="array" ref="H497">INT(VLOOKUP(OrderLines[[#This Row],[OrderID]:[OrderID]],Orders[],MATCH(OrderLines[[#Headers],[OrderDateTime]],Orders[#Headers],0),FALSE))</f>
        <v>45858</v>
      </c>
      <c r="I497" t="str" cm="1">
        <f t="array" ref="I497">VLOOKUP(OrderLines[[#This Row],[OrderID]:[OrderID]],Orders[],MATCH(OrderLines[[#Headers],[Branch]],Orders[#Headers],0),FALSE)</f>
        <v>Plant 2 Canteen</v>
      </c>
      <c r="J497" cm="1">
        <f t="array" ref="J497">VLOOKUP(OrderLines[[#This Row],[OrderID]:[OrderID]],Orders[],MATCH(OrderLines[[#Headers],[DiscountPct]],Orders[#Headers],0),FALSE)</f>
        <v>0</v>
      </c>
      <c r="K497" t="str" cm="1">
        <f t="array" ref="K497">VLOOKUP(OrderLines[[#This Row],[OrderID]:[OrderID]],Orders[],MATCH(OrderLines[[#Headers],[PaymentType]],Orders[#Headers],0),FALSE)</f>
        <v>Cash</v>
      </c>
      <c r="L497" t="str" cm="1">
        <f t="array" ref="L497">VLOOKUP(OrderLines[[#This Row],[OrderID]:[OrderID]],Orders[],MATCH(OrderLines[[#Headers],[Shift]],Orders[#Headers],0),FALSE)</f>
        <v>Lunch</v>
      </c>
      <c r="M497" s="8">
        <f>(OrderLines[[#This Row],[Qty]]*OrderLines[[#This Row],[UnitPrice]])*(1-OrderLines[[#This Row],[DiscountPct]])</f>
        <v>513.82000000000005</v>
      </c>
      <c r="N497" t="str">
        <f>IF(AND(COUNTIFS(OrderLines[OrderID],OrderLines[[#This Row],[OrderID]],OrderLines[Category],"Hot Meal"),COUNTIFS(OrderLines[OrderID],OrderLines[[#This Row],[OrderID]],OrderLines[Category],"Beverage")),"Combo","Single")</f>
        <v>Single</v>
      </c>
      <c r="O497" s="8" t="str" cm="1">
        <f t="array" ref="O497">IF(SUMPRODUCT(OrderLines[UnitPrice],OrderLines[Qty],OrderLines[DiscountPct],--(OrderLines[OrderID] = OrderLines[[#This Row],[OrderID]]))&gt;40,"High Discount","Ok")</f>
        <v>Ok</v>
      </c>
      <c r="P497">
        <f>OrderLines[[#This Row],[UnitCost]]*OrderLines[[#This Row],[Qty]]</f>
        <v>242.48</v>
      </c>
      <c r="Q497" s="8">
        <f>OrderLines[[#This Row],[LineNetAmount]]-OrderLines[[#This Row],[Food Cost]]</f>
        <v>271.34000000000003</v>
      </c>
    </row>
    <row r="498" spans="1:17" x14ac:dyDescent="0.3">
      <c r="A498" t="s">
        <v>233</v>
      </c>
      <c r="B498" t="s">
        <v>403</v>
      </c>
      <c r="C498">
        <v>1</v>
      </c>
      <c r="D498" cm="1">
        <f t="array" ref="D498">VLOOKUP(OrderLines[[#This Row],[SKU]:[SKU]],Menu[],MATCH(OrderLines[[#Headers],[UnitPrice]],Menu[#Headers],0),FALSE)</f>
        <v>76.55</v>
      </c>
      <c r="E498" cm="1">
        <f t="array" ref="E498">VLOOKUP(OrderLines[[#This Row],[SKU]:[SKU]],Menu[],MATCH(OrderLines[[#Headers],[UnitCost]],Menu[#Headers],0),FALSE)</f>
        <v>38.229999999999997</v>
      </c>
      <c r="F498" t="str" cm="1">
        <f t="array" ref="F498">VLOOKUP(OrderLines[[#This Row],[SKU]:[SKU]],Menu[],MATCH(OrderLines[[#Headers],[Category]],Menu[#Headers],0),FALSE)</f>
        <v>Dessert</v>
      </c>
      <c r="G498" t="str" cm="1">
        <f t="array" ref="G498">_xlfn.TEXTJOIN("+",TRUE,_xlfn._xlws.SORT(_xlfn.UNIQUE(_xlfn._xlws.FILTER(OrderLines[Category],OrderLines[OrderID]=OrderLines[[#This Row],[OrderID]]))))</f>
        <v>Dessert+Hot Meal+Snack</v>
      </c>
      <c r="H498" s="2" cm="1">
        <f t="array" ref="H498">INT(VLOOKUP(OrderLines[[#This Row],[OrderID]:[OrderID]],Orders[],MATCH(OrderLines[[#Headers],[OrderDateTime]],Orders[#Headers],0),FALSE))</f>
        <v>45876</v>
      </c>
      <c r="I498" t="str" cm="1">
        <f t="array" ref="I498">VLOOKUP(OrderLines[[#This Row],[OrderID]:[OrderID]],Orders[],MATCH(OrderLines[[#Headers],[Branch]],Orders[#Headers],0),FALSE)</f>
        <v>Head Office Café</v>
      </c>
      <c r="J498" cm="1">
        <f t="array" ref="J498">VLOOKUP(OrderLines[[#This Row],[OrderID]:[OrderID]],Orders[],MATCH(OrderLines[[#Headers],[DiscountPct]],Orders[#Headers],0),FALSE)</f>
        <v>7.0000000000000007E-2</v>
      </c>
      <c r="K498" t="str" cm="1">
        <f t="array" ref="K498">VLOOKUP(OrderLines[[#This Row],[OrderID]:[OrderID]],Orders[],MATCH(OrderLines[[#Headers],[PaymentType]],Orders[#Headers],0),FALSE)</f>
        <v>UPI</v>
      </c>
      <c r="L498" t="str" cm="1">
        <f t="array" ref="L498">VLOOKUP(OrderLines[[#This Row],[OrderID]:[OrderID]],Orders[],MATCH(OrderLines[[#Headers],[Shift]],Orders[#Headers],0),FALSE)</f>
        <v>Breakfast</v>
      </c>
      <c r="M498" s="8">
        <f>(OrderLines[[#This Row],[Qty]]*OrderLines[[#This Row],[UnitPrice]])*(1-OrderLines[[#This Row],[DiscountPct]])</f>
        <v>71.191499999999991</v>
      </c>
      <c r="N498" t="str">
        <f>IF(AND(COUNTIFS(OrderLines[OrderID],OrderLines[[#This Row],[OrderID]],OrderLines[Category],"Hot Meal"),COUNTIFS(OrderLines[OrderID],OrderLines[[#This Row],[OrderID]],OrderLines[Category],"Beverage")),"Combo","Single")</f>
        <v>Single</v>
      </c>
      <c r="O498" s="8" t="str" cm="1">
        <f t="array" ref="O498">IF(SUMPRODUCT(OrderLines[UnitPrice],OrderLines[Qty],OrderLines[DiscountPct],--(OrderLines[OrderID] = OrderLines[[#This Row],[OrderID]]))&gt;40,"High Discount","Ok")</f>
        <v>Ok</v>
      </c>
      <c r="P498">
        <f>OrderLines[[#This Row],[UnitCost]]*OrderLines[[#This Row],[Qty]]</f>
        <v>38.229999999999997</v>
      </c>
      <c r="Q498" s="8">
        <f>OrderLines[[#This Row],[LineNetAmount]]-OrderLines[[#This Row],[Food Cost]]</f>
        <v>32.961499999999994</v>
      </c>
    </row>
    <row r="499" spans="1:17" x14ac:dyDescent="0.3">
      <c r="A499" t="s">
        <v>233</v>
      </c>
      <c r="B499" t="s">
        <v>418</v>
      </c>
      <c r="C499">
        <v>3</v>
      </c>
      <c r="D499" cm="1">
        <f t="array" ref="D499">VLOOKUP(OrderLines[[#This Row],[SKU]:[SKU]],Menu[],MATCH(OrderLines[[#Headers],[UnitPrice]],Menu[#Headers],0),FALSE)</f>
        <v>39.950000000000003</v>
      </c>
      <c r="E499" cm="1">
        <f t="array" ref="E499">VLOOKUP(OrderLines[[#This Row],[SKU]:[SKU]],Menu[],MATCH(OrderLines[[#Headers],[UnitCost]],Menu[#Headers],0),FALSE)</f>
        <v>15.51</v>
      </c>
      <c r="F499" t="str" cm="1">
        <f t="array" ref="F499">VLOOKUP(OrderLines[[#This Row],[SKU]:[SKU]],Menu[],MATCH(OrderLines[[#Headers],[Category]],Menu[#Headers],0),FALSE)</f>
        <v>Snack</v>
      </c>
      <c r="G499" t="str" cm="1">
        <f t="array" ref="G499">_xlfn.TEXTJOIN("+",TRUE,_xlfn._xlws.SORT(_xlfn.UNIQUE(_xlfn._xlws.FILTER(OrderLines[Category],OrderLines[OrderID]=OrderLines[[#This Row],[OrderID]]))))</f>
        <v>Dessert+Hot Meal+Snack</v>
      </c>
      <c r="H499" s="2" cm="1">
        <f t="array" ref="H499">INT(VLOOKUP(OrderLines[[#This Row],[OrderID]:[OrderID]],Orders[],MATCH(OrderLines[[#Headers],[OrderDateTime]],Orders[#Headers],0),FALSE))</f>
        <v>45876</v>
      </c>
      <c r="I499" t="str" cm="1">
        <f t="array" ref="I499">VLOOKUP(OrderLines[[#This Row],[OrderID]:[OrderID]],Orders[],MATCH(OrderLines[[#Headers],[Branch]],Orders[#Headers],0),FALSE)</f>
        <v>Head Office Café</v>
      </c>
      <c r="J499" cm="1">
        <f t="array" ref="J499">VLOOKUP(OrderLines[[#This Row],[OrderID]:[OrderID]],Orders[],MATCH(OrderLines[[#Headers],[DiscountPct]],Orders[#Headers],0),FALSE)</f>
        <v>7.0000000000000007E-2</v>
      </c>
      <c r="K499" t="str" cm="1">
        <f t="array" ref="K499">VLOOKUP(OrderLines[[#This Row],[OrderID]:[OrderID]],Orders[],MATCH(OrderLines[[#Headers],[PaymentType]],Orders[#Headers],0),FALSE)</f>
        <v>UPI</v>
      </c>
      <c r="L499" t="str" cm="1">
        <f t="array" ref="L499">VLOOKUP(OrderLines[[#This Row],[OrderID]:[OrderID]],Orders[],MATCH(OrderLines[[#Headers],[Shift]],Orders[#Headers],0),FALSE)</f>
        <v>Breakfast</v>
      </c>
      <c r="M499" s="8">
        <f>(OrderLines[[#This Row],[Qty]]*OrderLines[[#This Row],[UnitPrice]])*(1-OrderLines[[#This Row],[DiscountPct]])</f>
        <v>111.4605</v>
      </c>
      <c r="N499" t="str">
        <f>IF(AND(COUNTIFS(OrderLines[OrderID],OrderLines[[#This Row],[OrderID]],OrderLines[Category],"Hot Meal"),COUNTIFS(OrderLines[OrderID],OrderLines[[#This Row],[OrderID]],OrderLines[Category],"Beverage")),"Combo","Single")</f>
        <v>Single</v>
      </c>
      <c r="O499" s="8" t="str" cm="1">
        <f t="array" ref="O499">IF(SUMPRODUCT(OrderLines[UnitPrice],OrderLines[Qty],OrderLines[DiscountPct],--(OrderLines[OrderID] = OrderLines[[#This Row],[OrderID]]))&gt;40,"High Discount","Ok")</f>
        <v>Ok</v>
      </c>
      <c r="P499">
        <f>OrderLines[[#This Row],[UnitCost]]*OrderLines[[#This Row],[Qty]]</f>
        <v>46.53</v>
      </c>
      <c r="Q499" s="8">
        <f>OrderLines[[#This Row],[LineNetAmount]]-OrderLines[[#This Row],[Food Cost]]</f>
        <v>64.930499999999995</v>
      </c>
    </row>
    <row r="500" spans="1:17" x14ac:dyDescent="0.3">
      <c r="A500" t="s">
        <v>233</v>
      </c>
      <c r="B500" t="s">
        <v>417</v>
      </c>
      <c r="C500">
        <v>1</v>
      </c>
      <c r="D500" cm="1">
        <f t="array" ref="D500">VLOOKUP(OrderLines[[#This Row],[SKU]:[SKU]],Menu[],MATCH(OrderLines[[#Headers],[UnitPrice]],Menu[#Headers],0),FALSE)</f>
        <v>146.4</v>
      </c>
      <c r="E500" cm="1">
        <f t="array" ref="E500">VLOOKUP(OrderLines[[#This Row],[SKU]:[SKU]],Menu[],MATCH(OrderLines[[#Headers],[UnitCost]],Menu[#Headers],0),FALSE)</f>
        <v>80.92</v>
      </c>
      <c r="F500" t="str" cm="1">
        <f t="array" ref="F500">VLOOKUP(OrderLines[[#This Row],[SKU]:[SKU]],Menu[],MATCH(OrderLines[[#Headers],[Category]],Menu[#Headers],0),FALSE)</f>
        <v>Hot Meal</v>
      </c>
      <c r="G500" t="str" cm="1">
        <f t="array" ref="G500">_xlfn.TEXTJOIN("+",TRUE,_xlfn._xlws.SORT(_xlfn.UNIQUE(_xlfn._xlws.FILTER(OrderLines[Category],OrderLines[OrderID]=OrderLines[[#This Row],[OrderID]]))))</f>
        <v>Dessert+Hot Meal+Snack</v>
      </c>
      <c r="H500" s="2" cm="1">
        <f t="array" ref="H500">INT(VLOOKUP(OrderLines[[#This Row],[OrderID]:[OrderID]],Orders[],MATCH(OrderLines[[#Headers],[OrderDateTime]],Orders[#Headers],0),FALSE))</f>
        <v>45876</v>
      </c>
      <c r="I500" t="str" cm="1">
        <f t="array" ref="I500">VLOOKUP(OrderLines[[#This Row],[OrderID]:[OrderID]],Orders[],MATCH(OrderLines[[#Headers],[Branch]],Orders[#Headers],0),FALSE)</f>
        <v>Head Office Café</v>
      </c>
      <c r="J500" cm="1">
        <f t="array" ref="J500">VLOOKUP(OrderLines[[#This Row],[OrderID]:[OrderID]],Orders[],MATCH(OrderLines[[#Headers],[DiscountPct]],Orders[#Headers],0),FALSE)</f>
        <v>7.0000000000000007E-2</v>
      </c>
      <c r="K500" t="str" cm="1">
        <f t="array" ref="K500">VLOOKUP(OrderLines[[#This Row],[OrderID]:[OrderID]],Orders[],MATCH(OrderLines[[#Headers],[PaymentType]],Orders[#Headers],0),FALSE)</f>
        <v>UPI</v>
      </c>
      <c r="L500" t="str" cm="1">
        <f t="array" ref="L500">VLOOKUP(OrderLines[[#This Row],[OrderID]:[OrderID]],Orders[],MATCH(OrderLines[[#Headers],[Shift]],Orders[#Headers],0),FALSE)</f>
        <v>Breakfast</v>
      </c>
      <c r="M500" s="8">
        <f>(OrderLines[[#This Row],[Qty]]*OrderLines[[#This Row],[UnitPrice]])*(1-OrderLines[[#This Row],[DiscountPct]])</f>
        <v>136.15199999999999</v>
      </c>
      <c r="N500" t="str">
        <f>IF(AND(COUNTIFS(OrderLines[OrderID],OrderLines[[#This Row],[OrderID]],OrderLines[Category],"Hot Meal"),COUNTIFS(OrderLines[OrderID],OrderLines[[#This Row],[OrderID]],OrderLines[Category],"Beverage")),"Combo","Single")</f>
        <v>Single</v>
      </c>
      <c r="O500" s="8" t="str" cm="1">
        <f t="array" ref="O500">IF(SUMPRODUCT(OrderLines[UnitPrice],OrderLines[Qty],OrderLines[DiscountPct],--(OrderLines[OrderID] = OrderLines[[#This Row],[OrderID]]))&gt;40,"High Discount","Ok")</f>
        <v>Ok</v>
      </c>
      <c r="P500">
        <f>OrderLines[[#This Row],[UnitCost]]*OrderLines[[#This Row],[Qty]]</f>
        <v>80.92</v>
      </c>
      <c r="Q500" s="8">
        <f>OrderLines[[#This Row],[LineNetAmount]]-OrderLines[[#This Row],[Food Cost]]</f>
        <v>55.231999999999985</v>
      </c>
    </row>
    <row r="501" spans="1:17" x14ac:dyDescent="0.3">
      <c r="A501" t="s">
        <v>234</v>
      </c>
      <c r="B501" t="s">
        <v>402</v>
      </c>
      <c r="C501">
        <v>2</v>
      </c>
      <c r="D501" cm="1">
        <f t="array" ref="D501">VLOOKUP(OrderLines[[#This Row],[SKU]:[SKU]],Menu[],MATCH(OrderLines[[#Headers],[UnitPrice]],Menu[#Headers],0),FALSE)</f>
        <v>30.34</v>
      </c>
      <c r="E501" cm="1">
        <f t="array" ref="E501">VLOOKUP(OrderLines[[#This Row],[SKU]:[SKU]],Menu[],MATCH(OrderLines[[#Headers],[UnitCost]],Menu[#Headers],0),FALSE)</f>
        <v>14.18</v>
      </c>
      <c r="F501" t="str" cm="1">
        <f t="array" ref="F501">VLOOKUP(OrderLines[[#This Row],[SKU]:[SKU]],Menu[],MATCH(OrderLines[[#Headers],[Category]],Menu[#Headers],0),FALSE)</f>
        <v>Beverage</v>
      </c>
      <c r="G501" t="str" cm="1">
        <f t="array" ref="G501">_xlfn.TEXTJOIN("+",TRUE,_xlfn._xlws.SORT(_xlfn.UNIQUE(_xlfn._xlws.FILTER(OrderLines[Category],OrderLines[OrderID]=OrderLines[[#This Row],[OrderID]]))))</f>
        <v>Beverage+Hot Meal</v>
      </c>
      <c r="H501" s="2" cm="1">
        <f t="array" ref="H501">INT(VLOOKUP(OrderLines[[#This Row],[OrderID]:[OrderID]],Orders[],MATCH(OrderLines[[#Headers],[OrderDateTime]],Orders[#Headers],0),FALSE))</f>
        <v>45867</v>
      </c>
      <c r="I501" t="str" cm="1">
        <f t="array" ref="I501">VLOOKUP(OrderLines[[#This Row],[OrderID]:[OrderID]],Orders[],MATCH(OrderLines[[#Headers],[Branch]],Orders[#Headers],0),FALSE)</f>
        <v>Plant 1 Canteen</v>
      </c>
      <c r="J501" cm="1">
        <f t="array" ref="J501">VLOOKUP(OrderLines[[#This Row],[OrderID]:[OrderID]],Orders[],MATCH(OrderLines[[#Headers],[DiscountPct]],Orders[#Headers],0),FALSE)</f>
        <v>0.03</v>
      </c>
      <c r="K501" t="str" cm="1">
        <f t="array" ref="K501">VLOOKUP(OrderLines[[#This Row],[OrderID]:[OrderID]],Orders[],MATCH(OrderLines[[#Headers],[PaymentType]],Orders[#Headers],0),FALSE)</f>
        <v>Card</v>
      </c>
      <c r="L501" t="str" cm="1">
        <f t="array" ref="L501">VLOOKUP(OrderLines[[#This Row],[OrderID]:[OrderID]],Orders[],MATCH(OrderLines[[#Headers],[Shift]],Orders[#Headers],0),FALSE)</f>
        <v>Dinner</v>
      </c>
      <c r="M501" s="8">
        <f>(OrderLines[[#This Row],[Qty]]*OrderLines[[#This Row],[UnitPrice]])*(1-OrderLines[[#This Row],[DiscountPct]])</f>
        <v>58.8596</v>
      </c>
      <c r="N501" t="str">
        <f>IF(AND(COUNTIFS(OrderLines[OrderID],OrderLines[[#This Row],[OrderID]],OrderLines[Category],"Hot Meal"),COUNTIFS(OrderLines[OrderID],OrderLines[[#This Row],[OrderID]],OrderLines[Category],"Beverage")),"Combo","Single")</f>
        <v>Combo</v>
      </c>
      <c r="O501" s="8" t="str" cm="1">
        <f t="array" ref="O501">IF(SUMPRODUCT(OrderLines[UnitPrice],OrderLines[Qty],OrderLines[DiscountPct],--(OrderLines[OrderID] = OrderLines[[#This Row],[OrderID]]))&gt;40,"High Discount","Ok")</f>
        <v>Ok</v>
      </c>
      <c r="P501">
        <f>OrderLines[[#This Row],[UnitCost]]*OrderLines[[#This Row],[Qty]]</f>
        <v>28.36</v>
      </c>
      <c r="Q501" s="8">
        <f>OrderLines[[#This Row],[LineNetAmount]]-OrderLines[[#This Row],[Food Cost]]</f>
        <v>30.499600000000001</v>
      </c>
    </row>
    <row r="502" spans="1:17" x14ac:dyDescent="0.3">
      <c r="A502" t="s">
        <v>234</v>
      </c>
      <c r="B502" t="s">
        <v>415</v>
      </c>
      <c r="C502">
        <v>1</v>
      </c>
      <c r="D502" cm="1">
        <f t="array" ref="D502">VLOOKUP(OrderLines[[#This Row],[SKU]:[SKU]],Menu[],MATCH(OrderLines[[#Headers],[UnitPrice]],Menu[#Headers],0),FALSE)</f>
        <v>256.91000000000003</v>
      </c>
      <c r="E502" cm="1">
        <f t="array" ref="E502">VLOOKUP(OrderLines[[#This Row],[SKU]:[SKU]],Menu[],MATCH(OrderLines[[#Headers],[UnitCost]],Menu[#Headers],0),FALSE)</f>
        <v>121.24</v>
      </c>
      <c r="F502" t="str" cm="1">
        <f t="array" ref="F502">VLOOKUP(OrderLines[[#This Row],[SKU]:[SKU]],Menu[],MATCH(OrderLines[[#Headers],[Category]],Menu[#Headers],0),FALSE)</f>
        <v>Hot Meal</v>
      </c>
      <c r="G502" t="str" cm="1">
        <f t="array" ref="G502">_xlfn.TEXTJOIN("+",TRUE,_xlfn._xlws.SORT(_xlfn.UNIQUE(_xlfn._xlws.FILTER(OrderLines[Category],OrderLines[OrderID]=OrderLines[[#This Row],[OrderID]]))))</f>
        <v>Beverage+Hot Meal</v>
      </c>
      <c r="H502" s="2" cm="1">
        <f t="array" ref="H502">INT(VLOOKUP(OrderLines[[#This Row],[OrderID]:[OrderID]],Orders[],MATCH(OrderLines[[#Headers],[OrderDateTime]],Orders[#Headers],0),FALSE))</f>
        <v>45867</v>
      </c>
      <c r="I502" t="str" cm="1">
        <f t="array" ref="I502">VLOOKUP(OrderLines[[#This Row],[OrderID]:[OrderID]],Orders[],MATCH(OrderLines[[#Headers],[Branch]],Orders[#Headers],0),FALSE)</f>
        <v>Plant 1 Canteen</v>
      </c>
      <c r="J502" cm="1">
        <f t="array" ref="J502">VLOOKUP(OrderLines[[#This Row],[OrderID]:[OrderID]],Orders[],MATCH(OrderLines[[#Headers],[DiscountPct]],Orders[#Headers],0),FALSE)</f>
        <v>0.03</v>
      </c>
      <c r="K502" t="str" cm="1">
        <f t="array" ref="K502">VLOOKUP(OrderLines[[#This Row],[OrderID]:[OrderID]],Orders[],MATCH(OrderLines[[#Headers],[PaymentType]],Orders[#Headers],0),FALSE)</f>
        <v>Card</v>
      </c>
      <c r="L502" t="str" cm="1">
        <f t="array" ref="L502">VLOOKUP(OrderLines[[#This Row],[OrderID]:[OrderID]],Orders[],MATCH(OrderLines[[#Headers],[Shift]],Orders[#Headers],0),FALSE)</f>
        <v>Dinner</v>
      </c>
      <c r="M502" s="8">
        <f>(OrderLines[[#This Row],[Qty]]*OrderLines[[#This Row],[UnitPrice]])*(1-OrderLines[[#This Row],[DiscountPct]])</f>
        <v>249.20270000000002</v>
      </c>
      <c r="N502" t="str">
        <f>IF(AND(COUNTIFS(OrderLines[OrderID],OrderLines[[#This Row],[OrderID]],OrderLines[Category],"Hot Meal"),COUNTIFS(OrderLines[OrderID],OrderLines[[#This Row],[OrderID]],OrderLines[Category],"Beverage")),"Combo","Single")</f>
        <v>Combo</v>
      </c>
      <c r="O502" s="8" t="str" cm="1">
        <f t="array" ref="O502">IF(SUMPRODUCT(OrderLines[UnitPrice],OrderLines[Qty],OrderLines[DiscountPct],--(OrderLines[OrderID] = OrderLines[[#This Row],[OrderID]]))&gt;40,"High Discount","Ok")</f>
        <v>Ok</v>
      </c>
      <c r="P502">
        <f>OrderLines[[#This Row],[UnitCost]]*OrderLines[[#This Row],[Qty]]</f>
        <v>121.24</v>
      </c>
      <c r="Q502" s="8">
        <f>OrderLines[[#This Row],[LineNetAmount]]-OrderLines[[#This Row],[Food Cost]]</f>
        <v>127.96270000000003</v>
      </c>
    </row>
    <row r="503" spans="1:17" x14ac:dyDescent="0.3">
      <c r="A503" t="s">
        <v>235</v>
      </c>
      <c r="B503" t="s">
        <v>412</v>
      </c>
      <c r="C503">
        <v>1</v>
      </c>
      <c r="D503" cm="1">
        <f t="array" ref="D503">VLOOKUP(OrderLines[[#This Row],[SKU]:[SKU]],Menu[],MATCH(OrderLines[[#Headers],[UnitPrice]],Menu[#Headers],0),FALSE)</f>
        <v>57.07</v>
      </c>
      <c r="E503" cm="1">
        <f t="array" ref="E503">VLOOKUP(OrderLines[[#This Row],[SKU]:[SKU]],Menu[],MATCH(OrderLines[[#Headers],[UnitCost]],Menu[#Headers],0),FALSE)</f>
        <v>29.14</v>
      </c>
      <c r="F503" t="str" cm="1">
        <f t="array" ref="F503">VLOOKUP(OrderLines[[#This Row],[SKU]:[SKU]],Menu[],MATCH(OrderLines[[#Headers],[Category]],Menu[#Headers],0),FALSE)</f>
        <v>Dessert</v>
      </c>
      <c r="G503" t="str" cm="1">
        <f t="array" ref="G503">_xlfn.TEXTJOIN("+",TRUE,_xlfn._xlws.SORT(_xlfn.UNIQUE(_xlfn._xlws.FILTER(OrderLines[Category],OrderLines[OrderID]=OrderLines[[#This Row],[OrderID]]))))</f>
        <v>Beverage+Dessert</v>
      </c>
      <c r="H503" s="2" cm="1">
        <f t="array" ref="H503">INT(VLOOKUP(OrderLines[[#This Row],[OrderID]:[OrderID]],Orders[],MATCH(OrderLines[[#Headers],[OrderDateTime]],Orders[#Headers],0),FALSE))</f>
        <v>45840</v>
      </c>
      <c r="I503" t="str" cm="1">
        <f t="array" ref="I503">VLOOKUP(OrderLines[[#This Row],[OrderID]:[OrderID]],Orders[],MATCH(OrderLines[[#Headers],[Branch]],Orders[#Headers],0),FALSE)</f>
        <v>Head Office Café</v>
      </c>
      <c r="J503" cm="1">
        <f t="array" ref="J503">VLOOKUP(OrderLines[[#This Row],[OrderID]:[OrderID]],Orders[],MATCH(OrderLines[[#Headers],[DiscountPct]],Orders[#Headers],0),FALSE)</f>
        <v>0.09</v>
      </c>
      <c r="K503" t="str" cm="1">
        <f t="array" ref="K503">VLOOKUP(OrderLines[[#This Row],[OrderID]:[OrderID]],Orders[],MATCH(OrderLines[[#Headers],[PaymentType]],Orders[#Headers],0),FALSE)</f>
        <v>UPI</v>
      </c>
      <c r="L503" t="str" cm="1">
        <f t="array" ref="L503">VLOOKUP(OrderLines[[#This Row],[OrderID]:[OrderID]],Orders[],MATCH(OrderLines[[#Headers],[Shift]],Orders[#Headers],0),FALSE)</f>
        <v>Breakfast</v>
      </c>
      <c r="M503" s="8">
        <f>(OrderLines[[#This Row],[Qty]]*OrderLines[[#This Row],[UnitPrice]])*(1-OrderLines[[#This Row],[DiscountPct]])</f>
        <v>51.933700000000002</v>
      </c>
      <c r="N503" t="str">
        <f>IF(AND(COUNTIFS(OrderLines[OrderID],OrderLines[[#This Row],[OrderID]],OrderLines[Category],"Hot Meal"),COUNTIFS(OrderLines[OrderID],OrderLines[[#This Row],[OrderID]],OrderLines[Category],"Beverage")),"Combo","Single")</f>
        <v>Single</v>
      </c>
      <c r="O503" s="8" t="str" cm="1">
        <f t="array" ref="O503">IF(SUMPRODUCT(OrderLines[UnitPrice],OrderLines[Qty],OrderLines[DiscountPct],--(OrderLines[OrderID] = OrderLines[[#This Row],[OrderID]]))&gt;40,"High Discount","Ok")</f>
        <v>Ok</v>
      </c>
      <c r="P503">
        <f>OrderLines[[#This Row],[UnitCost]]*OrderLines[[#This Row],[Qty]]</f>
        <v>29.14</v>
      </c>
      <c r="Q503" s="8">
        <f>OrderLines[[#This Row],[LineNetAmount]]-OrderLines[[#This Row],[Food Cost]]</f>
        <v>22.793700000000001</v>
      </c>
    </row>
    <row r="504" spans="1:17" x14ac:dyDescent="0.3">
      <c r="A504" t="s">
        <v>235</v>
      </c>
      <c r="B504" t="s">
        <v>402</v>
      </c>
      <c r="C504">
        <v>2</v>
      </c>
      <c r="D504" cm="1">
        <f t="array" ref="D504">VLOOKUP(OrderLines[[#This Row],[SKU]:[SKU]],Menu[],MATCH(OrderLines[[#Headers],[UnitPrice]],Menu[#Headers],0),FALSE)</f>
        <v>30.34</v>
      </c>
      <c r="E504" cm="1">
        <f t="array" ref="E504">VLOOKUP(OrderLines[[#This Row],[SKU]:[SKU]],Menu[],MATCH(OrderLines[[#Headers],[UnitCost]],Menu[#Headers],0),FALSE)</f>
        <v>14.18</v>
      </c>
      <c r="F504" t="str" cm="1">
        <f t="array" ref="F504">VLOOKUP(OrderLines[[#This Row],[SKU]:[SKU]],Menu[],MATCH(OrderLines[[#Headers],[Category]],Menu[#Headers],0),FALSE)</f>
        <v>Beverage</v>
      </c>
      <c r="G504" t="str" cm="1">
        <f t="array" ref="G504">_xlfn.TEXTJOIN("+",TRUE,_xlfn._xlws.SORT(_xlfn.UNIQUE(_xlfn._xlws.FILTER(OrderLines[Category],OrderLines[OrderID]=OrderLines[[#This Row],[OrderID]]))))</f>
        <v>Beverage+Dessert</v>
      </c>
      <c r="H504" s="2" cm="1">
        <f t="array" ref="H504">INT(VLOOKUP(OrderLines[[#This Row],[OrderID]:[OrderID]],Orders[],MATCH(OrderLines[[#Headers],[OrderDateTime]],Orders[#Headers],0),FALSE))</f>
        <v>45840</v>
      </c>
      <c r="I504" t="str" cm="1">
        <f t="array" ref="I504">VLOOKUP(OrderLines[[#This Row],[OrderID]:[OrderID]],Orders[],MATCH(OrderLines[[#Headers],[Branch]],Orders[#Headers],0),FALSE)</f>
        <v>Head Office Café</v>
      </c>
      <c r="J504" cm="1">
        <f t="array" ref="J504">VLOOKUP(OrderLines[[#This Row],[OrderID]:[OrderID]],Orders[],MATCH(OrderLines[[#Headers],[DiscountPct]],Orders[#Headers],0),FALSE)</f>
        <v>0.09</v>
      </c>
      <c r="K504" t="str" cm="1">
        <f t="array" ref="K504">VLOOKUP(OrderLines[[#This Row],[OrderID]:[OrderID]],Orders[],MATCH(OrderLines[[#Headers],[PaymentType]],Orders[#Headers],0),FALSE)</f>
        <v>UPI</v>
      </c>
      <c r="L504" t="str" cm="1">
        <f t="array" ref="L504">VLOOKUP(OrderLines[[#This Row],[OrderID]:[OrderID]],Orders[],MATCH(OrderLines[[#Headers],[Shift]],Orders[#Headers],0),FALSE)</f>
        <v>Breakfast</v>
      </c>
      <c r="M504" s="8">
        <f>(OrderLines[[#This Row],[Qty]]*OrderLines[[#This Row],[UnitPrice]])*(1-OrderLines[[#This Row],[DiscountPct]])</f>
        <v>55.218800000000002</v>
      </c>
      <c r="N504" t="str">
        <f>IF(AND(COUNTIFS(OrderLines[OrderID],OrderLines[[#This Row],[OrderID]],OrderLines[Category],"Hot Meal"),COUNTIFS(OrderLines[OrderID],OrderLines[[#This Row],[OrderID]],OrderLines[Category],"Beverage")),"Combo","Single")</f>
        <v>Single</v>
      </c>
      <c r="O504" s="8" t="str" cm="1">
        <f t="array" ref="O504">IF(SUMPRODUCT(OrderLines[UnitPrice],OrderLines[Qty],OrderLines[DiscountPct],--(OrderLines[OrderID] = OrderLines[[#This Row],[OrderID]]))&gt;40,"High Discount","Ok")</f>
        <v>Ok</v>
      </c>
      <c r="P504">
        <f>OrderLines[[#This Row],[UnitCost]]*OrderLines[[#This Row],[Qty]]</f>
        <v>28.36</v>
      </c>
      <c r="Q504" s="8">
        <f>OrderLines[[#This Row],[LineNetAmount]]-OrderLines[[#This Row],[Food Cost]]</f>
        <v>26.858800000000002</v>
      </c>
    </row>
    <row r="505" spans="1:17" x14ac:dyDescent="0.3">
      <c r="A505" t="s">
        <v>236</v>
      </c>
      <c r="B505" t="s">
        <v>407</v>
      </c>
      <c r="C505">
        <v>1</v>
      </c>
      <c r="D505" cm="1">
        <f t="array" ref="D505">VLOOKUP(OrderLines[[#This Row],[SKU]:[SKU]],Menu[],MATCH(OrderLines[[#Headers],[UnitPrice]],Menu[#Headers],0),FALSE)</f>
        <v>246.09</v>
      </c>
      <c r="E505" cm="1">
        <f t="array" ref="E505">VLOOKUP(OrderLines[[#This Row],[SKU]:[SKU]],Menu[],MATCH(OrderLines[[#Headers],[UnitCost]],Menu[#Headers],0),FALSE)</f>
        <v>112.08</v>
      </c>
      <c r="F505" t="str" cm="1">
        <f t="array" ref="F505">VLOOKUP(OrderLines[[#This Row],[SKU]:[SKU]],Menu[],MATCH(OrderLines[[#Headers],[Category]],Menu[#Headers],0),FALSE)</f>
        <v>Hot Meal</v>
      </c>
      <c r="G505" t="str" cm="1">
        <f t="array" ref="G505">_xlfn.TEXTJOIN("+",TRUE,_xlfn._xlws.SORT(_xlfn.UNIQUE(_xlfn._xlws.FILTER(OrderLines[Category],OrderLines[OrderID]=OrderLines[[#This Row],[OrderID]]))))</f>
        <v>Beverage+Hot Meal</v>
      </c>
      <c r="H505" s="2" cm="1">
        <f t="array" ref="H505">INT(VLOOKUP(OrderLines[[#This Row],[OrderID]:[OrderID]],Orders[],MATCH(OrderLines[[#Headers],[OrderDateTime]],Orders[#Headers],0),FALSE))</f>
        <v>45898</v>
      </c>
      <c r="I505" t="str" cm="1">
        <f t="array" ref="I505">VLOOKUP(OrderLines[[#This Row],[OrderID]:[OrderID]],Orders[],MATCH(OrderLines[[#Headers],[Branch]],Orders[#Headers],0),FALSE)</f>
        <v>Head Office Café</v>
      </c>
      <c r="J505" cm="1">
        <f t="array" ref="J505">VLOOKUP(OrderLines[[#This Row],[OrderID]:[OrderID]],Orders[],MATCH(OrderLines[[#Headers],[DiscountPct]],Orders[#Headers],0),FALSE)</f>
        <v>0.03</v>
      </c>
      <c r="K505" t="str" cm="1">
        <f t="array" ref="K505">VLOOKUP(OrderLines[[#This Row],[OrderID]:[OrderID]],Orders[],MATCH(OrderLines[[#Headers],[PaymentType]],Orders[#Headers],0),FALSE)</f>
        <v>Card</v>
      </c>
      <c r="L505" t="str" cm="1">
        <f t="array" ref="L505">VLOOKUP(OrderLines[[#This Row],[OrderID]:[OrderID]],Orders[],MATCH(OrderLines[[#Headers],[Shift]],Orders[#Headers],0),FALSE)</f>
        <v>Breakfast</v>
      </c>
      <c r="M505" s="8">
        <f>(OrderLines[[#This Row],[Qty]]*OrderLines[[#This Row],[UnitPrice]])*(1-OrderLines[[#This Row],[DiscountPct]])</f>
        <v>238.7073</v>
      </c>
      <c r="N505" t="str">
        <f>IF(AND(COUNTIFS(OrderLines[OrderID],OrderLines[[#This Row],[OrderID]],OrderLines[Category],"Hot Meal"),COUNTIFS(OrderLines[OrderID],OrderLines[[#This Row],[OrderID]],OrderLines[Category],"Beverage")),"Combo","Single")</f>
        <v>Combo</v>
      </c>
      <c r="O505" s="8" t="str" cm="1">
        <f t="array" ref="O505">IF(SUMPRODUCT(OrderLines[UnitPrice],OrderLines[Qty],OrderLines[DiscountPct],--(OrderLines[OrderID] = OrderLines[[#This Row],[OrderID]]))&gt;40,"High Discount","Ok")</f>
        <v>Ok</v>
      </c>
      <c r="P505">
        <f>OrderLines[[#This Row],[UnitCost]]*OrderLines[[#This Row],[Qty]]</f>
        <v>112.08</v>
      </c>
      <c r="Q505" s="8">
        <f>OrderLines[[#This Row],[LineNetAmount]]-OrderLines[[#This Row],[Food Cost]]</f>
        <v>126.62730000000001</v>
      </c>
    </row>
    <row r="506" spans="1:17" x14ac:dyDescent="0.3">
      <c r="A506" t="s">
        <v>236</v>
      </c>
      <c r="B506" t="s">
        <v>415</v>
      </c>
      <c r="C506">
        <v>1</v>
      </c>
      <c r="D506" cm="1">
        <f t="array" ref="D506">VLOOKUP(OrderLines[[#This Row],[SKU]:[SKU]],Menu[],MATCH(OrderLines[[#Headers],[UnitPrice]],Menu[#Headers],0),FALSE)</f>
        <v>256.91000000000003</v>
      </c>
      <c r="E506" cm="1">
        <f t="array" ref="E506">VLOOKUP(OrderLines[[#This Row],[SKU]:[SKU]],Menu[],MATCH(OrderLines[[#Headers],[UnitCost]],Menu[#Headers],0),FALSE)</f>
        <v>121.24</v>
      </c>
      <c r="F506" t="str" cm="1">
        <f t="array" ref="F506">VLOOKUP(OrderLines[[#This Row],[SKU]:[SKU]],Menu[],MATCH(OrderLines[[#Headers],[Category]],Menu[#Headers],0),FALSE)</f>
        <v>Hot Meal</v>
      </c>
      <c r="G506" t="str" cm="1">
        <f t="array" ref="G506">_xlfn.TEXTJOIN("+",TRUE,_xlfn._xlws.SORT(_xlfn.UNIQUE(_xlfn._xlws.FILTER(OrderLines[Category],OrderLines[OrderID]=OrderLines[[#This Row],[OrderID]]))))</f>
        <v>Beverage+Hot Meal</v>
      </c>
      <c r="H506" s="2" cm="1">
        <f t="array" ref="H506">INT(VLOOKUP(OrderLines[[#This Row],[OrderID]:[OrderID]],Orders[],MATCH(OrderLines[[#Headers],[OrderDateTime]],Orders[#Headers],0),FALSE))</f>
        <v>45898</v>
      </c>
      <c r="I506" t="str" cm="1">
        <f t="array" ref="I506">VLOOKUP(OrderLines[[#This Row],[OrderID]:[OrderID]],Orders[],MATCH(OrderLines[[#Headers],[Branch]],Orders[#Headers],0),FALSE)</f>
        <v>Head Office Café</v>
      </c>
      <c r="J506" cm="1">
        <f t="array" ref="J506">VLOOKUP(OrderLines[[#This Row],[OrderID]:[OrderID]],Orders[],MATCH(OrderLines[[#Headers],[DiscountPct]],Orders[#Headers],0),FALSE)</f>
        <v>0.03</v>
      </c>
      <c r="K506" t="str" cm="1">
        <f t="array" ref="K506">VLOOKUP(OrderLines[[#This Row],[OrderID]:[OrderID]],Orders[],MATCH(OrderLines[[#Headers],[PaymentType]],Orders[#Headers],0),FALSE)</f>
        <v>Card</v>
      </c>
      <c r="L506" t="str" cm="1">
        <f t="array" ref="L506">VLOOKUP(OrderLines[[#This Row],[OrderID]:[OrderID]],Orders[],MATCH(OrderLines[[#Headers],[Shift]],Orders[#Headers],0),FALSE)</f>
        <v>Breakfast</v>
      </c>
      <c r="M506" s="8">
        <f>(OrderLines[[#This Row],[Qty]]*OrderLines[[#This Row],[UnitPrice]])*(1-OrderLines[[#This Row],[DiscountPct]])</f>
        <v>249.20270000000002</v>
      </c>
      <c r="N506" t="str">
        <f>IF(AND(COUNTIFS(OrderLines[OrderID],OrderLines[[#This Row],[OrderID]],OrderLines[Category],"Hot Meal"),COUNTIFS(OrderLines[OrderID],OrderLines[[#This Row],[OrderID]],OrderLines[Category],"Beverage")),"Combo","Single")</f>
        <v>Combo</v>
      </c>
      <c r="O506" s="8" t="str" cm="1">
        <f t="array" ref="O506">IF(SUMPRODUCT(OrderLines[UnitPrice],OrderLines[Qty],OrderLines[DiscountPct],--(OrderLines[OrderID] = OrderLines[[#This Row],[OrderID]]))&gt;40,"High Discount","Ok")</f>
        <v>Ok</v>
      </c>
      <c r="P506">
        <f>OrderLines[[#This Row],[UnitCost]]*OrderLines[[#This Row],[Qty]]</f>
        <v>121.24</v>
      </c>
      <c r="Q506" s="8">
        <f>OrderLines[[#This Row],[LineNetAmount]]-OrderLines[[#This Row],[Food Cost]]</f>
        <v>127.96270000000003</v>
      </c>
    </row>
    <row r="507" spans="1:17" x14ac:dyDescent="0.3">
      <c r="A507" t="s">
        <v>236</v>
      </c>
      <c r="B507" t="s">
        <v>405</v>
      </c>
      <c r="C507">
        <v>2</v>
      </c>
      <c r="D507" cm="1">
        <f t="array" ref="D507">VLOOKUP(OrderLines[[#This Row],[SKU]:[SKU]],Menu[],MATCH(OrderLines[[#Headers],[UnitPrice]],Menu[#Headers],0),FALSE)</f>
        <v>170.83</v>
      </c>
      <c r="E507" cm="1">
        <f t="array" ref="E507">VLOOKUP(OrderLines[[#This Row],[SKU]:[SKU]],Menu[],MATCH(OrderLines[[#Headers],[UnitCost]],Menu[#Headers],0),FALSE)</f>
        <v>74.069999999999993</v>
      </c>
      <c r="F507" t="str" cm="1">
        <f t="array" ref="F507">VLOOKUP(OrderLines[[#This Row],[SKU]:[SKU]],Menu[],MATCH(OrderLines[[#Headers],[Category]],Menu[#Headers],0),FALSE)</f>
        <v>Hot Meal</v>
      </c>
      <c r="G507" t="str" cm="1">
        <f t="array" ref="G507">_xlfn.TEXTJOIN("+",TRUE,_xlfn._xlws.SORT(_xlfn.UNIQUE(_xlfn._xlws.FILTER(OrderLines[Category],OrderLines[OrderID]=OrderLines[[#This Row],[OrderID]]))))</f>
        <v>Beverage+Hot Meal</v>
      </c>
      <c r="H507" s="2" cm="1">
        <f t="array" ref="H507">INT(VLOOKUP(OrderLines[[#This Row],[OrderID]:[OrderID]],Orders[],MATCH(OrderLines[[#Headers],[OrderDateTime]],Orders[#Headers],0),FALSE))</f>
        <v>45898</v>
      </c>
      <c r="I507" t="str" cm="1">
        <f t="array" ref="I507">VLOOKUP(OrderLines[[#This Row],[OrderID]:[OrderID]],Orders[],MATCH(OrderLines[[#Headers],[Branch]],Orders[#Headers],0),FALSE)</f>
        <v>Head Office Café</v>
      </c>
      <c r="J507" cm="1">
        <f t="array" ref="J507">VLOOKUP(OrderLines[[#This Row],[OrderID]:[OrderID]],Orders[],MATCH(OrderLines[[#Headers],[DiscountPct]],Orders[#Headers],0),FALSE)</f>
        <v>0.03</v>
      </c>
      <c r="K507" t="str" cm="1">
        <f t="array" ref="K507">VLOOKUP(OrderLines[[#This Row],[OrderID]:[OrderID]],Orders[],MATCH(OrderLines[[#Headers],[PaymentType]],Orders[#Headers],0),FALSE)</f>
        <v>Card</v>
      </c>
      <c r="L507" t="str" cm="1">
        <f t="array" ref="L507">VLOOKUP(OrderLines[[#This Row],[OrderID]:[OrderID]],Orders[],MATCH(OrderLines[[#Headers],[Shift]],Orders[#Headers],0),FALSE)</f>
        <v>Breakfast</v>
      </c>
      <c r="M507" s="8">
        <f>(OrderLines[[#This Row],[Qty]]*OrderLines[[#This Row],[UnitPrice]])*(1-OrderLines[[#This Row],[DiscountPct]])</f>
        <v>331.41020000000003</v>
      </c>
      <c r="N507" t="str">
        <f>IF(AND(COUNTIFS(OrderLines[OrderID],OrderLines[[#This Row],[OrderID]],OrderLines[Category],"Hot Meal"),COUNTIFS(OrderLines[OrderID],OrderLines[[#This Row],[OrderID]],OrderLines[Category],"Beverage")),"Combo","Single")</f>
        <v>Combo</v>
      </c>
      <c r="O507" s="8" t="str" cm="1">
        <f t="array" ref="O507">IF(SUMPRODUCT(OrderLines[UnitPrice],OrderLines[Qty],OrderLines[DiscountPct],--(OrderLines[OrderID] = OrderLines[[#This Row],[OrderID]]))&gt;40,"High Discount","Ok")</f>
        <v>Ok</v>
      </c>
      <c r="P507">
        <f>OrderLines[[#This Row],[UnitCost]]*OrderLines[[#This Row],[Qty]]</f>
        <v>148.13999999999999</v>
      </c>
      <c r="Q507" s="8">
        <f>OrderLines[[#This Row],[LineNetAmount]]-OrderLines[[#This Row],[Food Cost]]</f>
        <v>183.27020000000005</v>
      </c>
    </row>
    <row r="508" spans="1:17" x14ac:dyDescent="0.3">
      <c r="A508" t="s">
        <v>236</v>
      </c>
      <c r="B508" t="s">
        <v>404</v>
      </c>
      <c r="C508">
        <v>1</v>
      </c>
      <c r="D508" cm="1">
        <f t="array" ref="D508">VLOOKUP(OrderLines[[#This Row],[SKU]:[SKU]],Menu[],MATCH(OrderLines[[#Headers],[UnitPrice]],Menu[#Headers],0),FALSE)</f>
        <v>32.979999999999997</v>
      </c>
      <c r="E508" cm="1">
        <f t="array" ref="E508">VLOOKUP(OrderLines[[#This Row],[SKU]:[SKU]],Menu[],MATCH(OrderLines[[#Headers],[UnitCost]],Menu[#Headers],0),FALSE)</f>
        <v>11.84</v>
      </c>
      <c r="F508" t="str" cm="1">
        <f t="array" ref="F508">VLOOKUP(OrderLines[[#This Row],[SKU]:[SKU]],Menu[],MATCH(OrderLines[[#Headers],[Category]],Menu[#Headers],0),FALSE)</f>
        <v>Beverage</v>
      </c>
      <c r="G508" t="str" cm="1">
        <f t="array" ref="G508">_xlfn.TEXTJOIN("+",TRUE,_xlfn._xlws.SORT(_xlfn.UNIQUE(_xlfn._xlws.FILTER(OrderLines[Category],OrderLines[OrderID]=OrderLines[[#This Row],[OrderID]]))))</f>
        <v>Beverage+Hot Meal</v>
      </c>
      <c r="H508" s="2" cm="1">
        <f t="array" ref="H508">INT(VLOOKUP(OrderLines[[#This Row],[OrderID]:[OrderID]],Orders[],MATCH(OrderLines[[#Headers],[OrderDateTime]],Orders[#Headers],0),FALSE))</f>
        <v>45898</v>
      </c>
      <c r="I508" t="str" cm="1">
        <f t="array" ref="I508">VLOOKUP(OrderLines[[#This Row],[OrderID]:[OrderID]],Orders[],MATCH(OrderLines[[#Headers],[Branch]],Orders[#Headers],0),FALSE)</f>
        <v>Head Office Café</v>
      </c>
      <c r="J508" cm="1">
        <f t="array" ref="J508">VLOOKUP(OrderLines[[#This Row],[OrderID]:[OrderID]],Orders[],MATCH(OrderLines[[#Headers],[DiscountPct]],Orders[#Headers],0),FALSE)</f>
        <v>0.03</v>
      </c>
      <c r="K508" t="str" cm="1">
        <f t="array" ref="K508">VLOOKUP(OrderLines[[#This Row],[OrderID]:[OrderID]],Orders[],MATCH(OrderLines[[#Headers],[PaymentType]],Orders[#Headers],0),FALSE)</f>
        <v>Card</v>
      </c>
      <c r="L508" t="str" cm="1">
        <f t="array" ref="L508">VLOOKUP(OrderLines[[#This Row],[OrderID]:[OrderID]],Orders[],MATCH(OrderLines[[#Headers],[Shift]],Orders[#Headers],0),FALSE)</f>
        <v>Breakfast</v>
      </c>
      <c r="M508" s="8">
        <f>(OrderLines[[#This Row],[Qty]]*OrderLines[[#This Row],[UnitPrice]])*(1-OrderLines[[#This Row],[DiscountPct]])</f>
        <v>31.990599999999997</v>
      </c>
      <c r="N508" t="str">
        <f>IF(AND(COUNTIFS(OrderLines[OrderID],OrderLines[[#This Row],[OrderID]],OrderLines[Category],"Hot Meal"),COUNTIFS(OrderLines[OrderID],OrderLines[[#This Row],[OrderID]],OrderLines[Category],"Beverage")),"Combo","Single")</f>
        <v>Combo</v>
      </c>
      <c r="O508" s="8" t="str" cm="1">
        <f t="array" ref="O508">IF(SUMPRODUCT(OrderLines[UnitPrice],OrderLines[Qty],OrderLines[DiscountPct],--(OrderLines[OrderID] = OrderLines[[#This Row],[OrderID]]))&gt;40,"High Discount","Ok")</f>
        <v>Ok</v>
      </c>
      <c r="P508">
        <f>OrderLines[[#This Row],[UnitCost]]*OrderLines[[#This Row],[Qty]]</f>
        <v>11.84</v>
      </c>
      <c r="Q508" s="8">
        <f>OrderLines[[#This Row],[LineNetAmount]]-OrderLines[[#This Row],[Food Cost]]</f>
        <v>20.150599999999997</v>
      </c>
    </row>
    <row r="509" spans="1:17" x14ac:dyDescent="0.3">
      <c r="A509" t="s">
        <v>237</v>
      </c>
      <c r="B509" t="s">
        <v>418</v>
      </c>
      <c r="C509">
        <v>1</v>
      </c>
      <c r="D509" cm="1">
        <f t="array" ref="D509">VLOOKUP(OrderLines[[#This Row],[SKU]:[SKU]],Menu[],MATCH(OrderLines[[#Headers],[UnitPrice]],Menu[#Headers],0),FALSE)</f>
        <v>39.950000000000003</v>
      </c>
      <c r="E509" cm="1">
        <f t="array" ref="E509">VLOOKUP(OrderLines[[#This Row],[SKU]:[SKU]],Menu[],MATCH(OrderLines[[#Headers],[UnitCost]],Menu[#Headers],0),FALSE)</f>
        <v>15.51</v>
      </c>
      <c r="F509" t="str" cm="1">
        <f t="array" ref="F509">VLOOKUP(OrderLines[[#This Row],[SKU]:[SKU]],Menu[],MATCH(OrderLines[[#Headers],[Category]],Menu[#Headers],0),FALSE)</f>
        <v>Snack</v>
      </c>
      <c r="G509" t="str" cm="1">
        <f t="array" ref="G509">_xlfn.TEXTJOIN("+",TRUE,_xlfn._xlws.SORT(_xlfn.UNIQUE(_xlfn._xlws.FILTER(OrderLines[Category],OrderLines[OrderID]=OrderLines[[#This Row],[OrderID]]))))</f>
        <v>Snack</v>
      </c>
      <c r="H509" s="2" cm="1">
        <f t="array" ref="H509">INT(VLOOKUP(OrderLines[[#This Row],[OrderID]:[OrderID]],Orders[],MATCH(OrderLines[[#Headers],[OrderDateTime]],Orders[#Headers],0),FALSE))</f>
        <v>45898</v>
      </c>
      <c r="I509" t="str" cm="1">
        <f t="array" ref="I509">VLOOKUP(OrderLines[[#This Row],[OrderID]:[OrderID]],Orders[],MATCH(OrderLines[[#Headers],[Branch]],Orders[#Headers],0),FALSE)</f>
        <v>Plant 2 Canteen</v>
      </c>
      <c r="J509" cm="1">
        <f t="array" ref="J509">VLOOKUP(OrderLines[[#This Row],[OrderID]:[OrderID]],Orders[],MATCH(OrderLines[[#Headers],[DiscountPct]],Orders[#Headers],0),FALSE)</f>
        <v>0.06</v>
      </c>
      <c r="K509" t="str" cm="1">
        <f t="array" ref="K509">VLOOKUP(OrderLines[[#This Row],[OrderID]:[OrderID]],Orders[],MATCH(OrderLines[[#Headers],[PaymentType]],Orders[#Headers],0),FALSE)</f>
        <v>UPI</v>
      </c>
      <c r="L509" t="str" cm="1">
        <f t="array" ref="L509">VLOOKUP(OrderLines[[#This Row],[OrderID]:[OrderID]],Orders[],MATCH(OrderLines[[#Headers],[Shift]],Orders[#Headers],0),FALSE)</f>
        <v>Breakfast</v>
      </c>
      <c r="M509" s="8">
        <f>(OrderLines[[#This Row],[Qty]]*OrderLines[[#This Row],[UnitPrice]])*(1-OrderLines[[#This Row],[DiscountPct]])</f>
        <v>37.552999999999997</v>
      </c>
      <c r="N509" t="str">
        <f>IF(AND(COUNTIFS(OrderLines[OrderID],OrderLines[[#This Row],[OrderID]],OrderLines[Category],"Hot Meal"),COUNTIFS(OrderLines[OrderID],OrderLines[[#This Row],[OrderID]],OrderLines[Category],"Beverage")),"Combo","Single")</f>
        <v>Single</v>
      </c>
      <c r="O509" s="8" t="str" cm="1">
        <f t="array" ref="O509">IF(SUMPRODUCT(OrderLines[UnitPrice],OrderLines[Qty],OrderLines[DiscountPct],--(OrderLines[OrderID] = OrderLines[[#This Row],[OrderID]]))&gt;40,"High Discount","Ok")</f>
        <v>Ok</v>
      </c>
      <c r="P509">
        <f>OrderLines[[#This Row],[UnitCost]]*OrderLines[[#This Row],[Qty]]</f>
        <v>15.51</v>
      </c>
      <c r="Q509" s="8">
        <f>OrderLines[[#This Row],[LineNetAmount]]-OrderLines[[#This Row],[Food Cost]]</f>
        <v>22.042999999999999</v>
      </c>
    </row>
    <row r="510" spans="1:17" x14ac:dyDescent="0.3">
      <c r="A510" t="s">
        <v>238</v>
      </c>
      <c r="B510" t="s">
        <v>406</v>
      </c>
      <c r="C510">
        <v>1</v>
      </c>
      <c r="D510" cm="1">
        <f t="array" ref="D510">VLOOKUP(OrderLines[[#This Row],[SKU]:[SKU]],Menu[],MATCH(OrderLines[[#Headers],[UnitPrice]],Menu[#Headers],0),FALSE)</f>
        <v>38.06</v>
      </c>
      <c r="E510" cm="1">
        <f t="array" ref="E510">VLOOKUP(OrderLines[[#This Row],[SKU]:[SKU]],Menu[],MATCH(OrderLines[[#Headers],[UnitCost]],Menu[#Headers],0),FALSE)</f>
        <v>19.55</v>
      </c>
      <c r="F510" t="str" cm="1">
        <f t="array" ref="F510">VLOOKUP(OrderLines[[#This Row],[SKU]:[SKU]],Menu[],MATCH(OrderLines[[#Headers],[Category]],Menu[#Headers],0),FALSE)</f>
        <v>Snack</v>
      </c>
      <c r="G510" t="str" cm="1">
        <f t="array" ref="G510">_xlfn.TEXTJOIN("+",TRUE,_xlfn._xlws.SORT(_xlfn.UNIQUE(_xlfn._xlws.FILTER(OrderLines[Category],OrderLines[OrderID]=OrderLines[[#This Row],[OrderID]]))))</f>
        <v>Snack</v>
      </c>
      <c r="H510" s="2" cm="1">
        <f t="array" ref="H510">INT(VLOOKUP(OrderLines[[#This Row],[OrderID]:[OrderID]],Orders[],MATCH(OrderLines[[#Headers],[OrderDateTime]],Orders[#Headers],0),FALSE))</f>
        <v>45863</v>
      </c>
      <c r="I510" t="str" cm="1">
        <f t="array" ref="I510">VLOOKUP(OrderLines[[#This Row],[OrderID]:[OrderID]],Orders[],MATCH(OrderLines[[#Headers],[Branch]],Orders[#Headers],0),FALSE)</f>
        <v>Head Office Café</v>
      </c>
      <c r="J510" cm="1">
        <f t="array" ref="J510">VLOOKUP(OrderLines[[#This Row],[OrderID]:[OrderID]],Orders[],MATCH(OrderLines[[#Headers],[DiscountPct]],Orders[#Headers],0),FALSE)</f>
        <v>0.08</v>
      </c>
      <c r="K510" t="str" cm="1">
        <f t="array" ref="K510">VLOOKUP(OrderLines[[#This Row],[OrderID]:[OrderID]],Orders[],MATCH(OrderLines[[#Headers],[PaymentType]],Orders[#Headers],0),FALSE)</f>
        <v>UPI</v>
      </c>
      <c r="L510" t="str" cm="1">
        <f t="array" ref="L510">VLOOKUP(OrderLines[[#This Row],[OrderID]:[OrderID]],Orders[],MATCH(OrderLines[[#Headers],[Shift]],Orders[#Headers],0),FALSE)</f>
        <v>Lunch</v>
      </c>
      <c r="M510" s="8">
        <f>(OrderLines[[#This Row],[Qty]]*OrderLines[[#This Row],[UnitPrice]])*(1-OrderLines[[#This Row],[DiscountPct]])</f>
        <v>35.0152</v>
      </c>
      <c r="N510" t="str">
        <f>IF(AND(COUNTIFS(OrderLines[OrderID],OrderLines[[#This Row],[OrderID]],OrderLines[Category],"Hot Meal"),COUNTIFS(OrderLines[OrderID],OrderLines[[#This Row],[OrderID]],OrderLines[Category],"Beverage")),"Combo","Single")</f>
        <v>Single</v>
      </c>
      <c r="O510" s="8" t="str" cm="1">
        <f t="array" ref="O510">IF(SUMPRODUCT(OrderLines[UnitPrice],OrderLines[Qty],OrderLines[DiscountPct],--(OrderLines[OrderID] = OrderLines[[#This Row],[OrderID]]))&gt;40,"High Discount","Ok")</f>
        <v>Ok</v>
      </c>
      <c r="P510">
        <f>OrderLines[[#This Row],[UnitCost]]*OrderLines[[#This Row],[Qty]]</f>
        <v>19.55</v>
      </c>
      <c r="Q510" s="8">
        <f>OrderLines[[#This Row],[LineNetAmount]]-OrderLines[[#This Row],[Food Cost]]</f>
        <v>15.465199999999999</v>
      </c>
    </row>
    <row r="511" spans="1:17" x14ac:dyDescent="0.3">
      <c r="A511" t="s">
        <v>239</v>
      </c>
      <c r="B511" t="s">
        <v>405</v>
      </c>
      <c r="C511">
        <v>1</v>
      </c>
      <c r="D511" cm="1">
        <f t="array" ref="D511">VLOOKUP(OrderLines[[#This Row],[SKU]:[SKU]],Menu[],MATCH(OrderLines[[#Headers],[UnitPrice]],Menu[#Headers],0),FALSE)</f>
        <v>170.83</v>
      </c>
      <c r="E511" cm="1">
        <f t="array" ref="E511">VLOOKUP(OrderLines[[#This Row],[SKU]:[SKU]],Menu[],MATCH(OrderLines[[#Headers],[UnitCost]],Menu[#Headers],0),FALSE)</f>
        <v>74.069999999999993</v>
      </c>
      <c r="F511" t="str" cm="1">
        <f t="array" ref="F511">VLOOKUP(OrderLines[[#This Row],[SKU]:[SKU]],Menu[],MATCH(OrderLines[[#Headers],[Category]],Menu[#Headers],0),FALSE)</f>
        <v>Hot Meal</v>
      </c>
      <c r="G511" t="str" cm="1">
        <f t="array" ref="G511">_xlfn.TEXTJOIN("+",TRUE,_xlfn._xlws.SORT(_xlfn.UNIQUE(_xlfn._xlws.FILTER(OrderLines[Category],OrderLines[OrderID]=OrderLines[[#This Row],[OrderID]]))))</f>
        <v>Hot Meal</v>
      </c>
      <c r="H511" s="2" cm="1">
        <f t="array" ref="H511">INT(VLOOKUP(OrderLines[[#This Row],[OrderID]:[OrderID]],Orders[],MATCH(OrderLines[[#Headers],[OrderDateTime]],Orders[#Headers],0),FALSE))</f>
        <v>45848</v>
      </c>
      <c r="I511" t="str" cm="1">
        <f t="array" ref="I511">VLOOKUP(OrderLines[[#This Row],[OrderID]:[OrderID]],Orders[],MATCH(OrderLines[[#Headers],[Branch]],Orders[#Headers],0),FALSE)</f>
        <v>Head Office Café</v>
      </c>
      <c r="J511" cm="1">
        <f t="array" ref="J511">VLOOKUP(OrderLines[[#This Row],[OrderID]:[OrderID]],Orders[],MATCH(OrderLines[[#Headers],[DiscountPct]],Orders[#Headers],0),FALSE)</f>
        <v>0.09</v>
      </c>
      <c r="K511" t="str" cm="1">
        <f t="array" ref="K511">VLOOKUP(OrderLines[[#This Row],[OrderID]:[OrderID]],Orders[],MATCH(OrderLines[[#Headers],[PaymentType]],Orders[#Headers],0),FALSE)</f>
        <v>Cash</v>
      </c>
      <c r="L511" t="str" cm="1">
        <f t="array" ref="L511">VLOOKUP(OrderLines[[#This Row],[OrderID]:[OrderID]],Orders[],MATCH(OrderLines[[#Headers],[Shift]],Orders[#Headers],0),FALSE)</f>
        <v>Dinner</v>
      </c>
      <c r="M511" s="8">
        <f>(OrderLines[[#This Row],[Qty]]*OrderLines[[#This Row],[UnitPrice]])*(1-OrderLines[[#This Row],[DiscountPct]])</f>
        <v>155.45530000000002</v>
      </c>
      <c r="N511" t="str">
        <f>IF(AND(COUNTIFS(OrderLines[OrderID],OrderLines[[#This Row],[OrderID]],OrderLines[Category],"Hot Meal"),COUNTIFS(OrderLines[OrderID],OrderLines[[#This Row],[OrderID]],OrderLines[Category],"Beverage")),"Combo","Single")</f>
        <v>Single</v>
      </c>
      <c r="O511" s="8" t="str" cm="1">
        <f t="array" ref="O511">IF(SUMPRODUCT(OrderLines[UnitPrice],OrderLines[Qty],OrderLines[DiscountPct],--(OrderLines[OrderID] = OrderLines[[#This Row],[OrderID]]))&gt;40,"High Discount","Ok")</f>
        <v>Ok</v>
      </c>
      <c r="P511">
        <f>OrderLines[[#This Row],[UnitCost]]*OrderLines[[#This Row],[Qty]]</f>
        <v>74.069999999999993</v>
      </c>
      <c r="Q511" s="8">
        <f>OrderLines[[#This Row],[LineNetAmount]]-OrderLines[[#This Row],[Food Cost]]</f>
        <v>81.385300000000029</v>
      </c>
    </row>
    <row r="512" spans="1:17" x14ac:dyDescent="0.3">
      <c r="A512" t="s">
        <v>240</v>
      </c>
      <c r="B512" t="s">
        <v>417</v>
      </c>
      <c r="C512">
        <v>1</v>
      </c>
      <c r="D512" cm="1">
        <f t="array" ref="D512">VLOOKUP(OrderLines[[#This Row],[SKU]:[SKU]],Menu[],MATCH(OrderLines[[#Headers],[UnitPrice]],Menu[#Headers],0),FALSE)</f>
        <v>146.4</v>
      </c>
      <c r="E512" cm="1">
        <f t="array" ref="E512">VLOOKUP(OrderLines[[#This Row],[SKU]:[SKU]],Menu[],MATCH(OrderLines[[#Headers],[UnitCost]],Menu[#Headers],0),FALSE)</f>
        <v>80.92</v>
      </c>
      <c r="F512" t="str" cm="1">
        <f t="array" ref="F512">VLOOKUP(OrderLines[[#This Row],[SKU]:[SKU]],Menu[],MATCH(OrderLines[[#Headers],[Category]],Menu[#Headers],0),FALSE)</f>
        <v>Hot Meal</v>
      </c>
      <c r="G512" t="str" cm="1">
        <f t="array" ref="G512">_xlfn.TEXTJOIN("+",TRUE,_xlfn._xlws.SORT(_xlfn.UNIQUE(_xlfn._xlws.FILTER(OrderLines[Category],OrderLines[OrderID]=OrderLines[[#This Row],[OrderID]]))))</f>
        <v>Dessert+Hot Meal</v>
      </c>
      <c r="H512" s="2" cm="1">
        <f t="array" ref="H512">INT(VLOOKUP(OrderLines[[#This Row],[OrderID]:[OrderID]],Orders[],MATCH(OrderLines[[#Headers],[OrderDateTime]],Orders[#Headers],0),FALSE))</f>
        <v>45882</v>
      </c>
      <c r="I512" t="str" cm="1">
        <f t="array" ref="I512">VLOOKUP(OrderLines[[#This Row],[OrderID]:[OrderID]],Orders[],MATCH(OrderLines[[#Headers],[Branch]],Orders[#Headers],0),FALSE)</f>
        <v>Plant 1 Canteen</v>
      </c>
      <c r="J512" cm="1">
        <f t="array" ref="J512">VLOOKUP(OrderLines[[#This Row],[OrderID]:[OrderID]],Orders[],MATCH(OrderLines[[#Headers],[DiscountPct]],Orders[#Headers],0),FALSE)</f>
        <v>0.01</v>
      </c>
      <c r="K512" t="str" cm="1">
        <f t="array" ref="K512">VLOOKUP(OrderLines[[#This Row],[OrderID]:[OrderID]],Orders[],MATCH(OrderLines[[#Headers],[PaymentType]],Orders[#Headers],0),FALSE)</f>
        <v>Card</v>
      </c>
      <c r="L512" t="str" cm="1">
        <f t="array" ref="L512">VLOOKUP(OrderLines[[#This Row],[OrderID]:[OrderID]],Orders[],MATCH(OrderLines[[#Headers],[Shift]],Orders[#Headers],0),FALSE)</f>
        <v>Breakfast</v>
      </c>
      <c r="M512" s="8">
        <f>(OrderLines[[#This Row],[Qty]]*OrderLines[[#This Row],[UnitPrice]])*(1-OrderLines[[#This Row],[DiscountPct]])</f>
        <v>144.93600000000001</v>
      </c>
      <c r="N512" t="str">
        <f>IF(AND(COUNTIFS(OrderLines[OrderID],OrderLines[[#This Row],[OrderID]],OrderLines[Category],"Hot Meal"),COUNTIFS(OrderLines[OrderID],OrderLines[[#This Row],[OrderID]],OrderLines[Category],"Beverage")),"Combo","Single")</f>
        <v>Single</v>
      </c>
      <c r="O512" s="8" t="str" cm="1">
        <f t="array" ref="O512">IF(SUMPRODUCT(OrderLines[UnitPrice],OrderLines[Qty],OrderLines[DiscountPct],--(OrderLines[OrderID] = OrderLines[[#This Row],[OrderID]]))&gt;40,"High Discount","Ok")</f>
        <v>Ok</v>
      </c>
      <c r="P512">
        <f>OrderLines[[#This Row],[UnitCost]]*OrderLines[[#This Row],[Qty]]</f>
        <v>80.92</v>
      </c>
      <c r="Q512" s="8">
        <f>OrderLines[[#This Row],[LineNetAmount]]-OrderLines[[#This Row],[Food Cost]]</f>
        <v>64.016000000000005</v>
      </c>
    </row>
    <row r="513" spans="1:17" x14ac:dyDescent="0.3">
      <c r="A513" t="s">
        <v>240</v>
      </c>
      <c r="B513" t="s">
        <v>413</v>
      </c>
      <c r="C513">
        <v>2</v>
      </c>
      <c r="D513" cm="1">
        <f t="array" ref="D513">VLOOKUP(OrderLines[[#This Row],[SKU]:[SKU]],Menu[],MATCH(OrderLines[[#Headers],[UnitPrice]],Menu[#Headers],0),FALSE)</f>
        <v>54.2</v>
      </c>
      <c r="E513" cm="1">
        <f t="array" ref="E513">VLOOKUP(OrderLines[[#This Row],[SKU]:[SKU]],Menu[],MATCH(OrderLines[[#Headers],[UnitCost]],Menu[#Headers],0),FALSE)</f>
        <v>21.95</v>
      </c>
      <c r="F513" t="str" cm="1">
        <f t="array" ref="F513">VLOOKUP(OrderLines[[#This Row],[SKU]:[SKU]],Menu[],MATCH(OrderLines[[#Headers],[Category]],Menu[#Headers],0),FALSE)</f>
        <v>Dessert</v>
      </c>
      <c r="G513" t="str" cm="1">
        <f t="array" ref="G513">_xlfn.TEXTJOIN("+",TRUE,_xlfn._xlws.SORT(_xlfn.UNIQUE(_xlfn._xlws.FILTER(OrderLines[Category],OrderLines[OrderID]=OrderLines[[#This Row],[OrderID]]))))</f>
        <v>Dessert+Hot Meal</v>
      </c>
      <c r="H513" s="2" cm="1">
        <f t="array" ref="H513">INT(VLOOKUP(OrderLines[[#This Row],[OrderID]:[OrderID]],Orders[],MATCH(OrderLines[[#Headers],[OrderDateTime]],Orders[#Headers],0),FALSE))</f>
        <v>45882</v>
      </c>
      <c r="I513" t="str" cm="1">
        <f t="array" ref="I513">VLOOKUP(OrderLines[[#This Row],[OrderID]:[OrderID]],Orders[],MATCH(OrderLines[[#Headers],[Branch]],Orders[#Headers],0),FALSE)</f>
        <v>Plant 1 Canteen</v>
      </c>
      <c r="J513" cm="1">
        <f t="array" ref="J513">VLOOKUP(OrderLines[[#This Row],[OrderID]:[OrderID]],Orders[],MATCH(OrderLines[[#Headers],[DiscountPct]],Orders[#Headers],0),FALSE)</f>
        <v>0.01</v>
      </c>
      <c r="K513" t="str" cm="1">
        <f t="array" ref="K513">VLOOKUP(OrderLines[[#This Row],[OrderID]:[OrderID]],Orders[],MATCH(OrderLines[[#Headers],[PaymentType]],Orders[#Headers],0),FALSE)</f>
        <v>Card</v>
      </c>
      <c r="L513" t="str" cm="1">
        <f t="array" ref="L513">VLOOKUP(OrderLines[[#This Row],[OrderID]:[OrderID]],Orders[],MATCH(OrderLines[[#Headers],[Shift]],Orders[#Headers],0),FALSE)</f>
        <v>Breakfast</v>
      </c>
      <c r="M513" s="8">
        <f>(OrderLines[[#This Row],[Qty]]*OrderLines[[#This Row],[UnitPrice]])*(1-OrderLines[[#This Row],[DiscountPct]])</f>
        <v>107.316</v>
      </c>
      <c r="N513" t="str">
        <f>IF(AND(COUNTIFS(OrderLines[OrderID],OrderLines[[#This Row],[OrderID]],OrderLines[Category],"Hot Meal"),COUNTIFS(OrderLines[OrderID],OrderLines[[#This Row],[OrderID]],OrderLines[Category],"Beverage")),"Combo","Single")</f>
        <v>Single</v>
      </c>
      <c r="O513" s="8" t="str" cm="1">
        <f t="array" ref="O513">IF(SUMPRODUCT(OrderLines[UnitPrice],OrderLines[Qty],OrderLines[DiscountPct],--(OrderLines[OrderID] = OrderLines[[#This Row],[OrderID]]))&gt;40,"High Discount","Ok")</f>
        <v>Ok</v>
      </c>
      <c r="P513">
        <f>OrderLines[[#This Row],[UnitCost]]*OrderLines[[#This Row],[Qty]]</f>
        <v>43.9</v>
      </c>
      <c r="Q513" s="8">
        <f>OrderLines[[#This Row],[LineNetAmount]]-OrderLines[[#This Row],[Food Cost]]</f>
        <v>63.416000000000004</v>
      </c>
    </row>
    <row r="514" spans="1:17" x14ac:dyDescent="0.3">
      <c r="A514" t="s">
        <v>241</v>
      </c>
      <c r="B514" t="s">
        <v>411</v>
      </c>
      <c r="C514">
        <v>1</v>
      </c>
      <c r="D514" cm="1">
        <f t="array" ref="D514">VLOOKUP(OrderLines[[#This Row],[SKU]:[SKU]],Menu[],MATCH(OrderLines[[#Headers],[UnitPrice]],Menu[#Headers],0),FALSE)</f>
        <v>22.2</v>
      </c>
      <c r="E514" cm="1">
        <f t="array" ref="E514">VLOOKUP(OrderLines[[#This Row],[SKU]:[SKU]],Menu[],MATCH(OrderLines[[#Headers],[UnitCost]],Menu[#Headers],0),FALSE)</f>
        <v>9.3800000000000008</v>
      </c>
      <c r="F514" t="str" cm="1">
        <f t="array" ref="F514">VLOOKUP(OrderLines[[#This Row],[SKU]:[SKU]],Menu[],MATCH(OrderLines[[#Headers],[Category]],Menu[#Headers],0),FALSE)</f>
        <v>Beverage</v>
      </c>
      <c r="G514" t="str" cm="1">
        <f t="array" ref="G514">_xlfn.TEXTJOIN("+",TRUE,_xlfn._xlws.SORT(_xlfn.UNIQUE(_xlfn._xlws.FILTER(OrderLines[Category],OrderLines[OrderID]=OrderLines[[#This Row],[OrderID]]))))</f>
        <v>Beverage+Hot Meal</v>
      </c>
      <c r="H514" s="2" cm="1">
        <f t="array" ref="H514">INT(VLOOKUP(OrderLines[[#This Row],[OrderID]:[OrderID]],Orders[],MATCH(OrderLines[[#Headers],[OrderDateTime]],Orders[#Headers],0),FALSE))</f>
        <v>45848</v>
      </c>
      <c r="I514" t="str" cm="1">
        <f t="array" ref="I514">VLOOKUP(OrderLines[[#This Row],[OrderID]:[OrderID]],Orders[],MATCH(OrderLines[[#Headers],[Branch]],Orders[#Headers],0),FALSE)</f>
        <v>Plant 2 Canteen</v>
      </c>
      <c r="J514" cm="1">
        <f t="array" ref="J514">VLOOKUP(OrderLines[[#This Row],[OrderID]:[OrderID]],Orders[],MATCH(OrderLines[[#Headers],[DiscountPct]],Orders[#Headers],0),FALSE)</f>
        <v>0.05</v>
      </c>
      <c r="K514" t="str" cm="1">
        <f t="array" ref="K514">VLOOKUP(OrderLines[[#This Row],[OrderID]:[OrderID]],Orders[],MATCH(OrderLines[[#Headers],[PaymentType]],Orders[#Headers],0),FALSE)</f>
        <v>UPI</v>
      </c>
      <c r="L514" t="str" cm="1">
        <f t="array" ref="L514">VLOOKUP(OrderLines[[#This Row],[OrderID]:[OrderID]],Orders[],MATCH(OrderLines[[#Headers],[Shift]],Orders[#Headers],0),FALSE)</f>
        <v>Breakfast</v>
      </c>
      <c r="M514" s="8">
        <f>(OrderLines[[#This Row],[Qty]]*OrderLines[[#This Row],[UnitPrice]])*(1-OrderLines[[#This Row],[DiscountPct]])</f>
        <v>21.09</v>
      </c>
      <c r="N514" t="str">
        <f>IF(AND(COUNTIFS(OrderLines[OrderID],OrderLines[[#This Row],[OrderID]],OrderLines[Category],"Hot Meal"),COUNTIFS(OrderLines[OrderID],OrderLines[[#This Row],[OrderID]],OrderLines[Category],"Beverage")),"Combo","Single")</f>
        <v>Combo</v>
      </c>
      <c r="O514" s="8" t="str" cm="1">
        <f t="array" ref="O514">IF(SUMPRODUCT(OrderLines[UnitPrice],OrderLines[Qty],OrderLines[DiscountPct],--(OrderLines[OrderID] = OrderLines[[#This Row],[OrderID]]))&gt;40,"High Discount","Ok")</f>
        <v>High Discount</v>
      </c>
      <c r="P514">
        <f>OrderLines[[#This Row],[UnitCost]]*OrderLines[[#This Row],[Qty]]</f>
        <v>9.3800000000000008</v>
      </c>
      <c r="Q514" s="8">
        <f>OrderLines[[#This Row],[LineNetAmount]]-OrderLines[[#This Row],[Food Cost]]</f>
        <v>11.709999999999999</v>
      </c>
    </row>
    <row r="515" spans="1:17" x14ac:dyDescent="0.3">
      <c r="A515" t="s">
        <v>241</v>
      </c>
      <c r="B515" t="s">
        <v>416</v>
      </c>
      <c r="C515">
        <v>3</v>
      </c>
      <c r="D515" cm="1">
        <f t="array" ref="D515">VLOOKUP(OrderLines[[#This Row],[SKU]:[SKU]],Menu[],MATCH(OrderLines[[#Headers],[UnitPrice]],Menu[#Headers],0),FALSE)</f>
        <v>227.61</v>
      </c>
      <c r="E515" cm="1">
        <f t="array" ref="E515">VLOOKUP(OrderLines[[#This Row],[SKU]:[SKU]],Menu[],MATCH(OrderLines[[#Headers],[UnitCost]],Menu[#Headers],0),FALSE)</f>
        <v>96.22</v>
      </c>
      <c r="F515" t="str" cm="1">
        <f t="array" ref="F515">VLOOKUP(OrderLines[[#This Row],[SKU]:[SKU]],Menu[],MATCH(OrderLines[[#Headers],[Category]],Menu[#Headers],0),FALSE)</f>
        <v>Hot Meal</v>
      </c>
      <c r="G515" t="str" cm="1">
        <f t="array" ref="G515">_xlfn.TEXTJOIN("+",TRUE,_xlfn._xlws.SORT(_xlfn.UNIQUE(_xlfn._xlws.FILTER(OrderLines[Category],OrderLines[OrderID]=OrderLines[[#This Row],[OrderID]]))))</f>
        <v>Beverage+Hot Meal</v>
      </c>
      <c r="H515" s="2" cm="1">
        <f t="array" ref="H515">INT(VLOOKUP(OrderLines[[#This Row],[OrderID]:[OrderID]],Orders[],MATCH(OrderLines[[#Headers],[OrderDateTime]],Orders[#Headers],0),FALSE))</f>
        <v>45848</v>
      </c>
      <c r="I515" t="str" cm="1">
        <f t="array" ref="I515">VLOOKUP(OrderLines[[#This Row],[OrderID]:[OrderID]],Orders[],MATCH(OrderLines[[#Headers],[Branch]],Orders[#Headers],0),FALSE)</f>
        <v>Plant 2 Canteen</v>
      </c>
      <c r="J515" cm="1">
        <f t="array" ref="J515">VLOOKUP(OrderLines[[#This Row],[OrderID]:[OrderID]],Orders[],MATCH(OrderLines[[#Headers],[DiscountPct]],Orders[#Headers],0),FALSE)</f>
        <v>0.05</v>
      </c>
      <c r="K515" t="str" cm="1">
        <f t="array" ref="K515">VLOOKUP(OrderLines[[#This Row],[OrderID]:[OrderID]],Orders[],MATCH(OrderLines[[#Headers],[PaymentType]],Orders[#Headers],0),FALSE)</f>
        <v>UPI</v>
      </c>
      <c r="L515" t="str" cm="1">
        <f t="array" ref="L515">VLOOKUP(OrderLines[[#This Row],[OrderID]:[OrderID]],Orders[],MATCH(OrderLines[[#Headers],[Shift]],Orders[#Headers],0),FALSE)</f>
        <v>Breakfast</v>
      </c>
      <c r="M515" s="8">
        <f>(OrderLines[[#This Row],[Qty]]*OrderLines[[#This Row],[UnitPrice]])*(1-OrderLines[[#This Row],[DiscountPct]])</f>
        <v>648.68849999999998</v>
      </c>
      <c r="N515" t="str">
        <f>IF(AND(COUNTIFS(OrderLines[OrderID],OrderLines[[#This Row],[OrderID]],OrderLines[Category],"Hot Meal"),COUNTIFS(OrderLines[OrderID],OrderLines[[#This Row],[OrderID]],OrderLines[Category],"Beverage")),"Combo","Single")</f>
        <v>Combo</v>
      </c>
      <c r="O515" s="8" t="str" cm="1">
        <f t="array" ref="O515">IF(SUMPRODUCT(OrderLines[UnitPrice],OrderLines[Qty],OrderLines[DiscountPct],--(OrderLines[OrderID] = OrderLines[[#This Row],[OrderID]]))&gt;40,"High Discount","Ok")</f>
        <v>High Discount</v>
      </c>
      <c r="P515">
        <f>OrderLines[[#This Row],[UnitCost]]*OrderLines[[#This Row],[Qty]]</f>
        <v>288.65999999999997</v>
      </c>
      <c r="Q515" s="8">
        <f>OrderLines[[#This Row],[LineNetAmount]]-OrderLines[[#This Row],[Food Cost]]</f>
        <v>360.02850000000001</v>
      </c>
    </row>
    <row r="516" spans="1:17" x14ac:dyDescent="0.3">
      <c r="A516" t="s">
        <v>241</v>
      </c>
      <c r="B516" t="s">
        <v>407</v>
      </c>
      <c r="C516">
        <v>1</v>
      </c>
      <c r="D516" cm="1">
        <f t="array" ref="D516">VLOOKUP(OrderLines[[#This Row],[SKU]:[SKU]],Menu[],MATCH(OrderLines[[#Headers],[UnitPrice]],Menu[#Headers],0),FALSE)</f>
        <v>246.09</v>
      </c>
      <c r="E516" cm="1">
        <f t="array" ref="E516">VLOOKUP(OrderLines[[#This Row],[SKU]:[SKU]],Menu[],MATCH(OrderLines[[#Headers],[UnitCost]],Menu[#Headers],0),FALSE)</f>
        <v>112.08</v>
      </c>
      <c r="F516" t="str" cm="1">
        <f t="array" ref="F516">VLOOKUP(OrderLines[[#This Row],[SKU]:[SKU]],Menu[],MATCH(OrderLines[[#Headers],[Category]],Menu[#Headers],0),FALSE)</f>
        <v>Hot Meal</v>
      </c>
      <c r="G516" t="str" cm="1">
        <f t="array" ref="G516">_xlfn.TEXTJOIN("+",TRUE,_xlfn._xlws.SORT(_xlfn.UNIQUE(_xlfn._xlws.FILTER(OrderLines[Category],OrderLines[OrderID]=OrderLines[[#This Row],[OrderID]]))))</f>
        <v>Beverage+Hot Meal</v>
      </c>
      <c r="H516" s="2" cm="1">
        <f t="array" ref="H516">INT(VLOOKUP(OrderLines[[#This Row],[OrderID]:[OrderID]],Orders[],MATCH(OrderLines[[#Headers],[OrderDateTime]],Orders[#Headers],0),FALSE))</f>
        <v>45848</v>
      </c>
      <c r="I516" t="str" cm="1">
        <f t="array" ref="I516">VLOOKUP(OrderLines[[#This Row],[OrderID]:[OrderID]],Orders[],MATCH(OrderLines[[#Headers],[Branch]],Orders[#Headers],0),FALSE)</f>
        <v>Plant 2 Canteen</v>
      </c>
      <c r="J516" cm="1">
        <f t="array" ref="J516">VLOOKUP(OrderLines[[#This Row],[OrderID]:[OrderID]],Orders[],MATCH(OrderLines[[#Headers],[DiscountPct]],Orders[#Headers],0),FALSE)</f>
        <v>0.05</v>
      </c>
      <c r="K516" t="str" cm="1">
        <f t="array" ref="K516">VLOOKUP(OrderLines[[#This Row],[OrderID]:[OrderID]],Orders[],MATCH(OrderLines[[#Headers],[PaymentType]],Orders[#Headers],0),FALSE)</f>
        <v>UPI</v>
      </c>
      <c r="L516" t="str" cm="1">
        <f t="array" ref="L516">VLOOKUP(OrderLines[[#This Row],[OrderID]:[OrderID]],Orders[],MATCH(OrderLines[[#Headers],[Shift]],Orders[#Headers],0),FALSE)</f>
        <v>Breakfast</v>
      </c>
      <c r="M516" s="8">
        <f>(OrderLines[[#This Row],[Qty]]*OrderLines[[#This Row],[UnitPrice]])*(1-OrderLines[[#This Row],[DiscountPct]])</f>
        <v>233.78549999999998</v>
      </c>
      <c r="N516" t="str">
        <f>IF(AND(COUNTIFS(OrderLines[OrderID],OrderLines[[#This Row],[OrderID]],OrderLines[Category],"Hot Meal"),COUNTIFS(OrderLines[OrderID],OrderLines[[#This Row],[OrderID]],OrderLines[Category],"Beverage")),"Combo","Single")</f>
        <v>Combo</v>
      </c>
      <c r="O516" s="8" t="str" cm="1">
        <f t="array" ref="O516">IF(SUMPRODUCT(OrderLines[UnitPrice],OrderLines[Qty],OrderLines[DiscountPct],--(OrderLines[OrderID] = OrderLines[[#This Row],[OrderID]]))&gt;40,"High Discount","Ok")</f>
        <v>High Discount</v>
      </c>
      <c r="P516">
        <f>OrderLines[[#This Row],[UnitCost]]*OrderLines[[#This Row],[Qty]]</f>
        <v>112.08</v>
      </c>
      <c r="Q516" s="8">
        <f>OrderLines[[#This Row],[LineNetAmount]]-OrderLines[[#This Row],[Food Cost]]</f>
        <v>121.70549999999999</v>
      </c>
    </row>
    <row r="517" spans="1:17" x14ac:dyDescent="0.3">
      <c r="A517" t="s">
        <v>242</v>
      </c>
      <c r="B517" t="s">
        <v>417</v>
      </c>
      <c r="C517">
        <v>1</v>
      </c>
      <c r="D517" cm="1">
        <f t="array" ref="D517">VLOOKUP(OrderLines[[#This Row],[SKU]:[SKU]],Menu[],MATCH(OrderLines[[#Headers],[UnitPrice]],Menu[#Headers],0),FALSE)</f>
        <v>146.4</v>
      </c>
      <c r="E517" cm="1">
        <f t="array" ref="E517">VLOOKUP(OrderLines[[#This Row],[SKU]:[SKU]],Menu[],MATCH(OrderLines[[#Headers],[UnitCost]],Menu[#Headers],0),FALSE)</f>
        <v>80.92</v>
      </c>
      <c r="F517" t="str" cm="1">
        <f t="array" ref="F517">VLOOKUP(OrderLines[[#This Row],[SKU]:[SKU]],Menu[],MATCH(OrderLines[[#Headers],[Category]],Menu[#Headers],0),FALSE)</f>
        <v>Hot Meal</v>
      </c>
      <c r="G517" t="str" cm="1">
        <f t="array" ref="G517">_xlfn.TEXTJOIN("+",TRUE,_xlfn._xlws.SORT(_xlfn.UNIQUE(_xlfn._xlws.FILTER(OrderLines[Category],OrderLines[OrderID]=OrderLines[[#This Row],[OrderID]]))))</f>
        <v>Beverage+Hot Meal+Snack</v>
      </c>
      <c r="H517" s="2" cm="1">
        <f t="array" ref="H517">INT(VLOOKUP(OrderLines[[#This Row],[OrderID]:[OrderID]],Orders[],MATCH(OrderLines[[#Headers],[OrderDateTime]],Orders[#Headers],0),FALSE))</f>
        <v>45856</v>
      </c>
      <c r="I517" t="str" cm="1">
        <f t="array" ref="I517">VLOOKUP(OrderLines[[#This Row],[OrderID]:[OrderID]],Orders[],MATCH(OrderLines[[#Headers],[Branch]],Orders[#Headers],0),FALSE)</f>
        <v>Plant 1 Canteen</v>
      </c>
      <c r="J517" cm="1">
        <f t="array" ref="J517">VLOOKUP(OrderLines[[#This Row],[OrderID]:[OrderID]],Orders[],MATCH(OrderLines[[#Headers],[DiscountPct]],Orders[#Headers],0),FALSE)</f>
        <v>0.04</v>
      </c>
      <c r="K517" t="str" cm="1">
        <f t="array" ref="K517">VLOOKUP(OrderLines[[#This Row],[OrderID]:[OrderID]],Orders[],MATCH(OrderLines[[#Headers],[PaymentType]],Orders[#Headers],0),FALSE)</f>
        <v>UPI</v>
      </c>
      <c r="L517" t="str" cm="1">
        <f t="array" ref="L517">VLOOKUP(OrderLines[[#This Row],[OrderID]:[OrderID]],Orders[],MATCH(OrderLines[[#Headers],[Shift]],Orders[#Headers],0),FALSE)</f>
        <v>Breakfast</v>
      </c>
      <c r="M517" s="8">
        <f>(OrderLines[[#This Row],[Qty]]*OrderLines[[#This Row],[UnitPrice]])*(1-OrderLines[[#This Row],[DiscountPct]])</f>
        <v>140.54400000000001</v>
      </c>
      <c r="N517" t="str">
        <f>IF(AND(COUNTIFS(OrderLines[OrderID],OrderLines[[#This Row],[OrderID]],OrderLines[Category],"Hot Meal"),COUNTIFS(OrderLines[OrderID],OrderLines[[#This Row],[OrderID]],OrderLines[Category],"Beverage")),"Combo","Single")</f>
        <v>Combo</v>
      </c>
      <c r="O517" s="8" t="str" cm="1">
        <f t="array" ref="O517">IF(SUMPRODUCT(OrderLines[UnitPrice],OrderLines[Qty],OrderLines[DiscountPct],--(OrderLines[OrderID] = OrderLines[[#This Row],[OrderID]]))&gt;40,"High Discount","Ok")</f>
        <v>Ok</v>
      </c>
      <c r="P517">
        <f>OrderLines[[#This Row],[UnitCost]]*OrderLines[[#This Row],[Qty]]</f>
        <v>80.92</v>
      </c>
      <c r="Q517" s="8">
        <f>OrderLines[[#This Row],[LineNetAmount]]-OrderLines[[#This Row],[Food Cost]]</f>
        <v>59.624000000000009</v>
      </c>
    </row>
    <row r="518" spans="1:17" x14ac:dyDescent="0.3">
      <c r="A518" t="s">
        <v>242</v>
      </c>
      <c r="B518" t="s">
        <v>418</v>
      </c>
      <c r="C518">
        <v>2</v>
      </c>
      <c r="D518" cm="1">
        <f t="array" ref="D518">VLOOKUP(OrderLines[[#This Row],[SKU]:[SKU]],Menu[],MATCH(OrderLines[[#Headers],[UnitPrice]],Menu[#Headers],0),FALSE)</f>
        <v>39.950000000000003</v>
      </c>
      <c r="E518" cm="1">
        <f t="array" ref="E518">VLOOKUP(OrderLines[[#This Row],[SKU]:[SKU]],Menu[],MATCH(OrderLines[[#Headers],[UnitCost]],Menu[#Headers],0),FALSE)</f>
        <v>15.51</v>
      </c>
      <c r="F518" t="str" cm="1">
        <f t="array" ref="F518">VLOOKUP(OrderLines[[#This Row],[SKU]:[SKU]],Menu[],MATCH(OrderLines[[#Headers],[Category]],Menu[#Headers],0),FALSE)</f>
        <v>Snack</v>
      </c>
      <c r="G518" t="str" cm="1">
        <f t="array" ref="G518">_xlfn.TEXTJOIN("+",TRUE,_xlfn._xlws.SORT(_xlfn.UNIQUE(_xlfn._xlws.FILTER(OrderLines[Category],OrderLines[OrderID]=OrderLines[[#This Row],[OrderID]]))))</f>
        <v>Beverage+Hot Meal+Snack</v>
      </c>
      <c r="H518" s="2" cm="1">
        <f t="array" ref="H518">INT(VLOOKUP(OrderLines[[#This Row],[OrderID]:[OrderID]],Orders[],MATCH(OrderLines[[#Headers],[OrderDateTime]],Orders[#Headers],0),FALSE))</f>
        <v>45856</v>
      </c>
      <c r="I518" t="str" cm="1">
        <f t="array" ref="I518">VLOOKUP(OrderLines[[#This Row],[OrderID]:[OrderID]],Orders[],MATCH(OrderLines[[#Headers],[Branch]],Orders[#Headers],0),FALSE)</f>
        <v>Plant 1 Canteen</v>
      </c>
      <c r="J518" cm="1">
        <f t="array" ref="J518">VLOOKUP(OrderLines[[#This Row],[OrderID]:[OrderID]],Orders[],MATCH(OrderLines[[#Headers],[DiscountPct]],Orders[#Headers],0),FALSE)</f>
        <v>0.04</v>
      </c>
      <c r="K518" t="str" cm="1">
        <f t="array" ref="K518">VLOOKUP(OrderLines[[#This Row],[OrderID]:[OrderID]],Orders[],MATCH(OrderLines[[#Headers],[PaymentType]],Orders[#Headers],0),FALSE)</f>
        <v>UPI</v>
      </c>
      <c r="L518" t="str" cm="1">
        <f t="array" ref="L518">VLOOKUP(OrderLines[[#This Row],[OrderID]:[OrderID]],Orders[],MATCH(OrderLines[[#Headers],[Shift]],Orders[#Headers],0),FALSE)</f>
        <v>Breakfast</v>
      </c>
      <c r="M518" s="8">
        <f>(OrderLines[[#This Row],[Qty]]*OrderLines[[#This Row],[UnitPrice]])*(1-OrderLines[[#This Row],[DiscountPct]])</f>
        <v>76.704000000000008</v>
      </c>
      <c r="N518" t="str">
        <f>IF(AND(COUNTIFS(OrderLines[OrderID],OrderLines[[#This Row],[OrderID]],OrderLines[Category],"Hot Meal"),COUNTIFS(OrderLines[OrderID],OrderLines[[#This Row],[OrderID]],OrderLines[Category],"Beverage")),"Combo","Single")</f>
        <v>Combo</v>
      </c>
      <c r="O518" s="8" t="str" cm="1">
        <f t="array" ref="O518">IF(SUMPRODUCT(OrderLines[UnitPrice],OrderLines[Qty],OrderLines[DiscountPct],--(OrderLines[OrderID] = OrderLines[[#This Row],[OrderID]]))&gt;40,"High Discount","Ok")</f>
        <v>Ok</v>
      </c>
      <c r="P518">
        <f>OrderLines[[#This Row],[UnitCost]]*OrderLines[[#This Row],[Qty]]</f>
        <v>31.02</v>
      </c>
      <c r="Q518" s="8">
        <f>OrderLines[[#This Row],[LineNetAmount]]-OrderLines[[#This Row],[Food Cost]]</f>
        <v>45.684000000000012</v>
      </c>
    </row>
    <row r="519" spans="1:17" x14ac:dyDescent="0.3">
      <c r="A519" t="s">
        <v>242</v>
      </c>
      <c r="B519" t="s">
        <v>402</v>
      </c>
      <c r="C519">
        <v>1</v>
      </c>
      <c r="D519" cm="1">
        <f t="array" ref="D519">VLOOKUP(OrderLines[[#This Row],[SKU]:[SKU]],Menu[],MATCH(OrderLines[[#Headers],[UnitPrice]],Menu[#Headers],0),FALSE)</f>
        <v>30.34</v>
      </c>
      <c r="E519" cm="1">
        <f t="array" ref="E519">VLOOKUP(OrderLines[[#This Row],[SKU]:[SKU]],Menu[],MATCH(OrderLines[[#Headers],[UnitCost]],Menu[#Headers],0),FALSE)</f>
        <v>14.18</v>
      </c>
      <c r="F519" t="str" cm="1">
        <f t="array" ref="F519">VLOOKUP(OrderLines[[#This Row],[SKU]:[SKU]],Menu[],MATCH(OrderLines[[#Headers],[Category]],Menu[#Headers],0),FALSE)</f>
        <v>Beverage</v>
      </c>
      <c r="G519" t="str" cm="1">
        <f t="array" ref="G519">_xlfn.TEXTJOIN("+",TRUE,_xlfn._xlws.SORT(_xlfn.UNIQUE(_xlfn._xlws.FILTER(OrderLines[Category],OrderLines[OrderID]=OrderLines[[#This Row],[OrderID]]))))</f>
        <v>Beverage+Hot Meal+Snack</v>
      </c>
      <c r="H519" s="2" cm="1">
        <f t="array" ref="H519">INT(VLOOKUP(OrderLines[[#This Row],[OrderID]:[OrderID]],Orders[],MATCH(OrderLines[[#Headers],[OrderDateTime]],Orders[#Headers],0),FALSE))</f>
        <v>45856</v>
      </c>
      <c r="I519" t="str" cm="1">
        <f t="array" ref="I519">VLOOKUP(OrderLines[[#This Row],[OrderID]:[OrderID]],Orders[],MATCH(OrderLines[[#Headers],[Branch]],Orders[#Headers],0),FALSE)</f>
        <v>Plant 1 Canteen</v>
      </c>
      <c r="J519" cm="1">
        <f t="array" ref="J519">VLOOKUP(OrderLines[[#This Row],[OrderID]:[OrderID]],Orders[],MATCH(OrderLines[[#Headers],[DiscountPct]],Orders[#Headers],0),FALSE)</f>
        <v>0.04</v>
      </c>
      <c r="K519" t="str" cm="1">
        <f t="array" ref="K519">VLOOKUP(OrderLines[[#This Row],[OrderID]:[OrderID]],Orders[],MATCH(OrderLines[[#Headers],[PaymentType]],Orders[#Headers],0),FALSE)</f>
        <v>UPI</v>
      </c>
      <c r="L519" t="str" cm="1">
        <f t="array" ref="L519">VLOOKUP(OrderLines[[#This Row],[OrderID]:[OrderID]],Orders[],MATCH(OrderLines[[#Headers],[Shift]],Orders[#Headers],0),FALSE)</f>
        <v>Breakfast</v>
      </c>
      <c r="M519" s="8">
        <f>(OrderLines[[#This Row],[Qty]]*OrderLines[[#This Row],[UnitPrice]])*(1-OrderLines[[#This Row],[DiscountPct]])</f>
        <v>29.1264</v>
      </c>
      <c r="N519" t="str">
        <f>IF(AND(COUNTIFS(OrderLines[OrderID],OrderLines[[#This Row],[OrderID]],OrderLines[Category],"Hot Meal"),COUNTIFS(OrderLines[OrderID],OrderLines[[#This Row],[OrderID]],OrderLines[Category],"Beverage")),"Combo","Single")</f>
        <v>Combo</v>
      </c>
      <c r="O519" s="8" t="str" cm="1">
        <f t="array" ref="O519">IF(SUMPRODUCT(OrderLines[UnitPrice],OrderLines[Qty],OrderLines[DiscountPct],--(OrderLines[OrderID] = OrderLines[[#This Row],[OrderID]]))&gt;40,"High Discount","Ok")</f>
        <v>Ok</v>
      </c>
      <c r="P519">
        <f>OrderLines[[#This Row],[UnitCost]]*OrderLines[[#This Row],[Qty]]</f>
        <v>14.18</v>
      </c>
      <c r="Q519" s="8">
        <f>OrderLines[[#This Row],[LineNetAmount]]-OrderLines[[#This Row],[Food Cost]]</f>
        <v>14.946400000000001</v>
      </c>
    </row>
    <row r="520" spans="1:17" x14ac:dyDescent="0.3">
      <c r="A520" t="s">
        <v>242</v>
      </c>
      <c r="B520" t="s">
        <v>401</v>
      </c>
      <c r="C520">
        <v>1</v>
      </c>
      <c r="D520" cm="1">
        <f t="array" ref="D520">VLOOKUP(OrderLines[[#This Row],[SKU]:[SKU]],Menu[],MATCH(OrderLines[[#Headers],[UnitPrice]],Menu[#Headers],0),FALSE)</f>
        <v>52.45</v>
      </c>
      <c r="E520" cm="1">
        <f t="array" ref="E520">VLOOKUP(OrderLines[[#This Row],[SKU]:[SKU]],Menu[],MATCH(OrderLines[[#Headers],[UnitCost]],Menu[#Headers],0),FALSE)</f>
        <v>25.8</v>
      </c>
      <c r="F520" t="str" cm="1">
        <f t="array" ref="F520">VLOOKUP(OrderLines[[#This Row],[SKU]:[SKU]],Menu[],MATCH(OrderLines[[#Headers],[Category]],Menu[#Headers],0),FALSE)</f>
        <v>Snack</v>
      </c>
      <c r="G520" t="str" cm="1">
        <f t="array" ref="G520">_xlfn.TEXTJOIN("+",TRUE,_xlfn._xlws.SORT(_xlfn.UNIQUE(_xlfn._xlws.FILTER(OrderLines[Category],OrderLines[OrderID]=OrderLines[[#This Row],[OrderID]]))))</f>
        <v>Beverage+Hot Meal+Snack</v>
      </c>
      <c r="H520" s="2" cm="1">
        <f t="array" ref="H520">INT(VLOOKUP(OrderLines[[#This Row],[OrderID]:[OrderID]],Orders[],MATCH(OrderLines[[#Headers],[OrderDateTime]],Orders[#Headers],0),FALSE))</f>
        <v>45856</v>
      </c>
      <c r="I520" t="str" cm="1">
        <f t="array" ref="I520">VLOOKUP(OrderLines[[#This Row],[OrderID]:[OrderID]],Orders[],MATCH(OrderLines[[#Headers],[Branch]],Orders[#Headers],0),FALSE)</f>
        <v>Plant 1 Canteen</v>
      </c>
      <c r="J520" cm="1">
        <f t="array" ref="J520">VLOOKUP(OrderLines[[#This Row],[OrderID]:[OrderID]],Orders[],MATCH(OrderLines[[#Headers],[DiscountPct]],Orders[#Headers],0),FALSE)</f>
        <v>0.04</v>
      </c>
      <c r="K520" t="str" cm="1">
        <f t="array" ref="K520">VLOOKUP(OrderLines[[#This Row],[OrderID]:[OrderID]],Orders[],MATCH(OrderLines[[#Headers],[PaymentType]],Orders[#Headers],0),FALSE)</f>
        <v>UPI</v>
      </c>
      <c r="L520" t="str" cm="1">
        <f t="array" ref="L520">VLOOKUP(OrderLines[[#This Row],[OrderID]:[OrderID]],Orders[],MATCH(OrderLines[[#Headers],[Shift]],Orders[#Headers],0),FALSE)</f>
        <v>Breakfast</v>
      </c>
      <c r="M520" s="8">
        <f>(OrderLines[[#This Row],[Qty]]*OrderLines[[#This Row],[UnitPrice]])*(1-OrderLines[[#This Row],[DiscountPct]])</f>
        <v>50.352000000000004</v>
      </c>
      <c r="N520" t="str">
        <f>IF(AND(COUNTIFS(OrderLines[OrderID],OrderLines[[#This Row],[OrderID]],OrderLines[Category],"Hot Meal"),COUNTIFS(OrderLines[OrderID],OrderLines[[#This Row],[OrderID]],OrderLines[Category],"Beverage")),"Combo","Single")</f>
        <v>Combo</v>
      </c>
      <c r="O520" s="8" t="str" cm="1">
        <f t="array" ref="O520">IF(SUMPRODUCT(OrderLines[UnitPrice],OrderLines[Qty],OrderLines[DiscountPct],--(OrderLines[OrderID] = OrderLines[[#This Row],[OrderID]]))&gt;40,"High Discount","Ok")</f>
        <v>Ok</v>
      </c>
      <c r="P520">
        <f>OrderLines[[#This Row],[UnitCost]]*OrderLines[[#This Row],[Qty]]</f>
        <v>25.8</v>
      </c>
      <c r="Q520" s="8">
        <f>OrderLines[[#This Row],[LineNetAmount]]-OrderLines[[#This Row],[Food Cost]]</f>
        <v>24.552000000000003</v>
      </c>
    </row>
    <row r="521" spans="1:17" x14ac:dyDescent="0.3">
      <c r="A521" t="s">
        <v>243</v>
      </c>
      <c r="B521" t="s">
        <v>409</v>
      </c>
      <c r="C521">
        <v>3</v>
      </c>
      <c r="D521" cm="1">
        <f t="array" ref="D521">VLOOKUP(OrderLines[[#This Row],[SKU]:[SKU]],Menu[],MATCH(OrderLines[[#Headers],[UnitPrice]],Menu[#Headers],0),FALSE)</f>
        <v>28.43</v>
      </c>
      <c r="E521" cm="1">
        <f t="array" ref="E521">VLOOKUP(OrderLines[[#This Row],[SKU]:[SKU]],Menu[],MATCH(OrderLines[[#Headers],[UnitCost]],Menu[#Headers],0),FALSE)</f>
        <v>13.89</v>
      </c>
      <c r="F521" t="str" cm="1">
        <f t="array" ref="F521">VLOOKUP(OrderLines[[#This Row],[SKU]:[SKU]],Menu[],MATCH(OrderLines[[#Headers],[Category]],Menu[#Headers],0),FALSE)</f>
        <v>Beverage</v>
      </c>
      <c r="G521" t="str" cm="1">
        <f t="array" ref="G521">_xlfn.TEXTJOIN("+",TRUE,_xlfn._xlws.SORT(_xlfn.UNIQUE(_xlfn._xlws.FILTER(OrderLines[Category],OrderLines[OrderID]=OrderLines[[#This Row],[OrderID]]))))</f>
        <v>Beverage+Snack</v>
      </c>
      <c r="H521" s="2" cm="1">
        <f t="array" ref="H521">INT(VLOOKUP(OrderLines[[#This Row],[OrderID]:[OrderID]],Orders[],MATCH(OrderLines[[#Headers],[OrderDateTime]],Orders[#Headers],0),FALSE))</f>
        <v>45890</v>
      </c>
      <c r="I521" t="str" cm="1">
        <f t="array" ref="I521">VLOOKUP(OrderLines[[#This Row],[OrderID]:[OrderID]],Orders[],MATCH(OrderLines[[#Headers],[Branch]],Orders[#Headers],0),FALSE)</f>
        <v>Head Office Café</v>
      </c>
      <c r="J521" cm="1">
        <f t="array" ref="J521">VLOOKUP(OrderLines[[#This Row],[OrderID]:[OrderID]],Orders[],MATCH(OrderLines[[#Headers],[DiscountPct]],Orders[#Headers],0),FALSE)</f>
        <v>0.03</v>
      </c>
      <c r="K521" t="str" cm="1">
        <f t="array" ref="K521">VLOOKUP(OrderLines[[#This Row],[OrderID]:[OrderID]],Orders[],MATCH(OrderLines[[#Headers],[PaymentType]],Orders[#Headers],0),FALSE)</f>
        <v>Cash</v>
      </c>
      <c r="L521" t="str" cm="1">
        <f t="array" ref="L521">VLOOKUP(OrderLines[[#This Row],[OrderID]:[OrderID]],Orders[],MATCH(OrderLines[[#Headers],[Shift]],Orders[#Headers],0),FALSE)</f>
        <v>Dinner</v>
      </c>
      <c r="M521" s="8">
        <f>(OrderLines[[#This Row],[Qty]]*OrderLines[[#This Row],[UnitPrice]])*(1-OrderLines[[#This Row],[DiscountPct]])</f>
        <v>82.73129999999999</v>
      </c>
      <c r="N521" t="str">
        <f>IF(AND(COUNTIFS(OrderLines[OrderID],OrderLines[[#This Row],[OrderID]],OrderLines[Category],"Hot Meal"),COUNTIFS(OrderLines[OrderID],OrderLines[[#This Row],[OrderID]],OrderLines[Category],"Beverage")),"Combo","Single")</f>
        <v>Single</v>
      </c>
      <c r="O521" s="8" t="str" cm="1">
        <f t="array" ref="O521">IF(SUMPRODUCT(OrderLines[UnitPrice],OrderLines[Qty],OrderLines[DiscountPct],--(OrderLines[OrderID] = OrderLines[[#This Row],[OrderID]]))&gt;40,"High Discount","Ok")</f>
        <v>Ok</v>
      </c>
      <c r="P521">
        <f>OrderLines[[#This Row],[UnitCost]]*OrderLines[[#This Row],[Qty]]</f>
        <v>41.67</v>
      </c>
      <c r="Q521" s="8">
        <f>OrderLines[[#This Row],[LineNetAmount]]-OrderLines[[#This Row],[Food Cost]]</f>
        <v>41.061299999999989</v>
      </c>
    </row>
    <row r="522" spans="1:17" x14ac:dyDescent="0.3">
      <c r="A522" t="s">
        <v>243</v>
      </c>
      <c r="B522" t="s">
        <v>406</v>
      </c>
      <c r="C522">
        <v>1</v>
      </c>
      <c r="D522" cm="1">
        <f t="array" ref="D522">VLOOKUP(OrderLines[[#This Row],[SKU]:[SKU]],Menu[],MATCH(OrderLines[[#Headers],[UnitPrice]],Menu[#Headers],0),FALSE)</f>
        <v>38.06</v>
      </c>
      <c r="E522" cm="1">
        <f t="array" ref="E522">VLOOKUP(OrderLines[[#This Row],[SKU]:[SKU]],Menu[],MATCH(OrderLines[[#Headers],[UnitCost]],Menu[#Headers],0),FALSE)</f>
        <v>19.55</v>
      </c>
      <c r="F522" t="str" cm="1">
        <f t="array" ref="F522">VLOOKUP(OrderLines[[#This Row],[SKU]:[SKU]],Menu[],MATCH(OrderLines[[#Headers],[Category]],Menu[#Headers],0),FALSE)</f>
        <v>Snack</v>
      </c>
      <c r="G522" t="str" cm="1">
        <f t="array" ref="G522">_xlfn.TEXTJOIN("+",TRUE,_xlfn._xlws.SORT(_xlfn.UNIQUE(_xlfn._xlws.FILTER(OrderLines[Category],OrderLines[OrderID]=OrderLines[[#This Row],[OrderID]]))))</f>
        <v>Beverage+Snack</v>
      </c>
      <c r="H522" s="2" cm="1">
        <f t="array" ref="H522">INT(VLOOKUP(OrderLines[[#This Row],[OrderID]:[OrderID]],Orders[],MATCH(OrderLines[[#Headers],[OrderDateTime]],Orders[#Headers],0),FALSE))</f>
        <v>45890</v>
      </c>
      <c r="I522" t="str" cm="1">
        <f t="array" ref="I522">VLOOKUP(OrderLines[[#This Row],[OrderID]:[OrderID]],Orders[],MATCH(OrderLines[[#Headers],[Branch]],Orders[#Headers],0),FALSE)</f>
        <v>Head Office Café</v>
      </c>
      <c r="J522" cm="1">
        <f t="array" ref="J522">VLOOKUP(OrderLines[[#This Row],[OrderID]:[OrderID]],Orders[],MATCH(OrderLines[[#Headers],[DiscountPct]],Orders[#Headers],0),FALSE)</f>
        <v>0.03</v>
      </c>
      <c r="K522" t="str" cm="1">
        <f t="array" ref="K522">VLOOKUP(OrderLines[[#This Row],[OrderID]:[OrderID]],Orders[],MATCH(OrderLines[[#Headers],[PaymentType]],Orders[#Headers],0),FALSE)</f>
        <v>Cash</v>
      </c>
      <c r="L522" t="str" cm="1">
        <f t="array" ref="L522">VLOOKUP(OrderLines[[#This Row],[OrderID]:[OrderID]],Orders[],MATCH(OrderLines[[#Headers],[Shift]],Orders[#Headers],0),FALSE)</f>
        <v>Dinner</v>
      </c>
      <c r="M522" s="8">
        <f>(OrderLines[[#This Row],[Qty]]*OrderLines[[#This Row],[UnitPrice]])*(1-OrderLines[[#This Row],[DiscountPct]])</f>
        <v>36.918199999999999</v>
      </c>
      <c r="N522" t="str">
        <f>IF(AND(COUNTIFS(OrderLines[OrderID],OrderLines[[#This Row],[OrderID]],OrderLines[Category],"Hot Meal"),COUNTIFS(OrderLines[OrderID],OrderLines[[#This Row],[OrderID]],OrderLines[Category],"Beverage")),"Combo","Single")</f>
        <v>Single</v>
      </c>
      <c r="O522" s="8" t="str" cm="1">
        <f t="array" ref="O522">IF(SUMPRODUCT(OrderLines[UnitPrice],OrderLines[Qty],OrderLines[DiscountPct],--(OrderLines[OrderID] = OrderLines[[#This Row],[OrderID]]))&gt;40,"High Discount","Ok")</f>
        <v>Ok</v>
      </c>
      <c r="P522">
        <f>OrderLines[[#This Row],[UnitCost]]*OrderLines[[#This Row],[Qty]]</f>
        <v>19.55</v>
      </c>
      <c r="Q522" s="8">
        <f>OrderLines[[#This Row],[LineNetAmount]]-OrderLines[[#This Row],[Food Cost]]</f>
        <v>17.368199999999998</v>
      </c>
    </row>
    <row r="523" spans="1:17" x14ac:dyDescent="0.3">
      <c r="A523" t="s">
        <v>243</v>
      </c>
      <c r="B523" t="s">
        <v>404</v>
      </c>
      <c r="C523">
        <v>2</v>
      </c>
      <c r="D523" cm="1">
        <f t="array" ref="D523">VLOOKUP(OrderLines[[#This Row],[SKU]:[SKU]],Menu[],MATCH(OrderLines[[#Headers],[UnitPrice]],Menu[#Headers],0),FALSE)</f>
        <v>32.979999999999997</v>
      </c>
      <c r="E523" cm="1">
        <f t="array" ref="E523">VLOOKUP(OrderLines[[#This Row],[SKU]:[SKU]],Menu[],MATCH(OrderLines[[#Headers],[UnitCost]],Menu[#Headers],0),FALSE)</f>
        <v>11.84</v>
      </c>
      <c r="F523" t="str" cm="1">
        <f t="array" ref="F523">VLOOKUP(OrderLines[[#This Row],[SKU]:[SKU]],Menu[],MATCH(OrderLines[[#Headers],[Category]],Menu[#Headers],0),FALSE)</f>
        <v>Beverage</v>
      </c>
      <c r="G523" t="str" cm="1">
        <f t="array" ref="G523">_xlfn.TEXTJOIN("+",TRUE,_xlfn._xlws.SORT(_xlfn.UNIQUE(_xlfn._xlws.FILTER(OrderLines[Category],OrderLines[OrderID]=OrderLines[[#This Row],[OrderID]]))))</f>
        <v>Beverage+Snack</v>
      </c>
      <c r="H523" s="2" cm="1">
        <f t="array" ref="H523">INT(VLOOKUP(OrderLines[[#This Row],[OrderID]:[OrderID]],Orders[],MATCH(OrderLines[[#Headers],[OrderDateTime]],Orders[#Headers],0),FALSE))</f>
        <v>45890</v>
      </c>
      <c r="I523" t="str" cm="1">
        <f t="array" ref="I523">VLOOKUP(OrderLines[[#This Row],[OrderID]:[OrderID]],Orders[],MATCH(OrderLines[[#Headers],[Branch]],Orders[#Headers],0),FALSE)</f>
        <v>Head Office Café</v>
      </c>
      <c r="J523" cm="1">
        <f t="array" ref="J523">VLOOKUP(OrderLines[[#This Row],[OrderID]:[OrderID]],Orders[],MATCH(OrderLines[[#Headers],[DiscountPct]],Orders[#Headers],0),FALSE)</f>
        <v>0.03</v>
      </c>
      <c r="K523" t="str" cm="1">
        <f t="array" ref="K523">VLOOKUP(OrderLines[[#This Row],[OrderID]:[OrderID]],Orders[],MATCH(OrderLines[[#Headers],[PaymentType]],Orders[#Headers],0),FALSE)</f>
        <v>Cash</v>
      </c>
      <c r="L523" t="str" cm="1">
        <f t="array" ref="L523">VLOOKUP(OrderLines[[#This Row],[OrderID]:[OrderID]],Orders[],MATCH(OrderLines[[#Headers],[Shift]],Orders[#Headers],0),FALSE)</f>
        <v>Dinner</v>
      </c>
      <c r="M523" s="8">
        <f>(OrderLines[[#This Row],[Qty]]*OrderLines[[#This Row],[UnitPrice]])*(1-OrderLines[[#This Row],[DiscountPct]])</f>
        <v>63.981199999999994</v>
      </c>
      <c r="N523" t="str">
        <f>IF(AND(COUNTIFS(OrderLines[OrderID],OrderLines[[#This Row],[OrderID]],OrderLines[Category],"Hot Meal"),COUNTIFS(OrderLines[OrderID],OrderLines[[#This Row],[OrderID]],OrderLines[Category],"Beverage")),"Combo","Single")</f>
        <v>Single</v>
      </c>
      <c r="O523" s="8" t="str" cm="1">
        <f t="array" ref="O523">IF(SUMPRODUCT(OrderLines[UnitPrice],OrderLines[Qty],OrderLines[DiscountPct],--(OrderLines[OrderID] = OrderLines[[#This Row],[OrderID]]))&gt;40,"High Discount","Ok")</f>
        <v>Ok</v>
      </c>
      <c r="P523">
        <f>OrderLines[[#This Row],[UnitCost]]*OrderLines[[#This Row],[Qty]]</f>
        <v>23.68</v>
      </c>
      <c r="Q523" s="8">
        <f>OrderLines[[#This Row],[LineNetAmount]]-OrderLines[[#This Row],[Food Cost]]</f>
        <v>40.301199999999994</v>
      </c>
    </row>
    <row r="524" spans="1:17" x14ac:dyDescent="0.3">
      <c r="A524" t="s">
        <v>243</v>
      </c>
      <c r="B524" t="s">
        <v>402</v>
      </c>
      <c r="C524">
        <v>1</v>
      </c>
      <c r="D524" cm="1">
        <f t="array" ref="D524">VLOOKUP(OrderLines[[#This Row],[SKU]:[SKU]],Menu[],MATCH(OrderLines[[#Headers],[UnitPrice]],Menu[#Headers],0),FALSE)</f>
        <v>30.34</v>
      </c>
      <c r="E524" cm="1">
        <f t="array" ref="E524">VLOOKUP(OrderLines[[#This Row],[SKU]:[SKU]],Menu[],MATCH(OrderLines[[#Headers],[UnitCost]],Menu[#Headers],0),FALSE)</f>
        <v>14.18</v>
      </c>
      <c r="F524" t="str" cm="1">
        <f t="array" ref="F524">VLOOKUP(OrderLines[[#This Row],[SKU]:[SKU]],Menu[],MATCH(OrderLines[[#Headers],[Category]],Menu[#Headers],0),FALSE)</f>
        <v>Beverage</v>
      </c>
      <c r="G524" t="str" cm="1">
        <f t="array" ref="G524">_xlfn.TEXTJOIN("+",TRUE,_xlfn._xlws.SORT(_xlfn.UNIQUE(_xlfn._xlws.FILTER(OrderLines[Category],OrderLines[OrderID]=OrderLines[[#This Row],[OrderID]]))))</f>
        <v>Beverage+Snack</v>
      </c>
      <c r="H524" s="2" cm="1">
        <f t="array" ref="H524">INT(VLOOKUP(OrderLines[[#This Row],[OrderID]:[OrderID]],Orders[],MATCH(OrderLines[[#Headers],[OrderDateTime]],Orders[#Headers],0),FALSE))</f>
        <v>45890</v>
      </c>
      <c r="I524" t="str" cm="1">
        <f t="array" ref="I524">VLOOKUP(OrderLines[[#This Row],[OrderID]:[OrderID]],Orders[],MATCH(OrderLines[[#Headers],[Branch]],Orders[#Headers],0),FALSE)</f>
        <v>Head Office Café</v>
      </c>
      <c r="J524" cm="1">
        <f t="array" ref="J524">VLOOKUP(OrderLines[[#This Row],[OrderID]:[OrderID]],Orders[],MATCH(OrderLines[[#Headers],[DiscountPct]],Orders[#Headers],0),FALSE)</f>
        <v>0.03</v>
      </c>
      <c r="K524" t="str" cm="1">
        <f t="array" ref="K524">VLOOKUP(OrderLines[[#This Row],[OrderID]:[OrderID]],Orders[],MATCH(OrderLines[[#Headers],[PaymentType]],Orders[#Headers],0),FALSE)</f>
        <v>Cash</v>
      </c>
      <c r="L524" t="str" cm="1">
        <f t="array" ref="L524">VLOOKUP(OrderLines[[#This Row],[OrderID]:[OrderID]],Orders[],MATCH(OrderLines[[#Headers],[Shift]],Orders[#Headers],0),FALSE)</f>
        <v>Dinner</v>
      </c>
      <c r="M524" s="8">
        <f>(OrderLines[[#This Row],[Qty]]*OrderLines[[#This Row],[UnitPrice]])*(1-OrderLines[[#This Row],[DiscountPct]])</f>
        <v>29.4298</v>
      </c>
      <c r="N524" t="str">
        <f>IF(AND(COUNTIFS(OrderLines[OrderID],OrderLines[[#This Row],[OrderID]],OrderLines[Category],"Hot Meal"),COUNTIFS(OrderLines[OrderID],OrderLines[[#This Row],[OrderID]],OrderLines[Category],"Beverage")),"Combo","Single")</f>
        <v>Single</v>
      </c>
      <c r="O524" s="8" t="str" cm="1">
        <f t="array" ref="O524">IF(SUMPRODUCT(OrderLines[UnitPrice],OrderLines[Qty],OrderLines[DiscountPct],--(OrderLines[OrderID] = OrderLines[[#This Row],[OrderID]]))&gt;40,"High Discount","Ok")</f>
        <v>Ok</v>
      </c>
      <c r="P524">
        <f>OrderLines[[#This Row],[UnitCost]]*OrderLines[[#This Row],[Qty]]</f>
        <v>14.18</v>
      </c>
      <c r="Q524" s="8">
        <f>OrderLines[[#This Row],[LineNetAmount]]-OrderLines[[#This Row],[Food Cost]]</f>
        <v>15.2498</v>
      </c>
    </row>
    <row r="525" spans="1:17" x14ac:dyDescent="0.3">
      <c r="A525" t="s">
        <v>244</v>
      </c>
      <c r="B525" t="s">
        <v>407</v>
      </c>
      <c r="C525">
        <v>1</v>
      </c>
      <c r="D525" cm="1">
        <f t="array" ref="D525">VLOOKUP(OrderLines[[#This Row],[SKU]:[SKU]],Menu[],MATCH(OrderLines[[#Headers],[UnitPrice]],Menu[#Headers],0),FALSE)</f>
        <v>246.09</v>
      </c>
      <c r="E525" cm="1">
        <f t="array" ref="E525">VLOOKUP(OrderLines[[#This Row],[SKU]:[SKU]],Menu[],MATCH(OrderLines[[#Headers],[UnitCost]],Menu[#Headers],0),FALSE)</f>
        <v>112.08</v>
      </c>
      <c r="F525" t="str" cm="1">
        <f t="array" ref="F525">VLOOKUP(OrderLines[[#This Row],[SKU]:[SKU]],Menu[],MATCH(OrderLines[[#Headers],[Category]],Menu[#Headers],0),FALSE)</f>
        <v>Hot Meal</v>
      </c>
      <c r="G525" t="str" cm="1">
        <f t="array" ref="G525">_xlfn.TEXTJOIN("+",TRUE,_xlfn._xlws.SORT(_xlfn.UNIQUE(_xlfn._xlws.FILTER(OrderLines[Category],OrderLines[OrderID]=OrderLines[[#This Row],[OrderID]]))))</f>
        <v>Dessert+Hot Meal</v>
      </c>
      <c r="H525" s="2" cm="1">
        <f t="array" ref="H525">INT(VLOOKUP(OrderLines[[#This Row],[OrderID]:[OrderID]],Orders[],MATCH(OrderLines[[#Headers],[OrderDateTime]],Orders[#Headers],0),FALSE))</f>
        <v>45886</v>
      </c>
      <c r="I525" t="str" cm="1">
        <f t="array" ref="I525">VLOOKUP(OrderLines[[#This Row],[OrderID]:[OrderID]],Orders[],MATCH(OrderLines[[#Headers],[Branch]],Orders[#Headers],0),FALSE)</f>
        <v>Plant 2 Canteen</v>
      </c>
      <c r="J525" cm="1">
        <f t="array" ref="J525">VLOOKUP(OrderLines[[#This Row],[OrderID]:[OrderID]],Orders[],MATCH(OrderLines[[#Headers],[DiscountPct]],Orders[#Headers],0),FALSE)</f>
        <v>0.13</v>
      </c>
      <c r="K525" t="str" cm="1">
        <f t="array" ref="K525">VLOOKUP(OrderLines[[#This Row],[OrderID]:[OrderID]],Orders[],MATCH(OrderLines[[#Headers],[PaymentType]],Orders[#Headers],0),FALSE)</f>
        <v>Card</v>
      </c>
      <c r="L525" t="str" cm="1">
        <f t="array" ref="L525">VLOOKUP(OrderLines[[#This Row],[OrderID]:[OrderID]],Orders[],MATCH(OrderLines[[#Headers],[Shift]],Orders[#Headers],0),FALSE)</f>
        <v>Breakfast</v>
      </c>
      <c r="M525" s="8">
        <f>(OrderLines[[#This Row],[Qty]]*OrderLines[[#This Row],[UnitPrice]])*(1-OrderLines[[#This Row],[DiscountPct]])</f>
        <v>214.09829999999999</v>
      </c>
      <c r="N525" t="str">
        <f>IF(AND(COUNTIFS(OrderLines[OrderID],OrderLines[[#This Row],[OrderID]],OrderLines[Category],"Hot Meal"),COUNTIFS(OrderLines[OrderID],OrderLines[[#This Row],[OrderID]],OrderLines[Category],"Beverage")),"Combo","Single")</f>
        <v>Single</v>
      </c>
      <c r="O525" s="8" t="str" cm="1">
        <f t="array" ref="O525">IF(SUMPRODUCT(OrderLines[UnitPrice],OrderLines[Qty],OrderLines[DiscountPct],--(OrderLines[OrderID] = OrderLines[[#This Row],[OrderID]]))&gt;40,"High Discount","Ok")</f>
        <v>High Discount</v>
      </c>
      <c r="P525">
        <f>OrderLines[[#This Row],[UnitCost]]*OrderLines[[#This Row],[Qty]]</f>
        <v>112.08</v>
      </c>
      <c r="Q525" s="8">
        <f>OrderLines[[#This Row],[LineNetAmount]]-OrderLines[[#This Row],[Food Cost]]</f>
        <v>102.0183</v>
      </c>
    </row>
    <row r="526" spans="1:17" x14ac:dyDescent="0.3">
      <c r="A526" t="s">
        <v>244</v>
      </c>
      <c r="B526" t="s">
        <v>412</v>
      </c>
      <c r="C526">
        <v>3</v>
      </c>
      <c r="D526" cm="1">
        <f t="array" ref="D526">VLOOKUP(OrderLines[[#This Row],[SKU]:[SKU]],Menu[],MATCH(OrderLines[[#Headers],[UnitPrice]],Menu[#Headers],0),FALSE)</f>
        <v>57.07</v>
      </c>
      <c r="E526" cm="1">
        <f t="array" ref="E526">VLOOKUP(OrderLines[[#This Row],[SKU]:[SKU]],Menu[],MATCH(OrderLines[[#Headers],[UnitCost]],Menu[#Headers],0),FALSE)</f>
        <v>29.14</v>
      </c>
      <c r="F526" t="str" cm="1">
        <f t="array" ref="F526">VLOOKUP(OrderLines[[#This Row],[SKU]:[SKU]],Menu[],MATCH(OrderLines[[#Headers],[Category]],Menu[#Headers],0),FALSE)</f>
        <v>Dessert</v>
      </c>
      <c r="G526" t="str" cm="1">
        <f t="array" ref="G526">_xlfn.TEXTJOIN("+",TRUE,_xlfn._xlws.SORT(_xlfn.UNIQUE(_xlfn._xlws.FILTER(OrderLines[Category],OrderLines[OrderID]=OrderLines[[#This Row],[OrderID]]))))</f>
        <v>Dessert+Hot Meal</v>
      </c>
      <c r="H526" s="2" cm="1">
        <f t="array" ref="H526">INT(VLOOKUP(OrderLines[[#This Row],[OrderID]:[OrderID]],Orders[],MATCH(OrderLines[[#Headers],[OrderDateTime]],Orders[#Headers],0),FALSE))</f>
        <v>45886</v>
      </c>
      <c r="I526" t="str" cm="1">
        <f t="array" ref="I526">VLOOKUP(OrderLines[[#This Row],[OrderID]:[OrderID]],Orders[],MATCH(OrderLines[[#Headers],[Branch]],Orders[#Headers],0),FALSE)</f>
        <v>Plant 2 Canteen</v>
      </c>
      <c r="J526" cm="1">
        <f t="array" ref="J526">VLOOKUP(OrderLines[[#This Row],[OrderID]:[OrderID]],Orders[],MATCH(OrderLines[[#Headers],[DiscountPct]],Orders[#Headers],0),FALSE)</f>
        <v>0.13</v>
      </c>
      <c r="K526" t="str" cm="1">
        <f t="array" ref="K526">VLOOKUP(OrderLines[[#This Row],[OrderID]:[OrderID]],Orders[],MATCH(OrderLines[[#Headers],[PaymentType]],Orders[#Headers],0),FALSE)</f>
        <v>Card</v>
      </c>
      <c r="L526" t="str" cm="1">
        <f t="array" ref="L526">VLOOKUP(OrderLines[[#This Row],[OrderID]:[OrderID]],Orders[],MATCH(OrderLines[[#Headers],[Shift]],Orders[#Headers],0),FALSE)</f>
        <v>Breakfast</v>
      </c>
      <c r="M526" s="8">
        <f>(OrderLines[[#This Row],[Qty]]*OrderLines[[#This Row],[UnitPrice]])*(1-OrderLines[[#This Row],[DiscountPct]])</f>
        <v>148.95269999999999</v>
      </c>
      <c r="N526" t="str">
        <f>IF(AND(COUNTIFS(OrderLines[OrderID],OrderLines[[#This Row],[OrderID]],OrderLines[Category],"Hot Meal"),COUNTIFS(OrderLines[OrderID],OrderLines[[#This Row],[OrderID]],OrderLines[Category],"Beverage")),"Combo","Single")</f>
        <v>Single</v>
      </c>
      <c r="O526" s="8" t="str" cm="1">
        <f t="array" ref="O526">IF(SUMPRODUCT(OrderLines[UnitPrice],OrderLines[Qty],OrderLines[DiscountPct],--(OrderLines[OrderID] = OrderLines[[#This Row],[OrderID]]))&gt;40,"High Discount","Ok")</f>
        <v>High Discount</v>
      </c>
      <c r="P526">
        <f>OrderLines[[#This Row],[UnitCost]]*OrderLines[[#This Row],[Qty]]</f>
        <v>87.42</v>
      </c>
      <c r="Q526" s="8">
        <f>OrderLines[[#This Row],[LineNetAmount]]-OrderLines[[#This Row],[Food Cost]]</f>
        <v>61.532699999999991</v>
      </c>
    </row>
    <row r="527" spans="1:17" x14ac:dyDescent="0.3">
      <c r="A527" t="s">
        <v>245</v>
      </c>
      <c r="B527" t="s">
        <v>411</v>
      </c>
      <c r="C527">
        <v>3</v>
      </c>
      <c r="D527" cm="1">
        <f t="array" ref="D527">VLOOKUP(OrderLines[[#This Row],[SKU]:[SKU]],Menu[],MATCH(OrderLines[[#Headers],[UnitPrice]],Menu[#Headers],0),FALSE)</f>
        <v>22.2</v>
      </c>
      <c r="E527" cm="1">
        <f t="array" ref="E527">VLOOKUP(OrderLines[[#This Row],[SKU]:[SKU]],Menu[],MATCH(OrderLines[[#Headers],[UnitCost]],Menu[#Headers],0),FALSE)</f>
        <v>9.3800000000000008</v>
      </c>
      <c r="F527" t="str" cm="1">
        <f t="array" ref="F527">VLOOKUP(OrderLines[[#This Row],[SKU]:[SKU]],Menu[],MATCH(OrderLines[[#Headers],[Category]],Menu[#Headers],0),FALSE)</f>
        <v>Beverage</v>
      </c>
      <c r="G527" t="str" cm="1">
        <f t="array" ref="G527">_xlfn.TEXTJOIN("+",TRUE,_xlfn._xlws.SORT(_xlfn.UNIQUE(_xlfn._xlws.FILTER(OrderLines[Category],OrderLines[OrderID]=OrderLines[[#This Row],[OrderID]]))))</f>
        <v>Beverage+Snack</v>
      </c>
      <c r="H527" s="2" cm="1">
        <f t="array" ref="H527">INT(VLOOKUP(OrderLines[[#This Row],[OrderID]:[OrderID]],Orders[],MATCH(OrderLines[[#Headers],[OrderDateTime]],Orders[#Headers],0),FALSE))</f>
        <v>45884</v>
      </c>
      <c r="I527" t="str" cm="1">
        <f t="array" ref="I527">VLOOKUP(OrderLines[[#This Row],[OrderID]:[OrderID]],Orders[],MATCH(OrderLines[[#Headers],[Branch]],Orders[#Headers],0),FALSE)</f>
        <v>Plant 1 Canteen</v>
      </c>
      <c r="J527" cm="1">
        <f t="array" ref="J527">VLOOKUP(OrderLines[[#This Row],[OrderID]:[OrderID]],Orders[],MATCH(OrderLines[[#Headers],[DiscountPct]],Orders[#Headers],0),FALSE)</f>
        <v>0.08</v>
      </c>
      <c r="K527" t="str" cm="1">
        <f t="array" ref="K527">VLOOKUP(OrderLines[[#This Row],[OrderID]:[OrderID]],Orders[],MATCH(OrderLines[[#Headers],[PaymentType]],Orders[#Headers],0),FALSE)</f>
        <v>Cash</v>
      </c>
      <c r="L527" t="str" cm="1">
        <f t="array" ref="L527">VLOOKUP(OrderLines[[#This Row],[OrderID]:[OrderID]],Orders[],MATCH(OrderLines[[#Headers],[Shift]],Orders[#Headers],0),FALSE)</f>
        <v>Dinner</v>
      </c>
      <c r="M527" s="8">
        <f>(OrderLines[[#This Row],[Qty]]*OrderLines[[#This Row],[UnitPrice]])*(1-OrderLines[[#This Row],[DiscountPct]])</f>
        <v>61.271999999999998</v>
      </c>
      <c r="N527" t="str">
        <f>IF(AND(COUNTIFS(OrderLines[OrderID],OrderLines[[#This Row],[OrderID]],OrderLines[Category],"Hot Meal"),COUNTIFS(OrderLines[OrderID],OrderLines[[#This Row],[OrderID]],OrderLines[Category],"Beverage")),"Combo","Single")</f>
        <v>Single</v>
      </c>
      <c r="O527" s="8" t="str" cm="1">
        <f t="array" ref="O527">IF(SUMPRODUCT(OrderLines[UnitPrice],OrderLines[Qty],OrderLines[DiscountPct],--(OrderLines[OrderID] = OrderLines[[#This Row],[OrderID]]))&gt;40,"High Discount","Ok")</f>
        <v>Ok</v>
      </c>
      <c r="P527">
        <f>OrderLines[[#This Row],[UnitCost]]*OrderLines[[#This Row],[Qty]]</f>
        <v>28.14</v>
      </c>
      <c r="Q527" s="8">
        <f>OrderLines[[#This Row],[LineNetAmount]]-OrderLines[[#This Row],[Food Cost]]</f>
        <v>33.131999999999998</v>
      </c>
    </row>
    <row r="528" spans="1:17" x14ac:dyDescent="0.3">
      <c r="A528" t="s">
        <v>245</v>
      </c>
      <c r="B528" t="s">
        <v>406</v>
      </c>
      <c r="C528">
        <v>2</v>
      </c>
      <c r="D528" cm="1">
        <f t="array" ref="D528">VLOOKUP(OrderLines[[#This Row],[SKU]:[SKU]],Menu[],MATCH(OrderLines[[#Headers],[UnitPrice]],Menu[#Headers],0),FALSE)</f>
        <v>38.06</v>
      </c>
      <c r="E528" cm="1">
        <f t="array" ref="E528">VLOOKUP(OrderLines[[#This Row],[SKU]:[SKU]],Menu[],MATCH(OrderLines[[#Headers],[UnitCost]],Menu[#Headers],0),FALSE)</f>
        <v>19.55</v>
      </c>
      <c r="F528" t="str" cm="1">
        <f t="array" ref="F528">VLOOKUP(OrderLines[[#This Row],[SKU]:[SKU]],Menu[],MATCH(OrderLines[[#Headers],[Category]],Menu[#Headers],0),FALSE)</f>
        <v>Snack</v>
      </c>
      <c r="G528" t="str" cm="1">
        <f t="array" ref="G528">_xlfn.TEXTJOIN("+",TRUE,_xlfn._xlws.SORT(_xlfn.UNIQUE(_xlfn._xlws.FILTER(OrderLines[Category],OrderLines[OrderID]=OrderLines[[#This Row],[OrderID]]))))</f>
        <v>Beverage+Snack</v>
      </c>
      <c r="H528" s="2" cm="1">
        <f t="array" ref="H528">INT(VLOOKUP(OrderLines[[#This Row],[OrderID]:[OrderID]],Orders[],MATCH(OrderLines[[#Headers],[OrderDateTime]],Orders[#Headers],0),FALSE))</f>
        <v>45884</v>
      </c>
      <c r="I528" t="str" cm="1">
        <f t="array" ref="I528">VLOOKUP(OrderLines[[#This Row],[OrderID]:[OrderID]],Orders[],MATCH(OrderLines[[#Headers],[Branch]],Orders[#Headers],0),FALSE)</f>
        <v>Plant 1 Canteen</v>
      </c>
      <c r="J528" cm="1">
        <f t="array" ref="J528">VLOOKUP(OrderLines[[#This Row],[OrderID]:[OrderID]],Orders[],MATCH(OrderLines[[#Headers],[DiscountPct]],Orders[#Headers],0),FALSE)</f>
        <v>0.08</v>
      </c>
      <c r="K528" t="str" cm="1">
        <f t="array" ref="K528">VLOOKUP(OrderLines[[#This Row],[OrderID]:[OrderID]],Orders[],MATCH(OrderLines[[#Headers],[PaymentType]],Orders[#Headers],0),FALSE)</f>
        <v>Cash</v>
      </c>
      <c r="L528" t="str" cm="1">
        <f t="array" ref="L528">VLOOKUP(OrderLines[[#This Row],[OrderID]:[OrderID]],Orders[],MATCH(OrderLines[[#Headers],[Shift]],Orders[#Headers],0),FALSE)</f>
        <v>Dinner</v>
      </c>
      <c r="M528" s="8">
        <f>(OrderLines[[#This Row],[Qty]]*OrderLines[[#This Row],[UnitPrice]])*(1-OrderLines[[#This Row],[DiscountPct]])</f>
        <v>70.0304</v>
      </c>
      <c r="N528" t="str">
        <f>IF(AND(COUNTIFS(OrderLines[OrderID],OrderLines[[#This Row],[OrderID]],OrderLines[Category],"Hot Meal"),COUNTIFS(OrderLines[OrderID],OrderLines[[#This Row],[OrderID]],OrderLines[Category],"Beverage")),"Combo","Single")</f>
        <v>Single</v>
      </c>
      <c r="O528" s="8" t="str" cm="1">
        <f t="array" ref="O528">IF(SUMPRODUCT(OrderLines[UnitPrice],OrderLines[Qty],OrderLines[DiscountPct],--(OrderLines[OrderID] = OrderLines[[#This Row],[OrderID]]))&gt;40,"High Discount","Ok")</f>
        <v>Ok</v>
      </c>
      <c r="P528">
        <f>OrderLines[[#This Row],[UnitCost]]*OrderLines[[#This Row],[Qty]]</f>
        <v>39.1</v>
      </c>
      <c r="Q528" s="8">
        <f>OrderLines[[#This Row],[LineNetAmount]]-OrderLines[[#This Row],[Food Cost]]</f>
        <v>30.930399999999999</v>
      </c>
    </row>
    <row r="529" spans="1:17" x14ac:dyDescent="0.3">
      <c r="A529" t="s">
        <v>246</v>
      </c>
      <c r="B529" t="s">
        <v>419</v>
      </c>
      <c r="C529">
        <v>3</v>
      </c>
      <c r="D529" cm="1">
        <f t="array" ref="D529">VLOOKUP(OrderLines[[#This Row],[SKU]:[SKU]],Menu[],MATCH(OrderLines[[#Headers],[UnitPrice]],Menu[#Headers],0),FALSE)</f>
        <v>50.19</v>
      </c>
      <c r="E529" cm="1">
        <f t="array" ref="E529">VLOOKUP(OrderLines[[#This Row],[SKU]:[SKU]],Menu[],MATCH(OrderLines[[#Headers],[UnitCost]],Menu[#Headers],0),FALSE)</f>
        <v>22.61</v>
      </c>
      <c r="F529" t="str" cm="1">
        <f t="array" ref="F529">VLOOKUP(OrderLines[[#This Row],[SKU]:[SKU]],Menu[],MATCH(OrderLines[[#Headers],[Category]],Menu[#Headers],0),FALSE)</f>
        <v>Snack</v>
      </c>
      <c r="G529" t="str" cm="1">
        <f t="array" ref="G529">_xlfn.TEXTJOIN("+",TRUE,_xlfn._xlws.SORT(_xlfn.UNIQUE(_xlfn._xlws.FILTER(OrderLines[Category],OrderLines[OrderID]=OrderLines[[#This Row],[OrderID]]))))</f>
        <v>Beverage+Snack</v>
      </c>
      <c r="H529" s="2" cm="1">
        <f t="array" ref="H529">INT(VLOOKUP(OrderLines[[#This Row],[OrderID]:[OrderID]],Orders[],MATCH(OrderLines[[#Headers],[OrderDateTime]],Orders[#Headers],0),FALSE))</f>
        <v>45893</v>
      </c>
      <c r="I529" t="str" cm="1">
        <f t="array" ref="I529">VLOOKUP(OrderLines[[#This Row],[OrderID]:[OrderID]],Orders[],MATCH(OrderLines[[#Headers],[Branch]],Orders[#Headers],0),FALSE)</f>
        <v>Plant 2 Canteen</v>
      </c>
      <c r="J529" cm="1">
        <f t="array" ref="J529">VLOOKUP(OrderLines[[#This Row],[OrderID]:[OrderID]],Orders[],MATCH(OrderLines[[#Headers],[DiscountPct]],Orders[#Headers],0),FALSE)</f>
        <v>0.01</v>
      </c>
      <c r="K529" t="str" cm="1">
        <f t="array" ref="K529">VLOOKUP(OrderLines[[#This Row],[OrderID]:[OrderID]],Orders[],MATCH(OrderLines[[#Headers],[PaymentType]],Orders[#Headers],0),FALSE)</f>
        <v>Card</v>
      </c>
      <c r="L529" t="str" cm="1">
        <f t="array" ref="L529">VLOOKUP(OrderLines[[#This Row],[OrderID]:[OrderID]],Orders[],MATCH(OrderLines[[#Headers],[Shift]],Orders[#Headers],0),FALSE)</f>
        <v>Breakfast</v>
      </c>
      <c r="M529" s="8">
        <f>(OrderLines[[#This Row],[Qty]]*OrderLines[[#This Row],[UnitPrice]])*(1-OrderLines[[#This Row],[DiscountPct]])</f>
        <v>149.0643</v>
      </c>
      <c r="N529" t="str">
        <f>IF(AND(COUNTIFS(OrderLines[OrderID],OrderLines[[#This Row],[OrderID]],OrderLines[Category],"Hot Meal"),COUNTIFS(OrderLines[OrderID],OrderLines[[#This Row],[OrderID]],OrderLines[Category],"Beverage")),"Combo","Single")</f>
        <v>Single</v>
      </c>
      <c r="O529" s="8" t="str" cm="1">
        <f t="array" ref="O529">IF(SUMPRODUCT(OrderLines[UnitPrice],OrderLines[Qty],OrderLines[DiscountPct],--(OrderLines[OrderID] = OrderLines[[#This Row],[OrderID]]))&gt;40,"High Discount","Ok")</f>
        <v>Ok</v>
      </c>
      <c r="P529">
        <f>OrderLines[[#This Row],[UnitCost]]*OrderLines[[#This Row],[Qty]]</f>
        <v>67.83</v>
      </c>
      <c r="Q529" s="8">
        <f>OrderLines[[#This Row],[LineNetAmount]]-OrderLines[[#This Row],[Food Cost]]</f>
        <v>81.234300000000005</v>
      </c>
    </row>
    <row r="530" spans="1:17" x14ac:dyDescent="0.3">
      <c r="A530" t="s">
        <v>246</v>
      </c>
      <c r="B530" t="s">
        <v>410</v>
      </c>
      <c r="C530">
        <v>1</v>
      </c>
      <c r="D530" cm="1">
        <f t="array" ref="D530">VLOOKUP(OrderLines[[#This Row],[SKU]:[SKU]],Menu[],MATCH(OrderLines[[#Headers],[UnitPrice]],Menu[#Headers],0),FALSE)</f>
        <v>20.11</v>
      </c>
      <c r="E530" cm="1">
        <f t="array" ref="E530">VLOOKUP(OrderLines[[#This Row],[SKU]:[SKU]],Menu[],MATCH(OrderLines[[#Headers],[UnitCost]],Menu[#Headers],0),FALSE)</f>
        <v>8</v>
      </c>
      <c r="F530" t="str" cm="1">
        <f t="array" ref="F530">VLOOKUP(OrderLines[[#This Row],[SKU]:[SKU]],Menu[],MATCH(OrderLines[[#Headers],[Category]],Menu[#Headers],0),FALSE)</f>
        <v>Beverage</v>
      </c>
      <c r="G530" t="str" cm="1">
        <f t="array" ref="G530">_xlfn.TEXTJOIN("+",TRUE,_xlfn._xlws.SORT(_xlfn.UNIQUE(_xlfn._xlws.FILTER(OrderLines[Category],OrderLines[OrderID]=OrderLines[[#This Row],[OrderID]]))))</f>
        <v>Beverage+Snack</v>
      </c>
      <c r="H530" s="2" cm="1">
        <f t="array" ref="H530">INT(VLOOKUP(OrderLines[[#This Row],[OrderID]:[OrderID]],Orders[],MATCH(OrderLines[[#Headers],[OrderDateTime]],Orders[#Headers],0),FALSE))</f>
        <v>45893</v>
      </c>
      <c r="I530" t="str" cm="1">
        <f t="array" ref="I530">VLOOKUP(OrderLines[[#This Row],[OrderID]:[OrderID]],Orders[],MATCH(OrderLines[[#Headers],[Branch]],Orders[#Headers],0),FALSE)</f>
        <v>Plant 2 Canteen</v>
      </c>
      <c r="J530" cm="1">
        <f t="array" ref="J530">VLOOKUP(OrderLines[[#This Row],[OrderID]:[OrderID]],Orders[],MATCH(OrderLines[[#Headers],[DiscountPct]],Orders[#Headers],0),FALSE)</f>
        <v>0.01</v>
      </c>
      <c r="K530" t="str" cm="1">
        <f t="array" ref="K530">VLOOKUP(OrderLines[[#This Row],[OrderID]:[OrderID]],Orders[],MATCH(OrderLines[[#Headers],[PaymentType]],Orders[#Headers],0),FALSE)</f>
        <v>Card</v>
      </c>
      <c r="L530" t="str" cm="1">
        <f t="array" ref="L530">VLOOKUP(OrderLines[[#This Row],[OrderID]:[OrderID]],Orders[],MATCH(OrderLines[[#Headers],[Shift]],Orders[#Headers],0),FALSE)</f>
        <v>Breakfast</v>
      </c>
      <c r="M530" s="8">
        <f>(OrderLines[[#This Row],[Qty]]*OrderLines[[#This Row],[UnitPrice]])*(1-OrderLines[[#This Row],[DiscountPct]])</f>
        <v>19.908899999999999</v>
      </c>
      <c r="N530" t="str">
        <f>IF(AND(COUNTIFS(OrderLines[OrderID],OrderLines[[#This Row],[OrderID]],OrderLines[Category],"Hot Meal"),COUNTIFS(OrderLines[OrderID],OrderLines[[#This Row],[OrderID]],OrderLines[Category],"Beverage")),"Combo","Single")</f>
        <v>Single</v>
      </c>
      <c r="O530" s="8" t="str" cm="1">
        <f t="array" ref="O530">IF(SUMPRODUCT(OrderLines[UnitPrice],OrderLines[Qty],OrderLines[DiscountPct],--(OrderLines[OrderID] = OrderLines[[#This Row],[OrderID]]))&gt;40,"High Discount","Ok")</f>
        <v>Ok</v>
      </c>
      <c r="P530">
        <f>OrderLines[[#This Row],[UnitCost]]*OrderLines[[#This Row],[Qty]]</f>
        <v>8</v>
      </c>
      <c r="Q530" s="8">
        <f>OrderLines[[#This Row],[LineNetAmount]]-OrderLines[[#This Row],[Food Cost]]</f>
        <v>11.908899999999999</v>
      </c>
    </row>
    <row r="531" spans="1:17" x14ac:dyDescent="0.3">
      <c r="A531" t="s">
        <v>246</v>
      </c>
      <c r="B531" t="s">
        <v>409</v>
      </c>
      <c r="C531">
        <v>2</v>
      </c>
      <c r="D531" cm="1">
        <f t="array" ref="D531">VLOOKUP(OrderLines[[#This Row],[SKU]:[SKU]],Menu[],MATCH(OrderLines[[#Headers],[UnitPrice]],Menu[#Headers],0),FALSE)</f>
        <v>28.43</v>
      </c>
      <c r="E531" cm="1">
        <f t="array" ref="E531">VLOOKUP(OrderLines[[#This Row],[SKU]:[SKU]],Menu[],MATCH(OrderLines[[#Headers],[UnitCost]],Menu[#Headers],0),FALSE)</f>
        <v>13.89</v>
      </c>
      <c r="F531" t="str" cm="1">
        <f t="array" ref="F531">VLOOKUP(OrderLines[[#This Row],[SKU]:[SKU]],Menu[],MATCH(OrderLines[[#Headers],[Category]],Menu[#Headers],0),FALSE)</f>
        <v>Beverage</v>
      </c>
      <c r="G531" t="str" cm="1">
        <f t="array" ref="G531">_xlfn.TEXTJOIN("+",TRUE,_xlfn._xlws.SORT(_xlfn.UNIQUE(_xlfn._xlws.FILTER(OrderLines[Category],OrderLines[OrderID]=OrderLines[[#This Row],[OrderID]]))))</f>
        <v>Beverage+Snack</v>
      </c>
      <c r="H531" s="2" cm="1">
        <f t="array" ref="H531">INT(VLOOKUP(OrderLines[[#This Row],[OrderID]:[OrderID]],Orders[],MATCH(OrderLines[[#Headers],[OrderDateTime]],Orders[#Headers],0),FALSE))</f>
        <v>45893</v>
      </c>
      <c r="I531" t="str" cm="1">
        <f t="array" ref="I531">VLOOKUP(OrderLines[[#This Row],[OrderID]:[OrderID]],Orders[],MATCH(OrderLines[[#Headers],[Branch]],Orders[#Headers],0),FALSE)</f>
        <v>Plant 2 Canteen</v>
      </c>
      <c r="J531" cm="1">
        <f t="array" ref="J531">VLOOKUP(OrderLines[[#This Row],[OrderID]:[OrderID]],Orders[],MATCH(OrderLines[[#Headers],[DiscountPct]],Orders[#Headers],0),FALSE)</f>
        <v>0.01</v>
      </c>
      <c r="K531" t="str" cm="1">
        <f t="array" ref="K531">VLOOKUP(OrderLines[[#This Row],[OrderID]:[OrderID]],Orders[],MATCH(OrderLines[[#Headers],[PaymentType]],Orders[#Headers],0),FALSE)</f>
        <v>Card</v>
      </c>
      <c r="L531" t="str" cm="1">
        <f t="array" ref="L531">VLOOKUP(OrderLines[[#This Row],[OrderID]:[OrderID]],Orders[],MATCH(OrderLines[[#Headers],[Shift]],Orders[#Headers],0),FALSE)</f>
        <v>Breakfast</v>
      </c>
      <c r="M531" s="8">
        <f>(OrderLines[[#This Row],[Qty]]*OrderLines[[#This Row],[UnitPrice]])*(1-OrderLines[[#This Row],[DiscountPct]])</f>
        <v>56.291399999999996</v>
      </c>
      <c r="N531" t="str">
        <f>IF(AND(COUNTIFS(OrderLines[OrderID],OrderLines[[#This Row],[OrderID]],OrderLines[Category],"Hot Meal"),COUNTIFS(OrderLines[OrderID],OrderLines[[#This Row],[OrderID]],OrderLines[Category],"Beverage")),"Combo","Single")</f>
        <v>Single</v>
      </c>
      <c r="O531" s="8" t="str" cm="1">
        <f t="array" ref="O531">IF(SUMPRODUCT(OrderLines[UnitPrice],OrderLines[Qty],OrderLines[DiscountPct],--(OrderLines[OrderID] = OrderLines[[#This Row],[OrderID]]))&gt;40,"High Discount","Ok")</f>
        <v>Ok</v>
      </c>
      <c r="P531">
        <f>OrderLines[[#This Row],[UnitCost]]*OrderLines[[#This Row],[Qty]]</f>
        <v>27.78</v>
      </c>
      <c r="Q531" s="8">
        <f>OrderLines[[#This Row],[LineNetAmount]]-OrderLines[[#This Row],[Food Cost]]</f>
        <v>28.511399999999995</v>
      </c>
    </row>
    <row r="532" spans="1:17" x14ac:dyDescent="0.3">
      <c r="A532" t="s">
        <v>247</v>
      </c>
      <c r="B532" t="s">
        <v>410</v>
      </c>
      <c r="C532">
        <v>1</v>
      </c>
      <c r="D532" cm="1">
        <f t="array" ref="D532">VLOOKUP(OrderLines[[#This Row],[SKU]:[SKU]],Menu[],MATCH(OrderLines[[#Headers],[UnitPrice]],Menu[#Headers],0),FALSE)</f>
        <v>20.11</v>
      </c>
      <c r="E532" cm="1">
        <f t="array" ref="E532">VLOOKUP(OrderLines[[#This Row],[SKU]:[SKU]],Menu[],MATCH(OrderLines[[#Headers],[UnitCost]],Menu[#Headers],0),FALSE)</f>
        <v>8</v>
      </c>
      <c r="F532" t="str" cm="1">
        <f t="array" ref="F532">VLOOKUP(OrderLines[[#This Row],[SKU]:[SKU]],Menu[],MATCH(OrderLines[[#Headers],[Category]],Menu[#Headers],0),FALSE)</f>
        <v>Beverage</v>
      </c>
      <c r="G532" t="str" cm="1">
        <f t="array" ref="G532">_xlfn.TEXTJOIN("+",TRUE,_xlfn._xlws.SORT(_xlfn.UNIQUE(_xlfn._xlws.FILTER(OrderLines[Category],OrderLines[OrderID]=OrderLines[[#This Row],[OrderID]]))))</f>
        <v>Beverage+Hot Meal</v>
      </c>
      <c r="H532" s="2" cm="1">
        <f t="array" ref="H532">INT(VLOOKUP(OrderLines[[#This Row],[OrderID]:[OrderID]],Orders[],MATCH(OrderLines[[#Headers],[OrderDateTime]],Orders[#Headers],0),FALSE))</f>
        <v>45864</v>
      </c>
      <c r="I532" t="str" cm="1">
        <f t="array" ref="I532">VLOOKUP(OrderLines[[#This Row],[OrderID]:[OrderID]],Orders[],MATCH(OrderLines[[#Headers],[Branch]],Orders[#Headers],0),FALSE)</f>
        <v>Head Office Café</v>
      </c>
      <c r="J532" cm="1">
        <f t="array" ref="J532">VLOOKUP(OrderLines[[#This Row],[OrderID]:[OrderID]],Orders[],MATCH(OrderLines[[#Headers],[DiscountPct]],Orders[#Headers],0),FALSE)</f>
        <v>0.1</v>
      </c>
      <c r="K532" t="str" cm="1">
        <f t="array" ref="K532">VLOOKUP(OrderLines[[#This Row],[OrderID]:[OrderID]],Orders[],MATCH(OrderLines[[#Headers],[PaymentType]],Orders[#Headers],0),FALSE)</f>
        <v>Card</v>
      </c>
      <c r="L532" t="str" cm="1">
        <f t="array" ref="L532">VLOOKUP(OrderLines[[#This Row],[OrderID]:[OrderID]],Orders[],MATCH(OrderLines[[#Headers],[Shift]],Orders[#Headers],0),FALSE)</f>
        <v>Dinner</v>
      </c>
      <c r="M532" s="8">
        <f>(OrderLines[[#This Row],[Qty]]*OrderLines[[#This Row],[UnitPrice]])*(1-OrderLines[[#This Row],[DiscountPct]])</f>
        <v>18.099</v>
      </c>
      <c r="N532" t="str">
        <f>IF(AND(COUNTIFS(OrderLines[OrderID],OrderLines[[#This Row],[OrderID]],OrderLines[Category],"Hot Meal"),COUNTIFS(OrderLines[OrderID],OrderLines[[#This Row],[OrderID]],OrderLines[Category],"Beverage")),"Combo","Single")</f>
        <v>Combo</v>
      </c>
      <c r="O532" s="8" t="str" cm="1">
        <f t="array" ref="O532">IF(SUMPRODUCT(OrderLines[UnitPrice],OrderLines[Qty],OrderLines[DiscountPct],--(OrderLines[OrderID] = OrderLines[[#This Row],[OrderID]]))&gt;40,"High Discount","Ok")</f>
        <v>High Discount</v>
      </c>
      <c r="P532">
        <f>OrderLines[[#This Row],[UnitCost]]*OrderLines[[#This Row],[Qty]]</f>
        <v>8</v>
      </c>
      <c r="Q532" s="8">
        <f>OrderLines[[#This Row],[LineNetAmount]]-OrderLines[[#This Row],[Food Cost]]</f>
        <v>10.099</v>
      </c>
    </row>
    <row r="533" spans="1:17" x14ac:dyDescent="0.3">
      <c r="A533" t="s">
        <v>247</v>
      </c>
      <c r="B533" t="s">
        <v>407</v>
      </c>
      <c r="C533">
        <v>2</v>
      </c>
      <c r="D533" cm="1">
        <f t="array" ref="D533">VLOOKUP(OrderLines[[#This Row],[SKU]:[SKU]],Menu[],MATCH(OrderLines[[#Headers],[UnitPrice]],Menu[#Headers],0),FALSE)</f>
        <v>246.09</v>
      </c>
      <c r="E533" cm="1">
        <f t="array" ref="E533">VLOOKUP(OrderLines[[#This Row],[SKU]:[SKU]],Menu[],MATCH(OrderLines[[#Headers],[UnitCost]],Menu[#Headers],0),FALSE)</f>
        <v>112.08</v>
      </c>
      <c r="F533" t="str" cm="1">
        <f t="array" ref="F533">VLOOKUP(OrderLines[[#This Row],[SKU]:[SKU]],Menu[],MATCH(OrderLines[[#Headers],[Category]],Menu[#Headers],0),FALSE)</f>
        <v>Hot Meal</v>
      </c>
      <c r="G533" t="str" cm="1">
        <f t="array" ref="G533">_xlfn.TEXTJOIN("+",TRUE,_xlfn._xlws.SORT(_xlfn.UNIQUE(_xlfn._xlws.FILTER(OrderLines[Category],OrderLines[OrderID]=OrderLines[[#This Row],[OrderID]]))))</f>
        <v>Beverage+Hot Meal</v>
      </c>
      <c r="H533" s="2" cm="1">
        <f t="array" ref="H533">INT(VLOOKUP(OrderLines[[#This Row],[OrderID]:[OrderID]],Orders[],MATCH(OrderLines[[#Headers],[OrderDateTime]],Orders[#Headers],0),FALSE))</f>
        <v>45864</v>
      </c>
      <c r="I533" t="str" cm="1">
        <f t="array" ref="I533">VLOOKUP(OrderLines[[#This Row],[OrderID]:[OrderID]],Orders[],MATCH(OrderLines[[#Headers],[Branch]],Orders[#Headers],0),FALSE)</f>
        <v>Head Office Café</v>
      </c>
      <c r="J533" cm="1">
        <f t="array" ref="J533">VLOOKUP(OrderLines[[#This Row],[OrderID]:[OrderID]],Orders[],MATCH(OrderLines[[#Headers],[DiscountPct]],Orders[#Headers],0),FALSE)</f>
        <v>0.1</v>
      </c>
      <c r="K533" t="str" cm="1">
        <f t="array" ref="K533">VLOOKUP(OrderLines[[#This Row],[OrderID]:[OrderID]],Orders[],MATCH(OrderLines[[#Headers],[PaymentType]],Orders[#Headers],0),FALSE)</f>
        <v>Card</v>
      </c>
      <c r="L533" t="str" cm="1">
        <f t="array" ref="L533">VLOOKUP(OrderLines[[#This Row],[OrderID]:[OrderID]],Orders[],MATCH(OrderLines[[#Headers],[Shift]],Orders[#Headers],0),FALSE)</f>
        <v>Dinner</v>
      </c>
      <c r="M533" s="8">
        <f>(OrderLines[[#This Row],[Qty]]*OrderLines[[#This Row],[UnitPrice]])*(1-OrderLines[[#This Row],[DiscountPct]])</f>
        <v>442.96199999999999</v>
      </c>
      <c r="N533" t="str">
        <f>IF(AND(COUNTIFS(OrderLines[OrderID],OrderLines[[#This Row],[OrderID]],OrderLines[Category],"Hot Meal"),COUNTIFS(OrderLines[OrderID],OrderLines[[#This Row],[OrderID]],OrderLines[Category],"Beverage")),"Combo","Single")</f>
        <v>Combo</v>
      </c>
      <c r="O533" s="8" t="str" cm="1">
        <f t="array" ref="O533">IF(SUMPRODUCT(OrderLines[UnitPrice],OrderLines[Qty],OrderLines[DiscountPct],--(OrderLines[OrderID] = OrderLines[[#This Row],[OrderID]]))&gt;40,"High Discount","Ok")</f>
        <v>High Discount</v>
      </c>
      <c r="P533">
        <f>OrderLines[[#This Row],[UnitCost]]*OrderLines[[#This Row],[Qty]]</f>
        <v>224.16</v>
      </c>
      <c r="Q533" s="8">
        <f>OrderLines[[#This Row],[LineNetAmount]]-OrderLines[[#This Row],[Food Cost]]</f>
        <v>218.80199999999999</v>
      </c>
    </row>
    <row r="534" spans="1:17" x14ac:dyDescent="0.3">
      <c r="A534" t="s">
        <v>247</v>
      </c>
      <c r="B534" t="s">
        <v>411</v>
      </c>
      <c r="C534">
        <v>1</v>
      </c>
      <c r="D534" cm="1">
        <f t="array" ref="D534">VLOOKUP(OrderLines[[#This Row],[SKU]:[SKU]],Menu[],MATCH(OrderLines[[#Headers],[UnitPrice]],Menu[#Headers],0),FALSE)</f>
        <v>22.2</v>
      </c>
      <c r="E534" cm="1">
        <f t="array" ref="E534">VLOOKUP(OrderLines[[#This Row],[SKU]:[SKU]],Menu[],MATCH(OrderLines[[#Headers],[UnitCost]],Menu[#Headers],0),FALSE)</f>
        <v>9.3800000000000008</v>
      </c>
      <c r="F534" t="str" cm="1">
        <f t="array" ref="F534">VLOOKUP(OrderLines[[#This Row],[SKU]:[SKU]],Menu[],MATCH(OrderLines[[#Headers],[Category]],Menu[#Headers],0),FALSE)</f>
        <v>Beverage</v>
      </c>
      <c r="G534" t="str" cm="1">
        <f t="array" ref="G534">_xlfn.TEXTJOIN("+",TRUE,_xlfn._xlws.SORT(_xlfn.UNIQUE(_xlfn._xlws.FILTER(OrderLines[Category],OrderLines[OrderID]=OrderLines[[#This Row],[OrderID]]))))</f>
        <v>Beverage+Hot Meal</v>
      </c>
      <c r="H534" s="2" cm="1">
        <f t="array" ref="H534">INT(VLOOKUP(OrderLines[[#This Row],[OrderID]:[OrderID]],Orders[],MATCH(OrderLines[[#Headers],[OrderDateTime]],Orders[#Headers],0),FALSE))</f>
        <v>45864</v>
      </c>
      <c r="I534" t="str" cm="1">
        <f t="array" ref="I534">VLOOKUP(OrderLines[[#This Row],[OrderID]:[OrderID]],Orders[],MATCH(OrderLines[[#Headers],[Branch]],Orders[#Headers],0),FALSE)</f>
        <v>Head Office Café</v>
      </c>
      <c r="J534" cm="1">
        <f t="array" ref="J534">VLOOKUP(OrderLines[[#This Row],[OrderID]:[OrderID]],Orders[],MATCH(OrderLines[[#Headers],[DiscountPct]],Orders[#Headers],0),FALSE)</f>
        <v>0.1</v>
      </c>
      <c r="K534" t="str" cm="1">
        <f t="array" ref="K534">VLOOKUP(OrderLines[[#This Row],[OrderID]:[OrderID]],Orders[],MATCH(OrderLines[[#Headers],[PaymentType]],Orders[#Headers],0),FALSE)</f>
        <v>Card</v>
      </c>
      <c r="L534" t="str" cm="1">
        <f t="array" ref="L534">VLOOKUP(OrderLines[[#This Row],[OrderID]:[OrderID]],Orders[],MATCH(OrderLines[[#Headers],[Shift]],Orders[#Headers],0),FALSE)</f>
        <v>Dinner</v>
      </c>
      <c r="M534" s="8">
        <f>(OrderLines[[#This Row],[Qty]]*OrderLines[[#This Row],[UnitPrice]])*(1-OrderLines[[#This Row],[DiscountPct]])</f>
        <v>19.98</v>
      </c>
      <c r="N534" t="str">
        <f>IF(AND(COUNTIFS(OrderLines[OrderID],OrderLines[[#This Row],[OrderID]],OrderLines[Category],"Hot Meal"),COUNTIFS(OrderLines[OrderID],OrderLines[[#This Row],[OrderID]],OrderLines[Category],"Beverage")),"Combo","Single")</f>
        <v>Combo</v>
      </c>
      <c r="O534" s="8" t="str" cm="1">
        <f t="array" ref="O534">IF(SUMPRODUCT(OrderLines[UnitPrice],OrderLines[Qty],OrderLines[DiscountPct],--(OrderLines[OrderID] = OrderLines[[#This Row],[OrderID]]))&gt;40,"High Discount","Ok")</f>
        <v>High Discount</v>
      </c>
      <c r="P534">
        <f>OrderLines[[#This Row],[UnitCost]]*OrderLines[[#This Row],[Qty]]</f>
        <v>9.3800000000000008</v>
      </c>
      <c r="Q534" s="8">
        <f>OrderLines[[#This Row],[LineNetAmount]]-OrderLines[[#This Row],[Food Cost]]</f>
        <v>10.6</v>
      </c>
    </row>
    <row r="535" spans="1:17" x14ac:dyDescent="0.3">
      <c r="A535" t="s">
        <v>248</v>
      </c>
      <c r="B535" t="s">
        <v>415</v>
      </c>
      <c r="C535">
        <v>3</v>
      </c>
      <c r="D535" cm="1">
        <f t="array" ref="D535">VLOOKUP(OrderLines[[#This Row],[SKU]:[SKU]],Menu[],MATCH(OrderLines[[#Headers],[UnitPrice]],Menu[#Headers],0),FALSE)</f>
        <v>256.91000000000003</v>
      </c>
      <c r="E535" cm="1">
        <f t="array" ref="E535">VLOOKUP(OrderLines[[#This Row],[SKU]:[SKU]],Menu[],MATCH(OrderLines[[#Headers],[UnitCost]],Menu[#Headers],0),FALSE)</f>
        <v>121.24</v>
      </c>
      <c r="F535" t="str" cm="1">
        <f t="array" ref="F535">VLOOKUP(OrderLines[[#This Row],[SKU]:[SKU]],Menu[],MATCH(OrderLines[[#Headers],[Category]],Menu[#Headers],0),FALSE)</f>
        <v>Hot Meal</v>
      </c>
      <c r="G535" t="str" cm="1">
        <f t="array" ref="G535">_xlfn.TEXTJOIN("+",TRUE,_xlfn._xlws.SORT(_xlfn.UNIQUE(_xlfn._xlws.FILTER(OrderLines[Category],OrderLines[OrderID]=OrderLines[[#This Row],[OrderID]]))))</f>
        <v>Hot Meal+Snack</v>
      </c>
      <c r="H535" s="2" cm="1">
        <f t="array" ref="H535">INT(VLOOKUP(OrderLines[[#This Row],[OrderID]:[OrderID]],Orders[],MATCH(OrderLines[[#Headers],[OrderDateTime]],Orders[#Headers],0),FALSE))</f>
        <v>45864</v>
      </c>
      <c r="I535" t="str" cm="1">
        <f t="array" ref="I535">VLOOKUP(OrderLines[[#This Row],[OrderID]:[OrderID]],Orders[],MATCH(OrderLines[[#Headers],[Branch]],Orders[#Headers],0),FALSE)</f>
        <v>Head Office Café</v>
      </c>
      <c r="J535" cm="1">
        <f t="array" ref="J535">VLOOKUP(OrderLines[[#This Row],[OrderID]:[OrderID]],Orders[],MATCH(OrderLines[[#Headers],[DiscountPct]],Orders[#Headers],0),FALSE)</f>
        <v>0.14000000000000001</v>
      </c>
      <c r="K535" t="str" cm="1">
        <f t="array" ref="K535">VLOOKUP(OrderLines[[#This Row],[OrderID]:[OrderID]],Orders[],MATCH(OrderLines[[#Headers],[PaymentType]],Orders[#Headers],0),FALSE)</f>
        <v>UPI</v>
      </c>
      <c r="L535" t="str" cm="1">
        <f t="array" ref="L535">VLOOKUP(OrderLines[[#This Row],[OrderID]:[OrderID]],Orders[],MATCH(OrderLines[[#Headers],[Shift]],Orders[#Headers],0),FALSE)</f>
        <v>Dinner</v>
      </c>
      <c r="M535" s="8">
        <f>(OrderLines[[#This Row],[Qty]]*OrderLines[[#This Row],[UnitPrice]])*(1-OrderLines[[#This Row],[DiscountPct]])</f>
        <v>662.82780000000002</v>
      </c>
      <c r="N535" t="str">
        <f>IF(AND(COUNTIFS(OrderLines[OrderID],OrderLines[[#This Row],[OrderID]],OrderLines[Category],"Hot Meal"),COUNTIFS(OrderLines[OrderID],OrderLines[[#This Row],[OrderID]],OrderLines[Category],"Beverage")),"Combo","Single")</f>
        <v>Single</v>
      </c>
      <c r="O535" s="8" t="str" cm="1">
        <f t="array" ref="O535">IF(SUMPRODUCT(OrderLines[UnitPrice],OrderLines[Qty],OrderLines[DiscountPct],--(OrderLines[OrderID] = OrderLines[[#This Row],[OrderID]]))&gt;40,"High Discount","Ok")</f>
        <v>High Discount</v>
      </c>
      <c r="P535">
        <f>OrderLines[[#This Row],[UnitCost]]*OrderLines[[#This Row],[Qty]]</f>
        <v>363.71999999999997</v>
      </c>
      <c r="Q535" s="8">
        <f>OrderLines[[#This Row],[LineNetAmount]]-OrderLines[[#This Row],[Food Cost]]</f>
        <v>299.10780000000005</v>
      </c>
    </row>
    <row r="536" spans="1:17" x14ac:dyDescent="0.3">
      <c r="A536" t="s">
        <v>248</v>
      </c>
      <c r="B536" t="s">
        <v>408</v>
      </c>
      <c r="C536">
        <v>3</v>
      </c>
      <c r="D536" cm="1">
        <f t="array" ref="D536">VLOOKUP(OrderLines[[#This Row],[SKU]:[SKU]],Menu[],MATCH(OrderLines[[#Headers],[UnitPrice]],Menu[#Headers],0),FALSE)</f>
        <v>70.540000000000006</v>
      </c>
      <c r="E536" cm="1">
        <f t="array" ref="E536">VLOOKUP(OrderLines[[#This Row],[SKU]:[SKU]],Menu[],MATCH(OrderLines[[#Headers],[UnitCost]],Menu[#Headers],0),FALSE)</f>
        <v>35.81</v>
      </c>
      <c r="F536" t="str" cm="1">
        <f t="array" ref="F536">VLOOKUP(OrderLines[[#This Row],[SKU]:[SKU]],Menu[],MATCH(OrderLines[[#Headers],[Category]],Menu[#Headers],0),FALSE)</f>
        <v>Snack</v>
      </c>
      <c r="G536" t="str" cm="1">
        <f t="array" ref="G536">_xlfn.TEXTJOIN("+",TRUE,_xlfn._xlws.SORT(_xlfn.UNIQUE(_xlfn._xlws.FILTER(OrderLines[Category],OrderLines[OrderID]=OrderLines[[#This Row],[OrderID]]))))</f>
        <v>Hot Meal+Snack</v>
      </c>
      <c r="H536" s="2" cm="1">
        <f t="array" ref="H536">INT(VLOOKUP(OrderLines[[#This Row],[OrderID]:[OrderID]],Orders[],MATCH(OrderLines[[#Headers],[OrderDateTime]],Orders[#Headers],0),FALSE))</f>
        <v>45864</v>
      </c>
      <c r="I536" t="str" cm="1">
        <f t="array" ref="I536">VLOOKUP(OrderLines[[#This Row],[OrderID]:[OrderID]],Orders[],MATCH(OrderLines[[#Headers],[Branch]],Orders[#Headers],0),FALSE)</f>
        <v>Head Office Café</v>
      </c>
      <c r="J536" cm="1">
        <f t="array" ref="J536">VLOOKUP(OrderLines[[#This Row],[OrderID]:[OrderID]],Orders[],MATCH(OrderLines[[#Headers],[DiscountPct]],Orders[#Headers],0),FALSE)</f>
        <v>0.14000000000000001</v>
      </c>
      <c r="K536" t="str" cm="1">
        <f t="array" ref="K536">VLOOKUP(OrderLines[[#This Row],[OrderID]:[OrderID]],Orders[],MATCH(OrderLines[[#Headers],[PaymentType]],Orders[#Headers],0),FALSE)</f>
        <v>UPI</v>
      </c>
      <c r="L536" t="str" cm="1">
        <f t="array" ref="L536">VLOOKUP(OrderLines[[#This Row],[OrderID]:[OrderID]],Orders[],MATCH(OrderLines[[#Headers],[Shift]],Orders[#Headers],0),FALSE)</f>
        <v>Dinner</v>
      </c>
      <c r="M536" s="8">
        <f>(OrderLines[[#This Row],[Qty]]*OrderLines[[#This Row],[UnitPrice]])*(1-OrderLines[[#This Row],[DiscountPct]])</f>
        <v>181.9932</v>
      </c>
      <c r="N536" t="str">
        <f>IF(AND(COUNTIFS(OrderLines[OrderID],OrderLines[[#This Row],[OrderID]],OrderLines[Category],"Hot Meal"),COUNTIFS(OrderLines[OrderID],OrderLines[[#This Row],[OrderID]],OrderLines[Category],"Beverage")),"Combo","Single")</f>
        <v>Single</v>
      </c>
      <c r="O536" s="8" t="str" cm="1">
        <f t="array" ref="O536">IF(SUMPRODUCT(OrderLines[UnitPrice],OrderLines[Qty],OrderLines[DiscountPct],--(OrderLines[OrderID] = OrderLines[[#This Row],[OrderID]]))&gt;40,"High Discount","Ok")</f>
        <v>High Discount</v>
      </c>
      <c r="P536">
        <f>OrderLines[[#This Row],[UnitCost]]*OrderLines[[#This Row],[Qty]]</f>
        <v>107.43</v>
      </c>
      <c r="Q536" s="8">
        <f>OrderLines[[#This Row],[LineNetAmount]]-OrderLines[[#This Row],[Food Cost]]</f>
        <v>74.563199999999995</v>
      </c>
    </row>
    <row r="537" spans="1:17" x14ac:dyDescent="0.3">
      <c r="A537" t="s">
        <v>249</v>
      </c>
      <c r="B537" t="s">
        <v>418</v>
      </c>
      <c r="C537">
        <v>1</v>
      </c>
      <c r="D537" cm="1">
        <f t="array" ref="D537">VLOOKUP(OrderLines[[#This Row],[SKU]:[SKU]],Menu[],MATCH(OrderLines[[#Headers],[UnitPrice]],Menu[#Headers],0),FALSE)</f>
        <v>39.950000000000003</v>
      </c>
      <c r="E537" cm="1">
        <f t="array" ref="E537">VLOOKUP(OrderLines[[#This Row],[SKU]:[SKU]],Menu[],MATCH(OrderLines[[#Headers],[UnitCost]],Menu[#Headers],0),FALSE)</f>
        <v>15.51</v>
      </c>
      <c r="F537" t="str" cm="1">
        <f t="array" ref="F537">VLOOKUP(OrderLines[[#This Row],[SKU]:[SKU]],Menu[],MATCH(OrderLines[[#Headers],[Category]],Menu[#Headers],0),FALSE)</f>
        <v>Snack</v>
      </c>
      <c r="G537" t="str" cm="1">
        <f t="array" ref="G537">_xlfn.TEXTJOIN("+",TRUE,_xlfn._xlws.SORT(_xlfn.UNIQUE(_xlfn._xlws.FILTER(OrderLines[Category],OrderLines[OrderID]=OrderLines[[#This Row],[OrderID]]))))</f>
        <v>Beverage+Dessert+Hot Meal+Snack</v>
      </c>
      <c r="H537" s="2" cm="1">
        <f t="array" ref="H537">INT(VLOOKUP(OrderLines[[#This Row],[OrderID]:[OrderID]],Orders[],MATCH(OrderLines[[#Headers],[OrderDateTime]],Orders[#Headers],0),FALSE))</f>
        <v>45849</v>
      </c>
      <c r="I537" t="str" cm="1">
        <f t="array" ref="I537">VLOOKUP(OrderLines[[#This Row],[OrderID]:[OrderID]],Orders[],MATCH(OrderLines[[#Headers],[Branch]],Orders[#Headers],0),FALSE)</f>
        <v>Head Office Café</v>
      </c>
      <c r="J537" cm="1">
        <f t="array" ref="J537">VLOOKUP(OrderLines[[#This Row],[OrderID]:[OrderID]],Orders[],MATCH(OrderLines[[#Headers],[DiscountPct]],Orders[#Headers],0),FALSE)</f>
        <v>0.1</v>
      </c>
      <c r="K537" t="str" cm="1">
        <f t="array" ref="K537">VLOOKUP(OrderLines[[#This Row],[OrderID]:[OrderID]],Orders[],MATCH(OrderLines[[#Headers],[PaymentType]],Orders[#Headers],0),FALSE)</f>
        <v>Card</v>
      </c>
      <c r="L537" t="str" cm="1">
        <f t="array" ref="L537">VLOOKUP(OrderLines[[#This Row],[OrderID]:[OrderID]],Orders[],MATCH(OrderLines[[#Headers],[Shift]],Orders[#Headers],0),FALSE)</f>
        <v>Dinner</v>
      </c>
      <c r="M537" s="8">
        <f>(OrderLines[[#This Row],[Qty]]*OrderLines[[#This Row],[UnitPrice]])*(1-OrderLines[[#This Row],[DiscountPct]])</f>
        <v>35.955000000000005</v>
      </c>
      <c r="N537" t="str">
        <f>IF(AND(COUNTIFS(OrderLines[OrderID],OrderLines[[#This Row],[OrderID]],OrderLines[Category],"Hot Meal"),COUNTIFS(OrderLines[OrderID],OrderLines[[#This Row],[OrderID]],OrderLines[Category],"Beverage")),"Combo","Single")</f>
        <v>Combo</v>
      </c>
      <c r="O537" s="8" t="str" cm="1">
        <f t="array" ref="O537">IF(SUMPRODUCT(OrderLines[UnitPrice],OrderLines[Qty],OrderLines[DiscountPct],--(OrderLines[OrderID] = OrderLines[[#This Row],[OrderID]]))&gt;40,"High Discount","Ok")</f>
        <v>Ok</v>
      </c>
      <c r="P537">
        <f>OrderLines[[#This Row],[UnitCost]]*OrderLines[[#This Row],[Qty]]</f>
        <v>15.51</v>
      </c>
      <c r="Q537" s="8">
        <f>OrderLines[[#This Row],[LineNetAmount]]-OrderLines[[#This Row],[Food Cost]]</f>
        <v>20.445000000000007</v>
      </c>
    </row>
    <row r="538" spans="1:17" x14ac:dyDescent="0.3">
      <c r="A538" t="s">
        <v>249</v>
      </c>
      <c r="B538" t="s">
        <v>412</v>
      </c>
      <c r="C538">
        <v>1</v>
      </c>
      <c r="D538" cm="1">
        <f t="array" ref="D538">VLOOKUP(OrderLines[[#This Row],[SKU]:[SKU]],Menu[],MATCH(OrderLines[[#Headers],[UnitPrice]],Menu[#Headers],0),FALSE)</f>
        <v>57.07</v>
      </c>
      <c r="E538" cm="1">
        <f t="array" ref="E538">VLOOKUP(OrderLines[[#This Row],[SKU]:[SKU]],Menu[],MATCH(OrderLines[[#Headers],[UnitCost]],Menu[#Headers],0),FALSE)</f>
        <v>29.14</v>
      </c>
      <c r="F538" t="str" cm="1">
        <f t="array" ref="F538">VLOOKUP(OrderLines[[#This Row],[SKU]:[SKU]],Menu[],MATCH(OrderLines[[#Headers],[Category]],Menu[#Headers],0),FALSE)</f>
        <v>Dessert</v>
      </c>
      <c r="G538" t="str" cm="1">
        <f t="array" ref="G538">_xlfn.TEXTJOIN("+",TRUE,_xlfn._xlws.SORT(_xlfn.UNIQUE(_xlfn._xlws.FILTER(OrderLines[Category],OrderLines[OrderID]=OrderLines[[#This Row],[OrderID]]))))</f>
        <v>Beverage+Dessert+Hot Meal+Snack</v>
      </c>
      <c r="H538" s="2" cm="1">
        <f t="array" ref="H538">INT(VLOOKUP(OrderLines[[#This Row],[OrderID]:[OrderID]],Orders[],MATCH(OrderLines[[#Headers],[OrderDateTime]],Orders[#Headers],0),FALSE))</f>
        <v>45849</v>
      </c>
      <c r="I538" t="str" cm="1">
        <f t="array" ref="I538">VLOOKUP(OrderLines[[#This Row],[OrderID]:[OrderID]],Orders[],MATCH(OrderLines[[#Headers],[Branch]],Orders[#Headers],0),FALSE)</f>
        <v>Head Office Café</v>
      </c>
      <c r="J538" cm="1">
        <f t="array" ref="J538">VLOOKUP(OrderLines[[#This Row],[OrderID]:[OrderID]],Orders[],MATCH(OrderLines[[#Headers],[DiscountPct]],Orders[#Headers],0),FALSE)</f>
        <v>0.1</v>
      </c>
      <c r="K538" t="str" cm="1">
        <f t="array" ref="K538">VLOOKUP(OrderLines[[#This Row],[OrderID]:[OrderID]],Orders[],MATCH(OrderLines[[#Headers],[PaymentType]],Orders[#Headers],0),FALSE)</f>
        <v>Card</v>
      </c>
      <c r="L538" t="str" cm="1">
        <f t="array" ref="L538">VLOOKUP(OrderLines[[#This Row],[OrderID]:[OrderID]],Orders[],MATCH(OrderLines[[#Headers],[Shift]],Orders[#Headers],0),FALSE)</f>
        <v>Dinner</v>
      </c>
      <c r="M538" s="8">
        <f>(OrderLines[[#This Row],[Qty]]*OrderLines[[#This Row],[UnitPrice]])*(1-OrderLines[[#This Row],[DiscountPct]])</f>
        <v>51.363</v>
      </c>
      <c r="N538" t="str">
        <f>IF(AND(COUNTIFS(OrderLines[OrderID],OrderLines[[#This Row],[OrderID]],OrderLines[Category],"Hot Meal"),COUNTIFS(OrderLines[OrderID],OrderLines[[#This Row],[OrderID]],OrderLines[Category],"Beverage")),"Combo","Single")</f>
        <v>Combo</v>
      </c>
      <c r="O538" s="8" t="str" cm="1">
        <f t="array" ref="O538">IF(SUMPRODUCT(OrderLines[UnitPrice],OrderLines[Qty],OrderLines[DiscountPct],--(OrderLines[OrderID] = OrderLines[[#This Row],[OrderID]]))&gt;40,"High Discount","Ok")</f>
        <v>Ok</v>
      </c>
      <c r="P538">
        <f>OrderLines[[#This Row],[UnitCost]]*OrderLines[[#This Row],[Qty]]</f>
        <v>29.14</v>
      </c>
      <c r="Q538" s="8">
        <f>OrderLines[[#This Row],[LineNetAmount]]-OrderLines[[#This Row],[Food Cost]]</f>
        <v>22.222999999999999</v>
      </c>
    </row>
    <row r="539" spans="1:17" x14ac:dyDescent="0.3">
      <c r="A539" t="s">
        <v>249</v>
      </c>
      <c r="B539" t="s">
        <v>409</v>
      </c>
      <c r="C539">
        <v>1</v>
      </c>
      <c r="D539" cm="1">
        <f t="array" ref="D539">VLOOKUP(OrderLines[[#This Row],[SKU]:[SKU]],Menu[],MATCH(OrderLines[[#Headers],[UnitPrice]],Menu[#Headers],0),FALSE)</f>
        <v>28.43</v>
      </c>
      <c r="E539" cm="1">
        <f t="array" ref="E539">VLOOKUP(OrderLines[[#This Row],[SKU]:[SKU]],Menu[],MATCH(OrderLines[[#Headers],[UnitCost]],Menu[#Headers],0),FALSE)</f>
        <v>13.89</v>
      </c>
      <c r="F539" t="str" cm="1">
        <f t="array" ref="F539">VLOOKUP(OrderLines[[#This Row],[SKU]:[SKU]],Menu[],MATCH(OrderLines[[#Headers],[Category]],Menu[#Headers],0),FALSE)</f>
        <v>Beverage</v>
      </c>
      <c r="G539" t="str" cm="1">
        <f t="array" ref="G539">_xlfn.TEXTJOIN("+",TRUE,_xlfn._xlws.SORT(_xlfn.UNIQUE(_xlfn._xlws.FILTER(OrderLines[Category],OrderLines[OrderID]=OrderLines[[#This Row],[OrderID]]))))</f>
        <v>Beverage+Dessert+Hot Meal+Snack</v>
      </c>
      <c r="H539" s="2" cm="1">
        <f t="array" ref="H539">INT(VLOOKUP(OrderLines[[#This Row],[OrderID]:[OrderID]],Orders[],MATCH(OrderLines[[#Headers],[OrderDateTime]],Orders[#Headers],0),FALSE))</f>
        <v>45849</v>
      </c>
      <c r="I539" t="str" cm="1">
        <f t="array" ref="I539">VLOOKUP(OrderLines[[#This Row],[OrderID]:[OrderID]],Orders[],MATCH(OrderLines[[#Headers],[Branch]],Orders[#Headers],0),FALSE)</f>
        <v>Head Office Café</v>
      </c>
      <c r="J539" cm="1">
        <f t="array" ref="J539">VLOOKUP(OrderLines[[#This Row],[OrderID]:[OrderID]],Orders[],MATCH(OrderLines[[#Headers],[DiscountPct]],Orders[#Headers],0),FALSE)</f>
        <v>0.1</v>
      </c>
      <c r="K539" t="str" cm="1">
        <f t="array" ref="K539">VLOOKUP(OrderLines[[#This Row],[OrderID]:[OrderID]],Orders[],MATCH(OrderLines[[#Headers],[PaymentType]],Orders[#Headers],0),FALSE)</f>
        <v>Card</v>
      </c>
      <c r="L539" t="str" cm="1">
        <f t="array" ref="L539">VLOOKUP(OrderLines[[#This Row],[OrderID]:[OrderID]],Orders[],MATCH(OrderLines[[#Headers],[Shift]],Orders[#Headers],0),FALSE)</f>
        <v>Dinner</v>
      </c>
      <c r="M539" s="8">
        <f>(OrderLines[[#This Row],[Qty]]*OrderLines[[#This Row],[UnitPrice]])*(1-OrderLines[[#This Row],[DiscountPct]])</f>
        <v>25.587</v>
      </c>
      <c r="N539" t="str">
        <f>IF(AND(COUNTIFS(OrderLines[OrderID],OrderLines[[#This Row],[OrderID]],OrderLines[Category],"Hot Meal"),COUNTIFS(OrderLines[OrderID],OrderLines[[#This Row],[OrderID]],OrderLines[Category],"Beverage")),"Combo","Single")</f>
        <v>Combo</v>
      </c>
      <c r="O539" s="8" t="str" cm="1">
        <f t="array" ref="O539">IF(SUMPRODUCT(OrderLines[UnitPrice],OrderLines[Qty],OrderLines[DiscountPct],--(OrderLines[OrderID] = OrderLines[[#This Row],[OrderID]]))&gt;40,"High Discount","Ok")</f>
        <v>Ok</v>
      </c>
      <c r="P539">
        <f>OrderLines[[#This Row],[UnitCost]]*OrderLines[[#This Row],[Qty]]</f>
        <v>13.89</v>
      </c>
      <c r="Q539" s="8">
        <f>OrderLines[[#This Row],[LineNetAmount]]-OrderLines[[#This Row],[Food Cost]]</f>
        <v>11.696999999999999</v>
      </c>
    </row>
    <row r="540" spans="1:17" x14ac:dyDescent="0.3">
      <c r="A540" t="s">
        <v>249</v>
      </c>
      <c r="B540" t="s">
        <v>416</v>
      </c>
      <c r="C540">
        <v>1</v>
      </c>
      <c r="D540" cm="1">
        <f t="array" ref="D540">VLOOKUP(OrderLines[[#This Row],[SKU]:[SKU]],Menu[],MATCH(OrderLines[[#Headers],[UnitPrice]],Menu[#Headers],0),FALSE)</f>
        <v>227.61</v>
      </c>
      <c r="E540" cm="1">
        <f t="array" ref="E540">VLOOKUP(OrderLines[[#This Row],[SKU]:[SKU]],Menu[],MATCH(OrderLines[[#Headers],[UnitCost]],Menu[#Headers],0),FALSE)</f>
        <v>96.22</v>
      </c>
      <c r="F540" t="str" cm="1">
        <f t="array" ref="F540">VLOOKUP(OrderLines[[#This Row],[SKU]:[SKU]],Menu[],MATCH(OrderLines[[#Headers],[Category]],Menu[#Headers],0),FALSE)</f>
        <v>Hot Meal</v>
      </c>
      <c r="G540" t="str" cm="1">
        <f t="array" ref="G540">_xlfn.TEXTJOIN("+",TRUE,_xlfn._xlws.SORT(_xlfn.UNIQUE(_xlfn._xlws.FILTER(OrderLines[Category],OrderLines[OrderID]=OrderLines[[#This Row],[OrderID]]))))</f>
        <v>Beverage+Dessert+Hot Meal+Snack</v>
      </c>
      <c r="H540" s="2" cm="1">
        <f t="array" ref="H540">INT(VLOOKUP(OrderLines[[#This Row],[OrderID]:[OrderID]],Orders[],MATCH(OrderLines[[#Headers],[OrderDateTime]],Orders[#Headers],0),FALSE))</f>
        <v>45849</v>
      </c>
      <c r="I540" t="str" cm="1">
        <f t="array" ref="I540">VLOOKUP(OrderLines[[#This Row],[OrderID]:[OrderID]],Orders[],MATCH(OrderLines[[#Headers],[Branch]],Orders[#Headers],0),FALSE)</f>
        <v>Head Office Café</v>
      </c>
      <c r="J540" cm="1">
        <f t="array" ref="J540">VLOOKUP(OrderLines[[#This Row],[OrderID]:[OrderID]],Orders[],MATCH(OrderLines[[#Headers],[DiscountPct]],Orders[#Headers],0),FALSE)</f>
        <v>0.1</v>
      </c>
      <c r="K540" t="str" cm="1">
        <f t="array" ref="K540">VLOOKUP(OrderLines[[#This Row],[OrderID]:[OrderID]],Orders[],MATCH(OrderLines[[#Headers],[PaymentType]],Orders[#Headers],0),FALSE)</f>
        <v>Card</v>
      </c>
      <c r="L540" t="str" cm="1">
        <f t="array" ref="L540">VLOOKUP(OrderLines[[#This Row],[OrderID]:[OrderID]],Orders[],MATCH(OrderLines[[#Headers],[Shift]],Orders[#Headers],0),FALSE)</f>
        <v>Dinner</v>
      </c>
      <c r="M540" s="8">
        <f>(OrderLines[[#This Row],[Qty]]*OrderLines[[#This Row],[UnitPrice]])*(1-OrderLines[[#This Row],[DiscountPct]])</f>
        <v>204.84900000000002</v>
      </c>
      <c r="N540" t="str">
        <f>IF(AND(COUNTIFS(OrderLines[OrderID],OrderLines[[#This Row],[OrderID]],OrderLines[Category],"Hot Meal"),COUNTIFS(OrderLines[OrderID],OrderLines[[#This Row],[OrderID]],OrderLines[Category],"Beverage")),"Combo","Single")</f>
        <v>Combo</v>
      </c>
      <c r="O540" s="8" t="str" cm="1">
        <f t="array" ref="O540">IF(SUMPRODUCT(OrderLines[UnitPrice],OrderLines[Qty],OrderLines[DiscountPct],--(OrderLines[OrderID] = OrderLines[[#This Row],[OrderID]]))&gt;40,"High Discount","Ok")</f>
        <v>Ok</v>
      </c>
      <c r="P540">
        <f>OrderLines[[#This Row],[UnitCost]]*OrderLines[[#This Row],[Qty]]</f>
        <v>96.22</v>
      </c>
      <c r="Q540" s="8">
        <f>OrderLines[[#This Row],[LineNetAmount]]-OrderLines[[#This Row],[Food Cost]]</f>
        <v>108.62900000000002</v>
      </c>
    </row>
    <row r="541" spans="1:17" x14ac:dyDescent="0.3">
      <c r="A541" t="s">
        <v>250</v>
      </c>
      <c r="B541" t="s">
        <v>419</v>
      </c>
      <c r="C541">
        <v>2</v>
      </c>
      <c r="D541" cm="1">
        <f t="array" ref="D541">VLOOKUP(OrderLines[[#This Row],[SKU]:[SKU]],Menu[],MATCH(OrderLines[[#Headers],[UnitPrice]],Menu[#Headers],0),FALSE)</f>
        <v>50.19</v>
      </c>
      <c r="E541" cm="1">
        <f t="array" ref="E541">VLOOKUP(OrderLines[[#This Row],[SKU]:[SKU]],Menu[],MATCH(OrderLines[[#Headers],[UnitCost]],Menu[#Headers],0),FALSE)</f>
        <v>22.61</v>
      </c>
      <c r="F541" t="str" cm="1">
        <f t="array" ref="F541">VLOOKUP(OrderLines[[#This Row],[SKU]:[SKU]],Menu[],MATCH(OrderLines[[#Headers],[Category]],Menu[#Headers],0),FALSE)</f>
        <v>Snack</v>
      </c>
      <c r="G541" t="str" cm="1">
        <f t="array" ref="G541">_xlfn.TEXTJOIN("+",TRUE,_xlfn._xlws.SORT(_xlfn.UNIQUE(_xlfn._xlws.FILTER(OrderLines[Category],OrderLines[OrderID]=OrderLines[[#This Row],[OrderID]]))))</f>
        <v>Hot Meal+Snack</v>
      </c>
      <c r="H541" s="2" cm="1">
        <f t="array" ref="H541">INT(VLOOKUP(OrderLines[[#This Row],[OrderID]:[OrderID]],Orders[],MATCH(OrderLines[[#Headers],[OrderDateTime]],Orders[#Headers],0),FALSE))</f>
        <v>45893</v>
      </c>
      <c r="I541" t="str" cm="1">
        <f t="array" ref="I541">VLOOKUP(OrderLines[[#This Row],[OrderID]:[OrderID]],Orders[],MATCH(OrderLines[[#Headers],[Branch]],Orders[#Headers],0),FALSE)</f>
        <v>Plant 2 Canteen</v>
      </c>
      <c r="J541" cm="1">
        <f t="array" ref="J541">VLOOKUP(OrderLines[[#This Row],[OrderID]:[OrderID]],Orders[],MATCH(OrderLines[[#Headers],[DiscountPct]],Orders[#Headers],0),FALSE)</f>
        <v>0</v>
      </c>
      <c r="K541" t="str" cm="1">
        <f t="array" ref="K541">VLOOKUP(OrderLines[[#This Row],[OrderID]:[OrderID]],Orders[],MATCH(OrderLines[[#Headers],[PaymentType]],Orders[#Headers],0),FALSE)</f>
        <v>Cash</v>
      </c>
      <c r="L541" t="str" cm="1">
        <f t="array" ref="L541">VLOOKUP(OrderLines[[#This Row],[OrderID]:[OrderID]],Orders[],MATCH(OrderLines[[#Headers],[Shift]],Orders[#Headers],0),FALSE)</f>
        <v>Dinner</v>
      </c>
      <c r="M541" s="8">
        <f>(OrderLines[[#This Row],[Qty]]*OrderLines[[#This Row],[UnitPrice]])*(1-OrderLines[[#This Row],[DiscountPct]])</f>
        <v>100.38</v>
      </c>
      <c r="N541" t="str">
        <f>IF(AND(COUNTIFS(OrderLines[OrderID],OrderLines[[#This Row],[OrderID]],OrderLines[Category],"Hot Meal"),COUNTIFS(OrderLines[OrderID],OrderLines[[#This Row],[OrderID]],OrderLines[Category],"Beverage")),"Combo","Single")</f>
        <v>Single</v>
      </c>
      <c r="O541" s="8" t="str" cm="1">
        <f t="array" ref="O541">IF(SUMPRODUCT(OrderLines[UnitPrice],OrderLines[Qty],OrderLines[DiscountPct],--(OrderLines[OrderID] = OrderLines[[#This Row],[OrderID]]))&gt;40,"High Discount","Ok")</f>
        <v>Ok</v>
      </c>
      <c r="P541">
        <f>OrderLines[[#This Row],[UnitCost]]*OrderLines[[#This Row],[Qty]]</f>
        <v>45.22</v>
      </c>
      <c r="Q541" s="8">
        <f>OrderLines[[#This Row],[LineNetAmount]]-OrderLines[[#This Row],[Food Cost]]</f>
        <v>55.16</v>
      </c>
    </row>
    <row r="542" spans="1:17" x14ac:dyDescent="0.3">
      <c r="A542" t="s">
        <v>250</v>
      </c>
      <c r="B542" t="s">
        <v>406</v>
      </c>
      <c r="C542">
        <v>3</v>
      </c>
      <c r="D542" cm="1">
        <f t="array" ref="D542">VLOOKUP(OrderLines[[#This Row],[SKU]:[SKU]],Menu[],MATCH(OrderLines[[#Headers],[UnitPrice]],Menu[#Headers],0),FALSE)</f>
        <v>38.06</v>
      </c>
      <c r="E542" cm="1">
        <f t="array" ref="E542">VLOOKUP(OrderLines[[#This Row],[SKU]:[SKU]],Menu[],MATCH(OrderLines[[#Headers],[UnitCost]],Menu[#Headers],0),FALSE)</f>
        <v>19.55</v>
      </c>
      <c r="F542" t="str" cm="1">
        <f t="array" ref="F542">VLOOKUP(OrderLines[[#This Row],[SKU]:[SKU]],Menu[],MATCH(OrderLines[[#Headers],[Category]],Menu[#Headers],0),FALSE)</f>
        <v>Snack</v>
      </c>
      <c r="G542" t="str" cm="1">
        <f t="array" ref="G542">_xlfn.TEXTJOIN("+",TRUE,_xlfn._xlws.SORT(_xlfn.UNIQUE(_xlfn._xlws.FILTER(OrderLines[Category],OrderLines[OrderID]=OrderLines[[#This Row],[OrderID]]))))</f>
        <v>Hot Meal+Snack</v>
      </c>
      <c r="H542" s="2" cm="1">
        <f t="array" ref="H542">INT(VLOOKUP(OrderLines[[#This Row],[OrderID]:[OrderID]],Orders[],MATCH(OrderLines[[#Headers],[OrderDateTime]],Orders[#Headers],0),FALSE))</f>
        <v>45893</v>
      </c>
      <c r="I542" t="str" cm="1">
        <f t="array" ref="I542">VLOOKUP(OrderLines[[#This Row],[OrderID]:[OrderID]],Orders[],MATCH(OrderLines[[#Headers],[Branch]],Orders[#Headers],0),FALSE)</f>
        <v>Plant 2 Canteen</v>
      </c>
      <c r="J542" cm="1">
        <f t="array" ref="J542">VLOOKUP(OrderLines[[#This Row],[OrderID]:[OrderID]],Orders[],MATCH(OrderLines[[#Headers],[DiscountPct]],Orders[#Headers],0),FALSE)</f>
        <v>0</v>
      </c>
      <c r="K542" t="str" cm="1">
        <f t="array" ref="K542">VLOOKUP(OrderLines[[#This Row],[OrderID]:[OrderID]],Orders[],MATCH(OrderLines[[#Headers],[PaymentType]],Orders[#Headers],0),FALSE)</f>
        <v>Cash</v>
      </c>
      <c r="L542" t="str" cm="1">
        <f t="array" ref="L542">VLOOKUP(OrderLines[[#This Row],[OrderID]:[OrderID]],Orders[],MATCH(OrderLines[[#Headers],[Shift]],Orders[#Headers],0),FALSE)</f>
        <v>Dinner</v>
      </c>
      <c r="M542" s="8">
        <f>(OrderLines[[#This Row],[Qty]]*OrderLines[[#This Row],[UnitPrice]])*(1-OrderLines[[#This Row],[DiscountPct]])</f>
        <v>114.18</v>
      </c>
      <c r="N542" t="str">
        <f>IF(AND(COUNTIFS(OrderLines[OrderID],OrderLines[[#This Row],[OrderID]],OrderLines[Category],"Hot Meal"),COUNTIFS(OrderLines[OrderID],OrderLines[[#This Row],[OrderID]],OrderLines[Category],"Beverage")),"Combo","Single")</f>
        <v>Single</v>
      </c>
      <c r="O542" s="8" t="str" cm="1">
        <f t="array" ref="O542">IF(SUMPRODUCT(OrderLines[UnitPrice],OrderLines[Qty],OrderLines[DiscountPct],--(OrderLines[OrderID] = OrderLines[[#This Row],[OrderID]]))&gt;40,"High Discount","Ok")</f>
        <v>Ok</v>
      </c>
      <c r="P542">
        <f>OrderLines[[#This Row],[UnitCost]]*OrderLines[[#This Row],[Qty]]</f>
        <v>58.650000000000006</v>
      </c>
      <c r="Q542" s="8">
        <f>OrderLines[[#This Row],[LineNetAmount]]-OrderLines[[#This Row],[Food Cost]]</f>
        <v>55.53</v>
      </c>
    </row>
    <row r="543" spans="1:17" x14ac:dyDescent="0.3">
      <c r="A543" t="s">
        <v>250</v>
      </c>
      <c r="B543" t="s">
        <v>416</v>
      </c>
      <c r="C543">
        <v>1</v>
      </c>
      <c r="D543" cm="1">
        <f t="array" ref="D543">VLOOKUP(OrderLines[[#This Row],[SKU]:[SKU]],Menu[],MATCH(OrderLines[[#Headers],[UnitPrice]],Menu[#Headers],0),FALSE)</f>
        <v>227.61</v>
      </c>
      <c r="E543" cm="1">
        <f t="array" ref="E543">VLOOKUP(OrderLines[[#This Row],[SKU]:[SKU]],Menu[],MATCH(OrderLines[[#Headers],[UnitCost]],Menu[#Headers],0),FALSE)</f>
        <v>96.22</v>
      </c>
      <c r="F543" t="str" cm="1">
        <f t="array" ref="F543">VLOOKUP(OrderLines[[#This Row],[SKU]:[SKU]],Menu[],MATCH(OrderLines[[#Headers],[Category]],Menu[#Headers],0),FALSE)</f>
        <v>Hot Meal</v>
      </c>
      <c r="G543" t="str" cm="1">
        <f t="array" ref="G543">_xlfn.TEXTJOIN("+",TRUE,_xlfn._xlws.SORT(_xlfn.UNIQUE(_xlfn._xlws.FILTER(OrderLines[Category],OrderLines[OrderID]=OrderLines[[#This Row],[OrderID]]))))</f>
        <v>Hot Meal+Snack</v>
      </c>
      <c r="H543" s="2" cm="1">
        <f t="array" ref="H543">INT(VLOOKUP(OrderLines[[#This Row],[OrderID]:[OrderID]],Orders[],MATCH(OrderLines[[#Headers],[OrderDateTime]],Orders[#Headers],0),FALSE))</f>
        <v>45893</v>
      </c>
      <c r="I543" t="str" cm="1">
        <f t="array" ref="I543">VLOOKUP(OrderLines[[#This Row],[OrderID]:[OrderID]],Orders[],MATCH(OrderLines[[#Headers],[Branch]],Orders[#Headers],0),FALSE)</f>
        <v>Plant 2 Canteen</v>
      </c>
      <c r="J543" cm="1">
        <f t="array" ref="J543">VLOOKUP(OrderLines[[#This Row],[OrderID]:[OrderID]],Orders[],MATCH(OrderLines[[#Headers],[DiscountPct]],Orders[#Headers],0),FALSE)</f>
        <v>0</v>
      </c>
      <c r="K543" t="str" cm="1">
        <f t="array" ref="K543">VLOOKUP(OrderLines[[#This Row],[OrderID]:[OrderID]],Orders[],MATCH(OrderLines[[#Headers],[PaymentType]],Orders[#Headers],0),FALSE)</f>
        <v>Cash</v>
      </c>
      <c r="L543" t="str" cm="1">
        <f t="array" ref="L543">VLOOKUP(OrderLines[[#This Row],[OrderID]:[OrderID]],Orders[],MATCH(OrderLines[[#Headers],[Shift]],Orders[#Headers],0),FALSE)</f>
        <v>Dinner</v>
      </c>
      <c r="M543" s="8">
        <f>(OrderLines[[#This Row],[Qty]]*OrderLines[[#This Row],[UnitPrice]])*(1-OrderLines[[#This Row],[DiscountPct]])</f>
        <v>227.61</v>
      </c>
      <c r="N543" t="str">
        <f>IF(AND(COUNTIFS(OrderLines[OrderID],OrderLines[[#This Row],[OrderID]],OrderLines[Category],"Hot Meal"),COUNTIFS(OrderLines[OrderID],OrderLines[[#This Row],[OrderID]],OrderLines[Category],"Beverage")),"Combo","Single")</f>
        <v>Single</v>
      </c>
      <c r="O543" s="8" t="str" cm="1">
        <f t="array" ref="O543">IF(SUMPRODUCT(OrderLines[UnitPrice],OrderLines[Qty],OrderLines[DiscountPct],--(OrderLines[OrderID] = OrderLines[[#This Row],[OrderID]]))&gt;40,"High Discount","Ok")</f>
        <v>Ok</v>
      </c>
      <c r="P543">
        <f>OrderLines[[#This Row],[UnitCost]]*OrderLines[[#This Row],[Qty]]</f>
        <v>96.22</v>
      </c>
      <c r="Q543" s="8">
        <f>OrderLines[[#This Row],[LineNetAmount]]-OrderLines[[#This Row],[Food Cost]]</f>
        <v>131.39000000000001</v>
      </c>
    </row>
    <row r="544" spans="1:17" x14ac:dyDescent="0.3">
      <c r="A544" t="s">
        <v>251</v>
      </c>
      <c r="B544" t="s">
        <v>412</v>
      </c>
      <c r="C544">
        <v>1</v>
      </c>
      <c r="D544" cm="1">
        <f t="array" ref="D544">VLOOKUP(OrderLines[[#This Row],[SKU]:[SKU]],Menu[],MATCH(OrderLines[[#Headers],[UnitPrice]],Menu[#Headers],0),FALSE)</f>
        <v>57.07</v>
      </c>
      <c r="E544" cm="1">
        <f t="array" ref="E544">VLOOKUP(OrderLines[[#This Row],[SKU]:[SKU]],Menu[],MATCH(OrderLines[[#Headers],[UnitCost]],Menu[#Headers],0),FALSE)</f>
        <v>29.14</v>
      </c>
      <c r="F544" t="str" cm="1">
        <f t="array" ref="F544">VLOOKUP(OrderLines[[#This Row],[SKU]:[SKU]],Menu[],MATCH(OrderLines[[#Headers],[Category]],Menu[#Headers],0),FALSE)</f>
        <v>Dessert</v>
      </c>
      <c r="G544" t="str" cm="1">
        <f t="array" ref="G544">_xlfn.TEXTJOIN("+",TRUE,_xlfn._xlws.SORT(_xlfn.UNIQUE(_xlfn._xlws.FILTER(OrderLines[Category],OrderLines[OrderID]=OrderLines[[#This Row],[OrderID]]))))</f>
        <v>Beverage+Dessert+Hot Meal</v>
      </c>
      <c r="H544" s="2" cm="1">
        <f t="array" ref="H544">INT(VLOOKUP(OrderLines[[#This Row],[OrderID]:[OrderID]],Orders[],MATCH(OrderLines[[#Headers],[OrderDateTime]],Orders[#Headers],0),FALSE))</f>
        <v>45884</v>
      </c>
      <c r="I544" t="str" cm="1">
        <f t="array" ref="I544">VLOOKUP(OrderLines[[#This Row],[OrderID]:[OrderID]],Orders[],MATCH(OrderLines[[#Headers],[Branch]],Orders[#Headers],0),FALSE)</f>
        <v>Head Office Café</v>
      </c>
      <c r="J544" cm="1">
        <f t="array" ref="J544">VLOOKUP(OrderLines[[#This Row],[OrderID]:[OrderID]],Orders[],MATCH(OrderLines[[#Headers],[DiscountPct]],Orders[#Headers],0),FALSE)</f>
        <v>0.04</v>
      </c>
      <c r="K544" t="str" cm="1">
        <f t="array" ref="K544">VLOOKUP(OrderLines[[#This Row],[OrderID]:[OrderID]],Orders[],MATCH(OrderLines[[#Headers],[PaymentType]],Orders[#Headers],0),FALSE)</f>
        <v>UPI</v>
      </c>
      <c r="L544" t="str" cm="1">
        <f t="array" ref="L544">VLOOKUP(OrderLines[[#This Row],[OrderID]:[OrderID]],Orders[],MATCH(OrderLines[[#Headers],[Shift]],Orders[#Headers],0),FALSE)</f>
        <v>Breakfast</v>
      </c>
      <c r="M544" s="8">
        <f>(OrderLines[[#This Row],[Qty]]*OrderLines[[#This Row],[UnitPrice]])*(1-OrderLines[[#This Row],[DiscountPct]])</f>
        <v>54.787199999999999</v>
      </c>
      <c r="N544" t="str">
        <f>IF(AND(COUNTIFS(OrderLines[OrderID],OrderLines[[#This Row],[OrderID]],OrderLines[Category],"Hot Meal"),COUNTIFS(OrderLines[OrderID],OrderLines[[#This Row],[OrderID]],OrderLines[Category],"Beverage")),"Combo","Single")</f>
        <v>Combo</v>
      </c>
      <c r="O544" s="8" t="str" cm="1">
        <f t="array" ref="O544">IF(SUMPRODUCT(OrderLines[UnitPrice],OrderLines[Qty],OrderLines[DiscountPct],--(OrderLines[OrderID] = OrderLines[[#This Row],[OrderID]]))&gt;40,"High Discount","Ok")</f>
        <v>Ok</v>
      </c>
      <c r="P544">
        <f>OrderLines[[#This Row],[UnitCost]]*OrderLines[[#This Row],[Qty]]</f>
        <v>29.14</v>
      </c>
      <c r="Q544" s="8">
        <f>OrderLines[[#This Row],[LineNetAmount]]-OrderLines[[#This Row],[Food Cost]]</f>
        <v>25.647199999999998</v>
      </c>
    </row>
    <row r="545" spans="1:17" x14ac:dyDescent="0.3">
      <c r="A545" t="s">
        <v>251</v>
      </c>
      <c r="B545" t="s">
        <v>411</v>
      </c>
      <c r="C545">
        <v>1</v>
      </c>
      <c r="D545" cm="1">
        <f t="array" ref="D545">VLOOKUP(OrderLines[[#This Row],[SKU]:[SKU]],Menu[],MATCH(OrderLines[[#Headers],[UnitPrice]],Menu[#Headers],0),FALSE)</f>
        <v>22.2</v>
      </c>
      <c r="E545" cm="1">
        <f t="array" ref="E545">VLOOKUP(OrderLines[[#This Row],[SKU]:[SKU]],Menu[],MATCH(OrderLines[[#Headers],[UnitCost]],Menu[#Headers],0),FALSE)</f>
        <v>9.3800000000000008</v>
      </c>
      <c r="F545" t="str" cm="1">
        <f t="array" ref="F545">VLOOKUP(OrderLines[[#This Row],[SKU]:[SKU]],Menu[],MATCH(OrderLines[[#Headers],[Category]],Menu[#Headers],0),FALSE)</f>
        <v>Beverage</v>
      </c>
      <c r="G545" t="str" cm="1">
        <f t="array" ref="G545">_xlfn.TEXTJOIN("+",TRUE,_xlfn._xlws.SORT(_xlfn.UNIQUE(_xlfn._xlws.FILTER(OrderLines[Category],OrderLines[OrderID]=OrderLines[[#This Row],[OrderID]]))))</f>
        <v>Beverage+Dessert+Hot Meal</v>
      </c>
      <c r="H545" s="2" cm="1">
        <f t="array" ref="H545">INT(VLOOKUP(OrderLines[[#This Row],[OrderID]:[OrderID]],Orders[],MATCH(OrderLines[[#Headers],[OrderDateTime]],Orders[#Headers],0),FALSE))</f>
        <v>45884</v>
      </c>
      <c r="I545" t="str" cm="1">
        <f t="array" ref="I545">VLOOKUP(OrderLines[[#This Row],[OrderID]:[OrderID]],Orders[],MATCH(OrderLines[[#Headers],[Branch]],Orders[#Headers],0),FALSE)</f>
        <v>Head Office Café</v>
      </c>
      <c r="J545" cm="1">
        <f t="array" ref="J545">VLOOKUP(OrderLines[[#This Row],[OrderID]:[OrderID]],Orders[],MATCH(OrderLines[[#Headers],[DiscountPct]],Orders[#Headers],0),FALSE)</f>
        <v>0.04</v>
      </c>
      <c r="K545" t="str" cm="1">
        <f t="array" ref="K545">VLOOKUP(OrderLines[[#This Row],[OrderID]:[OrderID]],Orders[],MATCH(OrderLines[[#Headers],[PaymentType]],Orders[#Headers],0),FALSE)</f>
        <v>UPI</v>
      </c>
      <c r="L545" t="str" cm="1">
        <f t="array" ref="L545">VLOOKUP(OrderLines[[#This Row],[OrderID]:[OrderID]],Orders[],MATCH(OrderLines[[#Headers],[Shift]],Orders[#Headers],0),FALSE)</f>
        <v>Breakfast</v>
      </c>
      <c r="M545" s="8">
        <f>(OrderLines[[#This Row],[Qty]]*OrderLines[[#This Row],[UnitPrice]])*(1-OrderLines[[#This Row],[DiscountPct]])</f>
        <v>21.311999999999998</v>
      </c>
      <c r="N545" t="str">
        <f>IF(AND(COUNTIFS(OrderLines[OrderID],OrderLines[[#This Row],[OrderID]],OrderLines[Category],"Hot Meal"),COUNTIFS(OrderLines[OrderID],OrderLines[[#This Row],[OrderID]],OrderLines[Category],"Beverage")),"Combo","Single")</f>
        <v>Combo</v>
      </c>
      <c r="O545" s="8" t="str" cm="1">
        <f t="array" ref="O545">IF(SUMPRODUCT(OrderLines[UnitPrice],OrderLines[Qty],OrderLines[DiscountPct],--(OrderLines[OrderID] = OrderLines[[#This Row],[OrderID]]))&gt;40,"High Discount","Ok")</f>
        <v>Ok</v>
      </c>
      <c r="P545">
        <f>OrderLines[[#This Row],[UnitCost]]*OrderLines[[#This Row],[Qty]]</f>
        <v>9.3800000000000008</v>
      </c>
      <c r="Q545" s="8">
        <f>OrderLines[[#This Row],[LineNetAmount]]-OrderLines[[#This Row],[Food Cost]]</f>
        <v>11.931999999999997</v>
      </c>
    </row>
    <row r="546" spans="1:17" x14ac:dyDescent="0.3">
      <c r="A546" t="s">
        <v>251</v>
      </c>
      <c r="B546" t="s">
        <v>416</v>
      </c>
      <c r="C546">
        <v>3</v>
      </c>
      <c r="D546" cm="1">
        <f t="array" ref="D546">VLOOKUP(OrderLines[[#This Row],[SKU]:[SKU]],Menu[],MATCH(OrderLines[[#Headers],[UnitPrice]],Menu[#Headers],0),FALSE)</f>
        <v>227.61</v>
      </c>
      <c r="E546" cm="1">
        <f t="array" ref="E546">VLOOKUP(OrderLines[[#This Row],[SKU]:[SKU]],Menu[],MATCH(OrderLines[[#Headers],[UnitCost]],Menu[#Headers],0),FALSE)</f>
        <v>96.22</v>
      </c>
      <c r="F546" t="str" cm="1">
        <f t="array" ref="F546">VLOOKUP(OrderLines[[#This Row],[SKU]:[SKU]],Menu[],MATCH(OrderLines[[#Headers],[Category]],Menu[#Headers],0),FALSE)</f>
        <v>Hot Meal</v>
      </c>
      <c r="G546" t="str" cm="1">
        <f t="array" ref="G546">_xlfn.TEXTJOIN("+",TRUE,_xlfn._xlws.SORT(_xlfn.UNIQUE(_xlfn._xlws.FILTER(OrderLines[Category],OrderLines[OrderID]=OrderLines[[#This Row],[OrderID]]))))</f>
        <v>Beverage+Dessert+Hot Meal</v>
      </c>
      <c r="H546" s="2" cm="1">
        <f t="array" ref="H546">INT(VLOOKUP(OrderLines[[#This Row],[OrderID]:[OrderID]],Orders[],MATCH(OrderLines[[#Headers],[OrderDateTime]],Orders[#Headers],0),FALSE))</f>
        <v>45884</v>
      </c>
      <c r="I546" t="str" cm="1">
        <f t="array" ref="I546">VLOOKUP(OrderLines[[#This Row],[OrderID]:[OrderID]],Orders[],MATCH(OrderLines[[#Headers],[Branch]],Orders[#Headers],0),FALSE)</f>
        <v>Head Office Café</v>
      </c>
      <c r="J546" cm="1">
        <f t="array" ref="J546">VLOOKUP(OrderLines[[#This Row],[OrderID]:[OrderID]],Orders[],MATCH(OrderLines[[#Headers],[DiscountPct]],Orders[#Headers],0),FALSE)</f>
        <v>0.04</v>
      </c>
      <c r="K546" t="str" cm="1">
        <f t="array" ref="K546">VLOOKUP(OrderLines[[#This Row],[OrderID]:[OrderID]],Orders[],MATCH(OrderLines[[#Headers],[PaymentType]],Orders[#Headers],0),FALSE)</f>
        <v>UPI</v>
      </c>
      <c r="L546" t="str" cm="1">
        <f t="array" ref="L546">VLOOKUP(OrderLines[[#This Row],[OrderID]:[OrderID]],Orders[],MATCH(OrderLines[[#Headers],[Shift]],Orders[#Headers],0),FALSE)</f>
        <v>Breakfast</v>
      </c>
      <c r="M546" s="8">
        <f>(OrderLines[[#This Row],[Qty]]*OrderLines[[#This Row],[UnitPrice]])*(1-OrderLines[[#This Row],[DiscountPct]])</f>
        <v>655.51679999999999</v>
      </c>
      <c r="N546" t="str">
        <f>IF(AND(COUNTIFS(OrderLines[OrderID],OrderLines[[#This Row],[OrderID]],OrderLines[Category],"Hot Meal"),COUNTIFS(OrderLines[OrderID],OrderLines[[#This Row],[OrderID]],OrderLines[Category],"Beverage")),"Combo","Single")</f>
        <v>Combo</v>
      </c>
      <c r="O546" s="8" t="str" cm="1">
        <f t="array" ref="O546">IF(SUMPRODUCT(OrderLines[UnitPrice],OrderLines[Qty],OrderLines[DiscountPct],--(OrderLines[OrderID] = OrderLines[[#This Row],[OrderID]]))&gt;40,"High Discount","Ok")</f>
        <v>Ok</v>
      </c>
      <c r="P546">
        <f>OrderLines[[#This Row],[UnitCost]]*OrderLines[[#This Row],[Qty]]</f>
        <v>288.65999999999997</v>
      </c>
      <c r="Q546" s="8">
        <f>OrderLines[[#This Row],[LineNetAmount]]-OrderLines[[#This Row],[Food Cost]]</f>
        <v>366.85680000000002</v>
      </c>
    </row>
    <row r="547" spans="1:17" x14ac:dyDescent="0.3">
      <c r="A547" t="s">
        <v>252</v>
      </c>
      <c r="B547" t="s">
        <v>419</v>
      </c>
      <c r="C547">
        <v>1</v>
      </c>
      <c r="D547" cm="1">
        <f t="array" ref="D547">VLOOKUP(OrderLines[[#This Row],[SKU]:[SKU]],Menu[],MATCH(OrderLines[[#Headers],[UnitPrice]],Menu[#Headers],0),FALSE)</f>
        <v>50.19</v>
      </c>
      <c r="E547" cm="1">
        <f t="array" ref="E547">VLOOKUP(OrderLines[[#This Row],[SKU]:[SKU]],Menu[],MATCH(OrderLines[[#Headers],[UnitCost]],Menu[#Headers],0),FALSE)</f>
        <v>22.61</v>
      </c>
      <c r="F547" t="str" cm="1">
        <f t="array" ref="F547">VLOOKUP(OrderLines[[#This Row],[SKU]:[SKU]],Menu[],MATCH(OrderLines[[#Headers],[Category]],Menu[#Headers],0),FALSE)</f>
        <v>Snack</v>
      </c>
      <c r="G547" t="str" cm="1">
        <f t="array" ref="G547">_xlfn.TEXTJOIN("+",TRUE,_xlfn._xlws.SORT(_xlfn.UNIQUE(_xlfn._xlws.FILTER(OrderLines[Category],OrderLines[OrderID]=OrderLines[[#This Row],[OrderID]]))))</f>
        <v>Beverage+Dessert+Hot Meal+Snack</v>
      </c>
      <c r="H547" s="2" cm="1">
        <f t="array" ref="H547">INT(VLOOKUP(OrderLines[[#This Row],[OrderID]:[OrderID]],Orders[],MATCH(OrderLines[[#Headers],[OrderDateTime]],Orders[#Headers],0),FALSE))</f>
        <v>45850</v>
      </c>
      <c r="I547" t="str" cm="1">
        <f t="array" ref="I547">VLOOKUP(OrderLines[[#This Row],[OrderID]:[OrderID]],Orders[],MATCH(OrderLines[[#Headers],[Branch]],Orders[#Headers],0),FALSE)</f>
        <v>Plant 1 Canteen</v>
      </c>
      <c r="J547" cm="1">
        <f t="array" ref="J547">VLOOKUP(OrderLines[[#This Row],[OrderID]:[OrderID]],Orders[],MATCH(OrderLines[[#Headers],[DiscountPct]],Orders[#Headers],0),FALSE)</f>
        <v>0.11</v>
      </c>
      <c r="K547" t="str" cm="1">
        <f t="array" ref="K547">VLOOKUP(OrderLines[[#This Row],[OrderID]:[OrderID]],Orders[],MATCH(OrderLines[[#Headers],[PaymentType]],Orders[#Headers],0),FALSE)</f>
        <v>Cash</v>
      </c>
      <c r="L547" t="str" cm="1">
        <f t="array" ref="L547">VLOOKUP(OrderLines[[#This Row],[OrderID]:[OrderID]],Orders[],MATCH(OrderLines[[#Headers],[Shift]],Orders[#Headers],0),FALSE)</f>
        <v>Lunch</v>
      </c>
      <c r="M547" s="8">
        <f>(OrderLines[[#This Row],[Qty]]*OrderLines[[#This Row],[UnitPrice]])*(1-OrderLines[[#This Row],[DiscountPct]])</f>
        <v>44.6691</v>
      </c>
      <c r="N547" t="str">
        <f>IF(AND(COUNTIFS(OrderLines[OrderID],OrderLines[[#This Row],[OrderID]],OrderLines[Category],"Hot Meal"),COUNTIFS(OrderLines[OrderID],OrderLines[[#This Row],[OrderID]],OrderLines[Category],"Beverage")),"Combo","Single")</f>
        <v>Combo</v>
      </c>
      <c r="O547" s="8" t="str" cm="1">
        <f t="array" ref="O547">IF(SUMPRODUCT(OrderLines[UnitPrice],OrderLines[Qty],OrderLines[DiscountPct],--(OrderLines[OrderID] = OrderLines[[#This Row],[OrderID]]))&gt;40,"High Discount","Ok")</f>
        <v>High Discount</v>
      </c>
      <c r="P547">
        <f>OrderLines[[#This Row],[UnitCost]]*OrderLines[[#This Row],[Qty]]</f>
        <v>22.61</v>
      </c>
      <c r="Q547" s="8">
        <f>OrderLines[[#This Row],[LineNetAmount]]-OrderLines[[#This Row],[Food Cost]]</f>
        <v>22.059100000000001</v>
      </c>
    </row>
    <row r="548" spans="1:17" x14ac:dyDescent="0.3">
      <c r="A548" t="s">
        <v>252</v>
      </c>
      <c r="B548" t="s">
        <v>417</v>
      </c>
      <c r="C548">
        <v>1</v>
      </c>
      <c r="D548" cm="1">
        <f t="array" ref="D548">VLOOKUP(OrderLines[[#This Row],[SKU]:[SKU]],Menu[],MATCH(OrderLines[[#Headers],[UnitPrice]],Menu[#Headers],0),FALSE)</f>
        <v>146.4</v>
      </c>
      <c r="E548" cm="1">
        <f t="array" ref="E548">VLOOKUP(OrderLines[[#This Row],[SKU]:[SKU]],Menu[],MATCH(OrderLines[[#Headers],[UnitCost]],Menu[#Headers],0),FALSE)</f>
        <v>80.92</v>
      </c>
      <c r="F548" t="str" cm="1">
        <f t="array" ref="F548">VLOOKUP(OrderLines[[#This Row],[SKU]:[SKU]],Menu[],MATCH(OrderLines[[#Headers],[Category]],Menu[#Headers],0),FALSE)</f>
        <v>Hot Meal</v>
      </c>
      <c r="G548" t="str" cm="1">
        <f t="array" ref="G548">_xlfn.TEXTJOIN("+",TRUE,_xlfn._xlws.SORT(_xlfn.UNIQUE(_xlfn._xlws.FILTER(OrderLines[Category],OrderLines[OrderID]=OrderLines[[#This Row],[OrderID]]))))</f>
        <v>Beverage+Dessert+Hot Meal+Snack</v>
      </c>
      <c r="H548" s="2" cm="1">
        <f t="array" ref="H548">INT(VLOOKUP(OrderLines[[#This Row],[OrderID]:[OrderID]],Orders[],MATCH(OrderLines[[#Headers],[OrderDateTime]],Orders[#Headers],0),FALSE))</f>
        <v>45850</v>
      </c>
      <c r="I548" t="str" cm="1">
        <f t="array" ref="I548">VLOOKUP(OrderLines[[#This Row],[OrderID]:[OrderID]],Orders[],MATCH(OrderLines[[#Headers],[Branch]],Orders[#Headers],0),FALSE)</f>
        <v>Plant 1 Canteen</v>
      </c>
      <c r="J548" cm="1">
        <f t="array" ref="J548">VLOOKUP(OrderLines[[#This Row],[OrderID]:[OrderID]],Orders[],MATCH(OrderLines[[#Headers],[DiscountPct]],Orders[#Headers],0),FALSE)</f>
        <v>0.11</v>
      </c>
      <c r="K548" t="str" cm="1">
        <f t="array" ref="K548">VLOOKUP(OrderLines[[#This Row],[OrderID]:[OrderID]],Orders[],MATCH(OrderLines[[#Headers],[PaymentType]],Orders[#Headers],0),FALSE)</f>
        <v>Cash</v>
      </c>
      <c r="L548" t="str" cm="1">
        <f t="array" ref="L548">VLOOKUP(OrderLines[[#This Row],[OrderID]:[OrderID]],Orders[],MATCH(OrderLines[[#Headers],[Shift]],Orders[#Headers],0),FALSE)</f>
        <v>Lunch</v>
      </c>
      <c r="M548" s="8">
        <f>(OrderLines[[#This Row],[Qty]]*OrderLines[[#This Row],[UnitPrice]])*(1-OrderLines[[#This Row],[DiscountPct]])</f>
        <v>130.29600000000002</v>
      </c>
      <c r="N548" t="str">
        <f>IF(AND(COUNTIFS(OrderLines[OrderID],OrderLines[[#This Row],[OrderID]],OrderLines[Category],"Hot Meal"),COUNTIFS(OrderLines[OrderID],OrderLines[[#This Row],[OrderID]],OrderLines[Category],"Beverage")),"Combo","Single")</f>
        <v>Combo</v>
      </c>
      <c r="O548" s="8" t="str" cm="1">
        <f t="array" ref="O548">IF(SUMPRODUCT(OrderLines[UnitPrice],OrderLines[Qty],OrderLines[DiscountPct],--(OrderLines[OrderID] = OrderLines[[#This Row],[OrderID]]))&gt;40,"High Discount","Ok")</f>
        <v>High Discount</v>
      </c>
      <c r="P548">
        <f>OrderLines[[#This Row],[UnitCost]]*OrderLines[[#This Row],[Qty]]</f>
        <v>80.92</v>
      </c>
      <c r="Q548" s="8">
        <f>OrderLines[[#This Row],[LineNetAmount]]-OrderLines[[#This Row],[Food Cost]]</f>
        <v>49.376000000000019</v>
      </c>
    </row>
    <row r="549" spans="1:17" x14ac:dyDescent="0.3">
      <c r="A549" t="s">
        <v>252</v>
      </c>
      <c r="B549" t="s">
        <v>410</v>
      </c>
      <c r="C549">
        <v>1</v>
      </c>
      <c r="D549" cm="1">
        <f t="array" ref="D549">VLOOKUP(OrderLines[[#This Row],[SKU]:[SKU]],Menu[],MATCH(OrderLines[[#Headers],[UnitPrice]],Menu[#Headers],0),FALSE)</f>
        <v>20.11</v>
      </c>
      <c r="E549" cm="1">
        <f t="array" ref="E549">VLOOKUP(OrderLines[[#This Row],[SKU]:[SKU]],Menu[],MATCH(OrderLines[[#Headers],[UnitCost]],Menu[#Headers],0),FALSE)</f>
        <v>8</v>
      </c>
      <c r="F549" t="str" cm="1">
        <f t="array" ref="F549">VLOOKUP(OrderLines[[#This Row],[SKU]:[SKU]],Menu[],MATCH(OrderLines[[#Headers],[Category]],Menu[#Headers],0),FALSE)</f>
        <v>Beverage</v>
      </c>
      <c r="G549" t="str" cm="1">
        <f t="array" ref="G549">_xlfn.TEXTJOIN("+",TRUE,_xlfn._xlws.SORT(_xlfn.UNIQUE(_xlfn._xlws.FILTER(OrderLines[Category],OrderLines[OrderID]=OrderLines[[#This Row],[OrderID]]))))</f>
        <v>Beverage+Dessert+Hot Meal+Snack</v>
      </c>
      <c r="H549" s="2" cm="1">
        <f t="array" ref="H549">INT(VLOOKUP(OrderLines[[#This Row],[OrderID]:[OrderID]],Orders[],MATCH(OrderLines[[#Headers],[OrderDateTime]],Orders[#Headers],0),FALSE))</f>
        <v>45850</v>
      </c>
      <c r="I549" t="str" cm="1">
        <f t="array" ref="I549">VLOOKUP(OrderLines[[#This Row],[OrderID]:[OrderID]],Orders[],MATCH(OrderLines[[#Headers],[Branch]],Orders[#Headers],0),FALSE)</f>
        <v>Plant 1 Canteen</v>
      </c>
      <c r="J549" cm="1">
        <f t="array" ref="J549">VLOOKUP(OrderLines[[#This Row],[OrderID]:[OrderID]],Orders[],MATCH(OrderLines[[#Headers],[DiscountPct]],Orders[#Headers],0),FALSE)</f>
        <v>0.11</v>
      </c>
      <c r="K549" t="str" cm="1">
        <f t="array" ref="K549">VLOOKUP(OrderLines[[#This Row],[OrderID]:[OrderID]],Orders[],MATCH(OrderLines[[#Headers],[PaymentType]],Orders[#Headers],0),FALSE)</f>
        <v>Cash</v>
      </c>
      <c r="L549" t="str" cm="1">
        <f t="array" ref="L549">VLOOKUP(OrderLines[[#This Row],[OrderID]:[OrderID]],Orders[],MATCH(OrderLines[[#Headers],[Shift]],Orders[#Headers],0),FALSE)</f>
        <v>Lunch</v>
      </c>
      <c r="M549" s="8">
        <f>(OrderLines[[#This Row],[Qty]]*OrderLines[[#This Row],[UnitPrice]])*(1-OrderLines[[#This Row],[DiscountPct]])</f>
        <v>17.8979</v>
      </c>
      <c r="N549" t="str">
        <f>IF(AND(COUNTIFS(OrderLines[OrderID],OrderLines[[#This Row],[OrderID]],OrderLines[Category],"Hot Meal"),COUNTIFS(OrderLines[OrderID],OrderLines[[#This Row],[OrderID]],OrderLines[Category],"Beverage")),"Combo","Single")</f>
        <v>Combo</v>
      </c>
      <c r="O549" s="8" t="str" cm="1">
        <f t="array" ref="O549">IF(SUMPRODUCT(OrderLines[UnitPrice],OrderLines[Qty],OrderLines[DiscountPct],--(OrderLines[OrderID] = OrderLines[[#This Row],[OrderID]]))&gt;40,"High Discount","Ok")</f>
        <v>High Discount</v>
      </c>
      <c r="P549">
        <f>OrderLines[[#This Row],[UnitCost]]*OrderLines[[#This Row],[Qty]]</f>
        <v>8</v>
      </c>
      <c r="Q549" s="8">
        <f>OrderLines[[#This Row],[LineNetAmount]]-OrderLines[[#This Row],[Food Cost]]</f>
        <v>9.8978999999999999</v>
      </c>
    </row>
    <row r="550" spans="1:17" x14ac:dyDescent="0.3">
      <c r="A550" t="s">
        <v>252</v>
      </c>
      <c r="B550" t="s">
        <v>403</v>
      </c>
      <c r="C550">
        <v>2</v>
      </c>
      <c r="D550" cm="1">
        <f t="array" ref="D550">VLOOKUP(OrderLines[[#This Row],[SKU]:[SKU]],Menu[],MATCH(OrderLines[[#Headers],[UnitPrice]],Menu[#Headers],0),FALSE)</f>
        <v>76.55</v>
      </c>
      <c r="E550" cm="1">
        <f t="array" ref="E550">VLOOKUP(OrderLines[[#This Row],[SKU]:[SKU]],Menu[],MATCH(OrderLines[[#Headers],[UnitCost]],Menu[#Headers],0),FALSE)</f>
        <v>38.229999999999997</v>
      </c>
      <c r="F550" t="str" cm="1">
        <f t="array" ref="F550">VLOOKUP(OrderLines[[#This Row],[SKU]:[SKU]],Menu[],MATCH(OrderLines[[#Headers],[Category]],Menu[#Headers],0),FALSE)</f>
        <v>Dessert</v>
      </c>
      <c r="G550" t="str" cm="1">
        <f t="array" ref="G550">_xlfn.TEXTJOIN("+",TRUE,_xlfn._xlws.SORT(_xlfn.UNIQUE(_xlfn._xlws.FILTER(OrderLines[Category],OrderLines[OrderID]=OrderLines[[#This Row],[OrderID]]))))</f>
        <v>Beverage+Dessert+Hot Meal+Snack</v>
      </c>
      <c r="H550" s="2" cm="1">
        <f t="array" ref="H550">INT(VLOOKUP(OrderLines[[#This Row],[OrderID]:[OrderID]],Orders[],MATCH(OrderLines[[#Headers],[OrderDateTime]],Orders[#Headers],0),FALSE))</f>
        <v>45850</v>
      </c>
      <c r="I550" t="str" cm="1">
        <f t="array" ref="I550">VLOOKUP(OrderLines[[#This Row],[OrderID]:[OrderID]],Orders[],MATCH(OrderLines[[#Headers],[Branch]],Orders[#Headers],0),FALSE)</f>
        <v>Plant 1 Canteen</v>
      </c>
      <c r="J550" cm="1">
        <f t="array" ref="J550">VLOOKUP(OrderLines[[#This Row],[OrderID]:[OrderID]],Orders[],MATCH(OrderLines[[#Headers],[DiscountPct]],Orders[#Headers],0),FALSE)</f>
        <v>0.11</v>
      </c>
      <c r="K550" t="str" cm="1">
        <f t="array" ref="K550">VLOOKUP(OrderLines[[#This Row],[OrderID]:[OrderID]],Orders[],MATCH(OrderLines[[#Headers],[PaymentType]],Orders[#Headers],0),FALSE)</f>
        <v>Cash</v>
      </c>
      <c r="L550" t="str" cm="1">
        <f t="array" ref="L550">VLOOKUP(OrderLines[[#This Row],[OrderID]:[OrderID]],Orders[],MATCH(OrderLines[[#Headers],[Shift]],Orders[#Headers],0),FALSE)</f>
        <v>Lunch</v>
      </c>
      <c r="M550" s="8">
        <f>(OrderLines[[#This Row],[Qty]]*OrderLines[[#This Row],[UnitPrice]])*(1-OrderLines[[#This Row],[DiscountPct]])</f>
        <v>136.25899999999999</v>
      </c>
      <c r="N550" t="str">
        <f>IF(AND(COUNTIFS(OrderLines[OrderID],OrderLines[[#This Row],[OrderID]],OrderLines[Category],"Hot Meal"),COUNTIFS(OrderLines[OrderID],OrderLines[[#This Row],[OrderID]],OrderLines[Category],"Beverage")),"Combo","Single")</f>
        <v>Combo</v>
      </c>
      <c r="O550" s="8" t="str" cm="1">
        <f t="array" ref="O550">IF(SUMPRODUCT(OrderLines[UnitPrice],OrderLines[Qty],OrderLines[DiscountPct],--(OrderLines[OrderID] = OrderLines[[#This Row],[OrderID]]))&gt;40,"High Discount","Ok")</f>
        <v>High Discount</v>
      </c>
      <c r="P550">
        <f>OrderLines[[#This Row],[UnitCost]]*OrderLines[[#This Row],[Qty]]</f>
        <v>76.459999999999994</v>
      </c>
      <c r="Q550" s="8">
        <f>OrderLines[[#This Row],[LineNetAmount]]-OrderLines[[#This Row],[Food Cost]]</f>
        <v>59.798999999999992</v>
      </c>
    </row>
    <row r="551" spans="1:17" x14ac:dyDescent="0.3">
      <c r="A551" t="s">
        <v>253</v>
      </c>
      <c r="B551" t="s">
        <v>410</v>
      </c>
      <c r="C551">
        <v>2</v>
      </c>
      <c r="D551" cm="1">
        <f t="array" ref="D551">VLOOKUP(OrderLines[[#This Row],[SKU]:[SKU]],Menu[],MATCH(OrderLines[[#Headers],[UnitPrice]],Menu[#Headers],0),FALSE)</f>
        <v>20.11</v>
      </c>
      <c r="E551" cm="1">
        <f t="array" ref="E551">VLOOKUP(OrderLines[[#This Row],[SKU]:[SKU]],Menu[],MATCH(OrderLines[[#Headers],[UnitCost]],Menu[#Headers],0),FALSE)</f>
        <v>8</v>
      </c>
      <c r="F551" t="str" cm="1">
        <f t="array" ref="F551">VLOOKUP(OrderLines[[#This Row],[SKU]:[SKU]],Menu[],MATCH(OrderLines[[#Headers],[Category]],Menu[#Headers],0),FALSE)</f>
        <v>Beverage</v>
      </c>
      <c r="G551" t="str" cm="1">
        <f t="array" ref="G551">_xlfn.TEXTJOIN("+",TRUE,_xlfn._xlws.SORT(_xlfn.UNIQUE(_xlfn._xlws.FILTER(OrderLines[Category],OrderLines[OrderID]=OrderLines[[#This Row],[OrderID]]))))</f>
        <v>Beverage+Snack</v>
      </c>
      <c r="H551" s="2" cm="1">
        <f t="array" ref="H551">INT(VLOOKUP(OrderLines[[#This Row],[OrderID]:[OrderID]],Orders[],MATCH(OrderLines[[#Headers],[OrderDateTime]],Orders[#Headers],0),FALSE))</f>
        <v>45887</v>
      </c>
      <c r="I551" t="str" cm="1">
        <f t="array" ref="I551">VLOOKUP(OrderLines[[#This Row],[OrderID]:[OrderID]],Orders[],MATCH(OrderLines[[#Headers],[Branch]],Orders[#Headers],0),FALSE)</f>
        <v>Plant 1 Canteen</v>
      </c>
      <c r="J551" cm="1">
        <f t="array" ref="J551">VLOOKUP(OrderLines[[#This Row],[OrderID]:[OrderID]],Orders[],MATCH(OrderLines[[#Headers],[DiscountPct]],Orders[#Headers],0),FALSE)</f>
        <v>0.03</v>
      </c>
      <c r="K551" t="str" cm="1">
        <f t="array" ref="K551">VLOOKUP(OrderLines[[#This Row],[OrderID]:[OrderID]],Orders[],MATCH(OrderLines[[#Headers],[PaymentType]],Orders[#Headers],0),FALSE)</f>
        <v>Cash</v>
      </c>
      <c r="L551" t="str" cm="1">
        <f t="array" ref="L551">VLOOKUP(OrderLines[[#This Row],[OrderID]:[OrderID]],Orders[],MATCH(OrderLines[[#Headers],[Shift]],Orders[#Headers],0),FALSE)</f>
        <v>Breakfast</v>
      </c>
      <c r="M551" s="8">
        <f>(OrderLines[[#This Row],[Qty]]*OrderLines[[#This Row],[UnitPrice]])*(1-OrderLines[[#This Row],[DiscountPct]])</f>
        <v>39.013399999999997</v>
      </c>
      <c r="N551" t="str">
        <f>IF(AND(COUNTIFS(OrderLines[OrderID],OrderLines[[#This Row],[OrderID]],OrderLines[Category],"Hot Meal"),COUNTIFS(OrderLines[OrderID],OrderLines[[#This Row],[OrderID]],OrderLines[Category],"Beverage")),"Combo","Single")</f>
        <v>Single</v>
      </c>
      <c r="O551" s="8" t="str" cm="1">
        <f t="array" ref="O551">IF(SUMPRODUCT(OrderLines[UnitPrice],OrderLines[Qty],OrderLines[DiscountPct],--(OrderLines[OrderID] = OrderLines[[#This Row],[OrderID]]))&gt;40,"High Discount","Ok")</f>
        <v>Ok</v>
      </c>
      <c r="P551">
        <f>OrderLines[[#This Row],[UnitCost]]*OrderLines[[#This Row],[Qty]]</f>
        <v>16</v>
      </c>
      <c r="Q551" s="8">
        <f>OrderLines[[#This Row],[LineNetAmount]]-OrderLines[[#This Row],[Food Cost]]</f>
        <v>23.013399999999997</v>
      </c>
    </row>
    <row r="552" spans="1:17" x14ac:dyDescent="0.3">
      <c r="A552" t="s">
        <v>253</v>
      </c>
      <c r="B552" t="s">
        <v>402</v>
      </c>
      <c r="C552">
        <v>2</v>
      </c>
      <c r="D552" cm="1">
        <f t="array" ref="D552">VLOOKUP(OrderLines[[#This Row],[SKU]:[SKU]],Menu[],MATCH(OrderLines[[#Headers],[UnitPrice]],Menu[#Headers],0),FALSE)</f>
        <v>30.34</v>
      </c>
      <c r="E552" cm="1">
        <f t="array" ref="E552">VLOOKUP(OrderLines[[#This Row],[SKU]:[SKU]],Menu[],MATCH(OrderLines[[#Headers],[UnitCost]],Menu[#Headers],0),FALSE)</f>
        <v>14.18</v>
      </c>
      <c r="F552" t="str" cm="1">
        <f t="array" ref="F552">VLOOKUP(OrderLines[[#This Row],[SKU]:[SKU]],Menu[],MATCH(OrderLines[[#Headers],[Category]],Menu[#Headers],0),FALSE)</f>
        <v>Beverage</v>
      </c>
      <c r="G552" t="str" cm="1">
        <f t="array" ref="G552">_xlfn.TEXTJOIN("+",TRUE,_xlfn._xlws.SORT(_xlfn.UNIQUE(_xlfn._xlws.FILTER(OrderLines[Category],OrderLines[OrderID]=OrderLines[[#This Row],[OrderID]]))))</f>
        <v>Beverage+Snack</v>
      </c>
      <c r="H552" s="2" cm="1">
        <f t="array" ref="H552">INT(VLOOKUP(OrderLines[[#This Row],[OrderID]:[OrderID]],Orders[],MATCH(OrderLines[[#Headers],[OrderDateTime]],Orders[#Headers],0),FALSE))</f>
        <v>45887</v>
      </c>
      <c r="I552" t="str" cm="1">
        <f t="array" ref="I552">VLOOKUP(OrderLines[[#This Row],[OrderID]:[OrderID]],Orders[],MATCH(OrderLines[[#Headers],[Branch]],Orders[#Headers],0),FALSE)</f>
        <v>Plant 1 Canteen</v>
      </c>
      <c r="J552" cm="1">
        <f t="array" ref="J552">VLOOKUP(OrderLines[[#This Row],[OrderID]:[OrderID]],Orders[],MATCH(OrderLines[[#Headers],[DiscountPct]],Orders[#Headers],0),FALSE)</f>
        <v>0.03</v>
      </c>
      <c r="K552" t="str" cm="1">
        <f t="array" ref="K552">VLOOKUP(OrderLines[[#This Row],[OrderID]:[OrderID]],Orders[],MATCH(OrderLines[[#Headers],[PaymentType]],Orders[#Headers],0),FALSE)</f>
        <v>Cash</v>
      </c>
      <c r="L552" t="str" cm="1">
        <f t="array" ref="L552">VLOOKUP(OrderLines[[#This Row],[OrderID]:[OrderID]],Orders[],MATCH(OrderLines[[#Headers],[Shift]],Orders[#Headers],0),FALSE)</f>
        <v>Breakfast</v>
      </c>
      <c r="M552" s="8">
        <f>(OrderLines[[#This Row],[Qty]]*OrderLines[[#This Row],[UnitPrice]])*(1-OrderLines[[#This Row],[DiscountPct]])</f>
        <v>58.8596</v>
      </c>
      <c r="N552" t="str">
        <f>IF(AND(COUNTIFS(OrderLines[OrderID],OrderLines[[#This Row],[OrderID]],OrderLines[Category],"Hot Meal"),COUNTIFS(OrderLines[OrderID],OrderLines[[#This Row],[OrderID]],OrderLines[Category],"Beverage")),"Combo","Single")</f>
        <v>Single</v>
      </c>
      <c r="O552" s="8" t="str" cm="1">
        <f t="array" ref="O552">IF(SUMPRODUCT(OrderLines[UnitPrice],OrderLines[Qty],OrderLines[DiscountPct],--(OrderLines[OrderID] = OrderLines[[#This Row],[OrderID]]))&gt;40,"High Discount","Ok")</f>
        <v>Ok</v>
      </c>
      <c r="P552">
        <f>OrderLines[[#This Row],[UnitCost]]*OrderLines[[#This Row],[Qty]]</f>
        <v>28.36</v>
      </c>
      <c r="Q552" s="8">
        <f>OrderLines[[#This Row],[LineNetAmount]]-OrderLines[[#This Row],[Food Cost]]</f>
        <v>30.499600000000001</v>
      </c>
    </row>
    <row r="553" spans="1:17" x14ac:dyDescent="0.3">
      <c r="A553" t="s">
        <v>253</v>
      </c>
      <c r="B553" t="s">
        <v>408</v>
      </c>
      <c r="C553">
        <v>1</v>
      </c>
      <c r="D553" cm="1">
        <f t="array" ref="D553">VLOOKUP(OrderLines[[#This Row],[SKU]:[SKU]],Menu[],MATCH(OrderLines[[#Headers],[UnitPrice]],Menu[#Headers],0),FALSE)</f>
        <v>70.540000000000006</v>
      </c>
      <c r="E553" cm="1">
        <f t="array" ref="E553">VLOOKUP(OrderLines[[#This Row],[SKU]:[SKU]],Menu[],MATCH(OrderLines[[#Headers],[UnitCost]],Menu[#Headers],0),FALSE)</f>
        <v>35.81</v>
      </c>
      <c r="F553" t="str" cm="1">
        <f t="array" ref="F553">VLOOKUP(OrderLines[[#This Row],[SKU]:[SKU]],Menu[],MATCH(OrderLines[[#Headers],[Category]],Menu[#Headers],0),FALSE)</f>
        <v>Snack</v>
      </c>
      <c r="G553" t="str" cm="1">
        <f t="array" ref="G553">_xlfn.TEXTJOIN("+",TRUE,_xlfn._xlws.SORT(_xlfn.UNIQUE(_xlfn._xlws.FILTER(OrderLines[Category],OrderLines[OrderID]=OrderLines[[#This Row],[OrderID]]))))</f>
        <v>Beverage+Snack</v>
      </c>
      <c r="H553" s="2" cm="1">
        <f t="array" ref="H553">INT(VLOOKUP(OrderLines[[#This Row],[OrderID]:[OrderID]],Orders[],MATCH(OrderLines[[#Headers],[OrderDateTime]],Orders[#Headers],0),FALSE))</f>
        <v>45887</v>
      </c>
      <c r="I553" t="str" cm="1">
        <f t="array" ref="I553">VLOOKUP(OrderLines[[#This Row],[OrderID]:[OrderID]],Orders[],MATCH(OrderLines[[#Headers],[Branch]],Orders[#Headers],0),FALSE)</f>
        <v>Plant 1 Canteen</v>
      </c>
      <c r="J553" cm="1">
        <f t="array" ref="J553">VLOOKUP(OrderLines[[#This Row],[OrderID]:[OrderID]],Orders[],MATCH(OrderLines[[#Headers],[DiscountPct]],Orders[#Headers],0),FALSE)</f>
        <v>0.03</v>
      </c>
      <c r="K553" t="str" cm="1">
        <f t="array" ref="K553">VLOOKUP(OrderLines[[#This Row],[OrderID]:[OrderID]],Orders[],MATCH(OrderLines[[#Headers],[PaymentType]],Orders[#Headers],0),FALSE)</f>
        <v>Cash</v>
      </c>
      <c r="L553" t="str" cm="1">
        <f t="array" ref="L553">VLOOKUP(OrderLines[[#This Row],[OrderID]:[OrderID]],Orders[],MATCH(OrderLines[[#Headers],[Shift]],Orders[#Headers],0),FALSE)</f>
        <v>Breakfast</v>
      </c>
      <c r="M553" s="8">
        <f>(OrderLines[[#This Row],[Qty]]*OrderLines[[#This Row],[UnitPrice]])*(1-OrderLines[[#This Row],[DiscountPct]])</f>
        <v>68.4238</v>
      </c>
      <c r="N553" t="str">
        <f>IF(AND(COUNTIFS(OrderLines[OrderID],OrderLines[[#This Row],[OrderID]],OrderLines[Category],"Hot Meal"),COUNTIFS(OrderLines[OrderID],OrderLines[[#This Row],[OrderID]],OrderLines[Category],"Beverage")),"Combo","Single")</f>
        <v>Single</v>
      </c>
      <c r="O553" s="8" t="str" cm="1">
        <f t="array" ref="O553">IF(SUMPRODUCT(OrderLines[UnitPrice],OrderLines[Qty],OrderLines[DiscountPct],--(OrderLines[OrderID] = OrderLines[[#This Row],[OrderID]]))&gt;40,"High Discount","Ok")</f>
        <v>Ok</v>
      </c>
      <c r="P553">
        <f>OrderLines[[#This Row],[UnitCost]]*OrderLines[[#This Row],[Qty]]</f>
        <v>35.81</v>
      </c>
      <c r="Q553" s="8">
        <f>OrderLines[[#This Row],[LineNetAmount]]-OrderLines[[#This Row],[Food Cost]]</f>
        <v>32.613799999999998</v>
      </c>
    </row>
    <row r="554" spans="1:17" x14ac:dyDescent="0.3">
      <c r="A554" t="s">
        <v>254</v>
      </c>
      <c r="B554" t="s">
        <v>405</v>
      </c>
      <c r="C554">
        <v>1</v>
      </c>
      <c r="D554" cm="1">
        <f t="array" ref="D554">VLOOKUP(OrderLines[[#This Row],[SKU]:[SKU]],Menu[],MATCH(OrderLines[[#Headers],[UnitPrice]],Menu[#Headers],0),FALSE)</f>
        <v>170.83</v>
      </c>
      <c r="E554" cm="1">
        <f t="array" ref="E554">VLOOKUP(OrderLines[[#This Row],[SKU]:[SKU]],Menu[],MATCH(OrderLines[[#Headers],[UnitCost]],Menu[#Headers],0),FALSE)</f>
        <v>74.069999999999993</v>
      </c>
      <c r="F554" t="str" cm="1">
        <f t="array" ref="F554">VLOOKUP(OrderLines[[#This Row],[SKU]:[SKU]],Menu[],MATCH(OrderLines[[#Headers],[Category]],Menu[#Headers],0),FALSE)</f>
        <v>Hot Meal</v>
      </c>
      <c r="G554" t="str" cm="1">
        <f t="array" ref="G554">_xlfn.TEXTJOIN("+",TRUE,_xlfn._xlws.SORT(_xlfn.UNIQUE(_xlfn._xlws.FILTER(OrderLines[Category],OrderLines[OrderID]=OrderLines[[#This Row],[OrderID]]))))</f>
        <v>Hot Meal+Snack</v>
      </c>
      <c r="H554" s="2" cm="1">
        <f t="array" ref="H554">INT(VLOOKUP(OrderLines[[#This Row],[OrderID]:[OrderID]],Orders[],MATCH(OrderLines[[#Headers],[OrderDateTime]],Orders[#Headers],0),FALSE))</f>
        <v>45852</v>
      </c>
      <c r="I554" t="str" cm="1">
        <f t="array" ref="I554">VLOOKUP(OrderLines[[#This Row],[OrderID]:[OrderID]],Orders[],MATCH(OrderLines[[#Headers],[Branch]],Orders[#Headers],0),FALSE)</f>
        <v>Plant 2 Canteen</v>
      </c>
      <c r="J554" cm="1">
        <f t="array" ref="J554">VLOOKUP(OrderLines[[#This Row],[OrderID]:[OrderID]],Orders[],MATCH(OrderLines[[#Headers],[DiscountPct]],Orders[#Headers],0),FALSE)</f>
        <v>0.08</v>
      </c>
      <c r="K554" t="str" cm="1">
        <f t="array" ref="K554">VLOOKUP(OrderLines[[#This Row],[OrderID]:[OrderID]],Orders[],MATCH(OrderLines[[#Headers],[PaymentType]],Orders[#Headers],0),FALSE)</f>
        <v>Card</v>
      </c>
      <c r="L554" t="str" cm="1">
        <f t="array" ref="L554">VLOOKUP(OrderLines[[#This Row],[OrderID]:[OrderID]],Orders[],MATCH(OrderLines[[#Headers],[Shift]],Orders[#Headers],0),FALSE)</f>
        <v>Breakfast</v>
      </c>
      <c r="M554" s="8">
        <f>(OrderLines[[#This Row],[Qty]]*OrderLines[[#This Row],[UnitPrice]])*(1-OrderLines[[#This Row],[DiscountPct]])</f>
        <v>157.16360000000003</v>
      </c>
      <c r="N554" t="str">
        <f>IF(AND(COUNTIFS(OrderLines[OrderID],OrderLines[[#This Row],[OrderID]],OrderLines[Category],"Hot Meal"),COUNTIFS(OrderLines[OrderID],OrderLines[[#This Row],[OrderID]],OrderLines[Category],"Beverage")),"Combo","Single")</f>
        <v>Single</v>
      </c>
      <c r="O554" s="8" t="str" cm="1">
        <f t="array" ref="O554">IF(SUMPRODUCT(OrderLines[UnitPrice],OrderLines[Qty],OrderLines[DiscountPct],--(OrderLines[OrderID] = OrderLines[[#This Row],[OrderID]]))&gt;40,"High Discount","Ok")</f>
        <v>High Discount</v>
      </c>
      <c r="P554">
        <f>OrderLines[[#This Row],[UnitCost]]*OrderLines[[#This Row],[Qty]]</f>
        <v>74.069999999999993</v>
      </c>
      <c r="Q554" s="8">
        <f>OrderLines[[#This Row],[LineNetAmount]]-OrderLines[[#This Row],[Food Cost]]</f>
        <v>83.093600000000038</v>
      </c>
    </row>
    <row r="555" spans="1:17" x14ac:dyDescent="0.3">
      <c r="A555" t="s">
        <v>254</v>
      </c>
      <c r="B555" t="s">
        <v>415</v>
      </c>
      <c r="C555">
        <v>1</v>
      </c>
      <c r="D555" cm="1">
        <f t="array" ref="D555">VLOOKUP(OrderLines[[#This Row],[SKU]:[SKU]],Menu[],MATCH(OrderLines[[#Headers],[UnitPrice]],Menu[#Headers],0),FALSE)</f>
        <v>256.91000000000003</v>
      </c>
      <c r="E555" cm="1">
        <f t="array" ref="E555">VLOOKUP(OrderLines[[#This Row],[SKU]:[SKU]],Menu[],MATCH(OrderLines[[#Headers],[UnitCost]],Menu[#Headers],0),FALSE)</f>
        <v>121.24</v>
      </c>
      <c r="F555" t="str" cm="1">
        <f t="array" ref="F555">VLOOKUP(OrderLines[[#This Row],[SKU]:[SKU]],Menu[],MATCH(OrderLines[[#Headers],[Category]],Menu[#Headers],0),FALSE)</f>
        <v>Hot Meal</v>
      </c>
      <c r="G555" t="str" cm="1">
        <f t="array" ref="G555">_xlfn.TEXTJOIN("+",TRUE,_xlfn._xlws.SORT(_xlfn.UNIQUE(_xlfn._xlws.FILTER(OrderLines[Category],OrderLines[OrderID]=OrderLines[[#This Row],[OrderID]]))))</f>
        <v>Hot Meal+Snack</v>
      </c>
      <c r="H555" s="2" cm="1">
        <f t="array" ref="H555">INT(VLOOKUP(OrderLines[[#This Row],[OrderID]:[OrderID]],Orders[],MATCH(OrderLines[[#Headers],[OrderDateTime]],Orders[#Headers],0),FALSE))</f>
        <v>45852</v>
      </c>
      <c r="I555" t="str" cm="1">
        <f t="array" ref="I555">VLOOKUP(OrderLines[[#This Row],[OrderID]:[OrderID]],Orders[],MATCH(OrderLines[[#Headers],[Branch]],Orders[#Headers],0),FALSE)</f>
        <v>Plant 2 Canteen</v>
      </c>
      <c r="J555" cm="1">
        <f t="array" ref="J555">VLOOKUP(OrderLines[[#This Row],[OrderID]:[OrderID]],Orders[],MATCH(OrderLines[[#Headers],[DiscountPct]],Orders[#Headers],0),FALSE)</f>
        <v>0.08</v>
      </c>
      <c r="K555" t="str" cm="1">
        <f t="array" ref="K555">VLOOKUP(OrderLines[[#This Row],[OrderID]:[OrderID]],Orders[],MATCH(OrderLines[[#Headers],[PaymentType]],Orders[#Headers],0),FALSE)</f>
        <v>Card</v>
      </c>
      <c r="L555" t="str" cm="1">
        <f t="array" ref="L555">VLOOKUP(OrderLines[[#This Row],[OrderID]:[OrderID]],Orders[],MATCH(OrderLines[[#Headers],[Shift]],Orders[#Headers],0),FALSE)</f>
        <v>Breakfast</v>
      </c>
      <c r="M555" s="8">
        <f>(OrderLines[[#This Row],[Qty]]*OrderLines[[#This Row],[UnitPrice]])*(1-OrderLines[[#This Row],[DiscountPct]])</f>
        <v>236.35720000000003</v>
      </c>
      <c r="N555" t="str">
        <f>IF(AND(COUNTIFS(OrderLines[OrderID],OrderLines[[#This Row],[OrderID]],OrderLines[Category],"Hot Meal"),COUNTIFS(OrderLines[OrderID],OrderLines[[#This Row],[OrderID]],OrderLines[Category],"Beverage")),"Combo","Single")</f>
        <v>Single</v>
      </c>
      <c r="O555" s="8" t="str" cm="1">
        <f t="array" ref="O555">IF(SUMPRODUCT(OrderLines[UnitPrice],OrderLines[Qty],OrderLines[DiscountPct],--(OrderLines[OrderID] = OrderLines[[#This Row],[OrderID]]))&gt;40,"High Discount","Ok")</f>
        <v>High Discount</v>
      </c>
      <c r="P555">
        <f>OrderLines[[#This Row],[UnitCost]]*OrderLines[[#This Row],[Qty]]</f>
        <v>121.24</v>
      </c>
      <c r="Q555" s="8">
        <f>OrderLines[[#This Row],[LineNetAmount]]-OrderLines[[#This Row],[Food Cost]]</f>
        <v>115.11720000000004</v>
      </c>
    </row>
    <row r="556" spans="1:17" x14ac:dyDescent="0.3">
      <c r="A556" t="s">
        <v>254</v>
      </c>
      <c r="B556" t="s">
        <v>418</v>
      </c>
      <c r="C556">
        <v>2</v>
      </c>
      <c r="D556" cm="1">
        <f t="array" ref="D556">VLOOKUP(OrderLines[[#This Row],[SKU]:[SKU]],Menu[],MATCH(OrderLines[[#Headers],[UnitPrice]],Menu[#Headers],0),FALSE)</f>
        <v>39.950000000000003</v>
      </c>
      <c r="E556" cm="1">
        <f t="array" ref="E556">VLOOKUP(OrderLines[[#This Row],[SKU]:[SKU]],Menu[],MATCH(OrderLines[[#Headers],[UnitCost]],Menu[#Headers],0),FALSE)</f>
        <v>15.51</v>
      </c>
      <c r="F556" t="str" cm="1">
        <f t="array" ref="F556">VLOOKUP(OrderLines[[#This Row],[SKU]:[SKU]],Menu[],MATCH(OrderLines[[#Headers],[Category]],Menu[#Headers],0),FALSE)</f>
        <v>Snack</v>
      </c>
      <c r="G556" t="str" cm="1">
        <f t="array" ref="G556">_xlfn.TEXTJOIN("+",TRUE,_xlfn._xlws.SORT(_xlfn.UNIQUE(_xlfn._xlws.FILTER(OrderLines[Category],OrderLines[OrderID]=OrderLines[[#This Row],[OrderID]]))))</f>
        <v>Hot Meal+Snack</v>
      </c>
      <c r="H556" s="2" cm="1">
        <f t="array" ref="H556">INT(VLOOKUP(OrderLines[[#This Row],[OrderID]:[OrderID]],Orders[],MATCH(OrderLines[[#Headers],[OrderDateTime]],Orders[#Headers],0),FALSE))</f>
        <v>45852</v>
      </c>
      <c r="I556" t="str" cm="1">
        <f t="array" ref="I556">VLOOKUP(OrderLines[[#This Row],[OrderID]:[OrderID]],Orders[],MATCH(OrderLines[[#Headers],[Branch]],Orders[#Headers],0),FALSE)</f>
        <v>Plant 2 Canteen</v>
      </c>
      <c r="J556" cm="1">
        <f t="array" ref="J556">VLOOKUP(OrderLines[[#This Row],[OrderID]:[OrderID]],Orders[],MATCH(OrderLines[[#Headers],[DiscountPct]],Orders[#Headers],0),FALSE)</f>
        <v>0.08</v>
      </c>
      <c r="K556" t="str" cm="1">
        <f t="array" ref="K556">VLOOKUP(OrderLines[[#This Row],[OrderID]:[OrderID]],Orders[],MATCH(OrderLines[[#Headers],[PaymentType]],Orders[#Headers],0),FALSE)</f>
        <v>Card</v>
      </c>
      <c r="L556" t="str" cm="1">
        <f t="array" ref="L556">VLOOKUP(OrderLines[[#This Row],[OrderID]:[OrderID]],Orders[],MATCH(OrderLines[[#Headers],[Shift]],Orders[#Headers],0),FALSE)</f>
        <v>Breakfast</v>
      </c>
      <c r="M556" s="8">
        <f>(OrderLines[[#This Row],[Qty]]*OrderLines[[#This Row],[UnitPrice]])*(1-OrderLines[[#This Row],[DiscountPct]])</f>
        <v>73.50800000000001</v>
      </c>
      <c r="N556" t="str">
        <f>IF(AND(COUNTIFS(OrderLines[OrderID],OrderLines[[#This Row],[OrderID]],OrderLines[Category],"Hot Meal"),COUNTIFS(OrderLines[OrderID],OrderLines[[#This Row],[OrderID]],OrderLines[Category],"Beverage")),"Combo","Single")</f>
        <v>Single</v>
      </c>
      <c r="O556" s="8" t="str" cm="1">
        <f t="array" ref="O556">IF(SUMPRODUCT(OrderLines[UnitPrice],OrderLines[Qty],OrderLines[DiscountPct],--(OrderLines[OrderID] = OrderLines[[#This Row],[OrderID]]))&gt;40,"High Discount","Ok")</f>
        <v>High Discount</v>
      </c>
      <c r="P556">
        <f>OrderLines[[#This Row],[UnitCost]]*OrderLines[[#This Row],[Qty]]</f>
        <v>31.02</v>
      </c>
      <c r="Q556" s="8">
        <f>OrderLines[[#This Row],[LineNetAmount]]-OrderLines[[#This Row],[Food Cost]]</f>
        <v>42.488000000000014</v>
      </c>
    </row>
    <row r="557" spans="1:17" x14ac:dyDescent="0.3">
      <c r="A557" t="s">
        <v>254</v>
      </c>
      <c r="B557" t="s">
        <v>401</v>
      </c>
      <c r="C557">
        <v>3</v>
      </c>
      <c r="D557" cm="1">
        <f t="array" ref="D557">VLOOKUP(OrderLines[[#This Row],[SKU]:[SKU]],Menu[],MATCH(OrderLines[[#Headers],[UnitPrice]],Menu[#Headers],0),FALSE)</f>
        <v>52.45</v>
      </c>
      <c r="E557" cm="1">
        <f t="array" ref="E557">VLOOKUP(OrderLines[[#This Row],[SKU]:[SKU]],Menu[],MATCH(OrderLines[[#Headers],[UnitCost]],Menu[#Headers],0),FALSE)</f>
        <v>25.8</v>
      </c>
      <c r="F557" t="str" cm="1">
        <f t="array" ref="F557">VLOOKUP(OrderLines[[#This Row],[SKU]:[SKU]],Menu[],MATCH(OrderLines[[#Headers],[Category]],Menu[#Headers],0),FALSE)</f>
        <v>Snack</v>
      </c>
      <c r="G557" t="str" cm="1">
        <f t="array" ref="G557">_xlfn.TEXTJOIN("+",TRUE,_xlfn._xlws.SORT(_xlfn.UNIQUE(_xlfn._xlws.FILTER(OrderLines[Category],OrderLines[OrderID]=OrderLines[[#This Row],[OrderID]]))))</f>
        <v>Hot Meal+Snack</v>
      </c>
      <c r="H557" s="2" cm="1">
        <f t="array" ref="H557">INT(VLOOKUP(OrderLines[[#This Row],[OrderID]:[OrderID]],Orders[],MATCH(OrderLines[[#Headers],[OrderDateTime]],Orders[#Headers],0),FALSE))</f>
        <v>45852</v>
      </c>
      <c r="I557" t="str" cm="1">
        <f t="array" ref="I557">VLOOKUP(OrderLines[[#This Row],[OrderID]:[OrderID]],Orders[],MATCH(OrderLines[[#Headers],[Branch]],Orders[#Headers],0),FALSE)</f>
        <v>Plant 2 Canteen</v>
      </c>
      <c r="J557" cm="1">
        <f t="array" ref="J557">VLOOKUP(OrderLines[[#This Row],[OrderID]:[OrderID]],Orders[],MATCH(OrderLines[[#Headers],[DiscountPct]],Orders[#Headers],0),FALSE)</f>
        <v>0.08</v>
      </c>
      <c r="K557" t="str" cm="1">
        <f t="array" ref="K557">VLOOKUP(OrderLines[[#This Row],[OrderID]:[OrderID]],Orders[],MATCH(OrderLines[[#Headers],[PaymentType]],Orders[#Headers],0),FALSE)</f>
        <v>Card</v>
      </c>
      <c r="L557" t="str" cm="1">
        <f t="array" ref="L557">VLOOKUP(OrderLines[[#This Row],[OrderID]:[OrderID]],Orders[],MATCH(OrderLines[[#Headers],[Shift]],Orders[#Headers],0),FALSE)</f>
        <v>Breakfast</v>
      </c>
      <c r="M557" s="8">
        <f>(OrderLines[[#This Row],[Qty]]*OrderLines[[#This Row],[UnitPrice]])*(1-OrderLines[[#This Row],[DiscountPct]])</f>
        <v>144.76200000000003</v>
      </c>
      <c r="N557" t="str">
        <f>IF(AND(COUNTIFS(OrderLines[OrderID],OrderLines[[#This Row],[OrderID]],OrderLines[Category],"Hot Meal"),COUNTIFS(OrderLines[OrderID],OrderLines[[#This Row],[OrderID]],OrderLines[Category],"Beverage")),"Combo","Single")</f>
        <v>Single</v>
      </c>
      <c r="O557" s="8" t="str" cm="1">
        <f t="array" ref="O557">IF(SUMPRODUCT(OrderLines[UnitPrice],OrderLines[Qty],OrderLines[DiscountPct],--(OrderLines[OrderID] = OrderLines[[#This Row],[OrderID]]))&gt;40,"High Discount","Ok")</f>
        <v>High Discount</v>
      </c>
      <c r="P557">
        <f>OrderLines[[#This Row],[UnitCost]]*OrderLines[[#This Row],[Qty]]</f>
        <v>77.400000000000006</v>
      </c>
      <c r="Q557" s="8">
        <f>OrderLines[[#This Row],[LineNetAmount]]-OrderLines[[#This Row],[Food Cost]]</f>
        <v>67.362000000000023</v>
      </c>
    </row>
    <row r="558" spans="1:17" x14ac:dyDescent="0.3">
      <c r="A558" t="s">
        <v>255</v>
      </c>
      <c r="B558" t="s">
        <v>409</v>
      </c>
      <c r="C558">
        <v>1</v>
      </c>
      <c r="D558" cm="1">
        <f t="array" ref="D558">VLOOKUP(OrderLines[[#This Row],[SKU]:[SKU]],Menu[],MATCH(OrderLines[[#Headers],[UnitPrice]],Menu[#Headers],0),FALSE)</f>
        <v>28.43</v>
      </c>
      <c r="E558" cm="1">
        <f t="array" ref="E558">VLOOKUP(OrderLines[[#This Row],[SKU]:[SKU]],Menu[],MATCH(OrderLines[[#Headers],[UnitCost]],Menu[#Headers],0),FALSE)</f>
        <v>13.89</v>
      </c>
      <c r="F558" t="str" cm="1">
        <f t="array" ref="F558">VLOOKUP(OrderLines[[#This Row],[SKU]:[SKU]],Menu[],MATCH(OrderLines[[#Headers],[Category]],Menu[#Headers],0),FALSE)</f>
        <v>Beverage</v>
      </c>
      <c r="G558" t="str" cm="1">
        <f t="array" ref="G558">_xlfn.TEXTJOIN("+",TRUE,_xlfn._xlws.SORT(_xlfn.UNIQUE(_xlfn._xlws.FILTER(OrderLines[Category],OrderLines[OrderID]=OrderLines[[#This Row],[OrderID]]))))</f>
        <v>Beverage</v>
      </c>
      <c r="H558" s="2" cm="1">
        <f t="array" ref="H558">INT(VLOOKUP(OrderLines[[#This Row],[OrderID]:[OrderID]],Orders[],MATCH(OrderLines[[#Headers],[OrderDateTime]],Orders[#Headers],0),FALSE))</f>
        <v>45879</v>
      </c>
      <c r="I558" t="str" cm="1">
        <f t="array" ref="I558">VLOOKUP(OrderLines[[#This Row],[OrderID]:[OrderID]],Orders[],MATCH(OrderLines[[#Headers],[Branch]],Orders[#Headers],0),FALSE)</f>
        <v>Head Office Café</v>
      </c>
      <c r="J558" cm="1">
        <f t="array" ref="J558">VLOOKUP(OrderLines[[#This Row],[OrderID]:[OrderID]],Orders[],MATCH(OrderLines[[#Headers],[DiscountPct]],Orders[#Headers],0),FALSE)</f>
        <v>0.09</v>
      </c>
      <c r="K558" t="str" cm="1">
        <f t="array" ref="K558">VLOOKUP(OrderLines[[#This Row],[OrderID]:[OrderID]],Orders[],MATCH(OrderLines[[#Headers],[PaymentType]],Orders[#Headers],0),FALSE)</f>
        <v>UPI</v>
      </c>
      <c r="L558" t="str" cm="1">
        <f t="array" ref="L558">VLOOKUP(OrderLines[[#This Row],[OrderID]:[OrderID]],Orders[],MATCH(OrderLines[[#Headers],[Shift]],Orders[#Headers],0),FALSE)</f>
        <v>Dinner</v>
      </c>
      <c r="M558" s="8">
        <f>(OrderLines[[#This Row],[Qty]]*OrderLines[[#This Row],[UnitPrice]])*(1-OrderLines[[#This Row],[DiscountPct]])</f>
        <v>25.871300000000002</v>
      </c>
      <c r="N558" t="str">
        <f>IF(AND(COUNTIFS(OrderLines[OrderID],OrderLines[[#This Row],[OrderID]],OrderLines[Category],"Hot Meal"),COUNTIFS(OrderLines[OrderID],OrderLines[[#This Row],[OrderID]],OrderLines[Category],"Beverage")),"Combo","Single")</f>
        <v>Single</v>
      </c>
      <c r="O558" s="8" t="str" cm="1">
        <f t="array" ref="O558">IF(SUMPRODUCT(OrderLines[UnitPrice],OrderLines[Qty],OrderLines[DiscountPct],--(OrderLines[OrderID] = OrderLines[[#This Row],[OrderID]]))&gt;40,"High Discount","Ok")</f>
        <v>Ok</v>
      </c>
      <c r="P558">
        <f>OrderLines[[#This Row],[UnitCost]]*OrderLines[[#This Row],[Qty]]</f>
        <v>13.89</v>
      </c>
      <c r="Q558" s="8">
        <f>OrderLines[[#This Row],[LineNetAmount]]-OrderLines[[#This Row],[Food Cost]]</f>
        <v>11.981300000000001</v>
      </c>
    </row>
    <row r="559" spans="1:17" x14ac:dyDescent="0.3">
      <c r="A559" t="s">
        <v>256</v>
      </c>
      <c r="B559" t="s">
        <v>412</v>
      </c>
      <c r="C559">
        <v>2</v>
      </c>
      <c r="D559" cm="1">
        <f t="array" ref="D559">VLOOKUP(OrderLines[[#This Row],[SKU]:[SKU]],Menu[],MATCH(OrderLines[[#Headers],[UnitPrice]],Menu[#Headers],0),FALSE)</f>
        <v>57.07</v>
      </c>
      <c r="E559" cm="1">
        <f t="array" ref="E559">VLOOKUP(OrderLines[[#This Row],[SKU]:[SKU]],Menu[],MATCH(OrderLines[[#Headers],[UnitCost]],Menu[#Headers],0),FALSE)</f>
        <v>29.14</v>
      </c>
      <c r="F559" t="str" cm="1">
        <f t="array" ref="F559">VLOOKUP(OrderLines[[#This Row],[SKU]:[SKU]],Menu[],MATCH(OrderLines[[#Headers],[Category]],Menu[#Headers],0),FALSE)</f>
        <v>Dessert</v>
      </c>
      <c r="G559" t="str" cm="1">
        <f t="array" ref="G559">_xlfn.TEXTJOIN("+",TRUE,_xlfn._xlws.SORT(_xlfn.UNIQUE(_xlfn._xlws.FILTER(OrderLines[Category],OrderLines[OrderID]=OrderLines[[#This Row],[OrderID]]))))</f>
        <v>Dessert+Hot Meal</v>
      </c>
      <c r="H559" s="2" cm="1">
        <f t="array" ref="H559">INT(VLOOKUP(OrderLines[[#This Row],[OrderID]:[OrderID]],Orders[],MATCH(OrderLines[[#Headers],[OrderDateTime]],Orders[#Headers],0),FALSE))</f>
        <v>45879</v>
      </c>
      <c r="I559" t="str" cm="1">
        <f t="array" ref="I559">VLOOKUP(OrderLines[[#This Row],[OrderID]:[OrderID]],Orders[],MATCH(OrderLines[[#Headers],[Branch]],Orders[#Headers],0),FALSE)</f>
        <v>Head Office Café</v>
      </c>
      <c r="J559" cm="1">
        <f t="array" ref="J559">VLOOKUP(OrderLines[[#This Row],[OrderID]:[OrderID]],Orders[],MATCH(OrderLines[[#Headers],[DiscountPct]],Orders[#Headers],0),FALSE)</f>
        <v>0.02</v>
      </c>
      <c r="K559" t="str" cm="1">
        <f t="array" ref="K559">VLOOKUP(OrderLines[[#This Row],[OrderID]:[OrderID]],Orders[],MATCH(OrderLines[[#Headers],[PaymentType]],Orders[#Headers],0),FALSE)</f>
        <v>Card</v>
      </c>
      <c r="L559" t="str" cm="1">
        <f t="array" ref="L559">VLOOKUP(OrderLines[[#This Row],[OrderID]:[OrderID]],Orders[],MATCH(OrderLines[[#Headers],[Shift]],Orders[#Headers],0),FALSE)</f>
        <v>Lunch</v>
      </c>
      <c r="M559" s="8">
        <f>(OrderLines[[#This Row],[Qty]]*OrderLines[[#This Row],[UnitPrice]])*(1-OrderLines[[#This Row],[DiscountPct]])</f>
        <v>111.85719999999999</v>
      </c>
      <c r="N559" t="str">
        <f>IF(AND(COUNTIFS(OrderLines[OrderID],OrderLines[[#This Row],[OrderID]],OrderLines[Category],"Hot Meal"),COUNTIFS(OrderLines[OrderID],OrderLines[[#This Row],[OrderID]],OrderLines[Category],"Beverage")),"Combo","Single")</f>
        <v>Single</v>
      </c>
      <c r="O559" s="8" t="str" cm="1">
        <f t="array" ref="O559">IF(SUMPRODUCT(OrderLines[UnitPrice],OrderLines[Qty],OrderLines[DiscountPct],--(OrderLines[OrderID] = OrderLines[[#This Row],[OrderID]]))&gt;40,"High Discount","Ok")</f>
        <v>Ok</v>
      </c>
      <c r="P559">
        <f>OrderLines[[#This Row],[UnitCost]]*OrderLines[[#This Row],[Qty]]</f>
        <v>58.28</v>
      </c>
      <c r="Q559" s="8">
        <f>OrderLines[[#This Row],[LineNetAmount]]-OrderLines[[#This Row],[Food Cost]]</f>
        <v>53.577199999999991</v>
      </c>
    </row>
    <row r="560" spans="1:17" x14ac:dyDescent="0.3">
      <c r="A560" t="s">
        <v>256</v>
      </c>
      <c r="B560" t="s">
        <v>416</v>
      </c>
      <c r="C560">
        <v>1</v>
      </c>
      <c r="D560" cm="1">
        <f t="array" ref="D560">VLOOKUP(OrderLines[[#This Row],[SKU]:[SKU]],Menu[],MATCH(OrderLines[[#Headers],[UnitPrice]],Menu[#Headers],0),FALSE)</f>
        <v>227.61</v>
      </c>
      <c r="E560" cm="1">
        <f t="array" ref="E560">VLOOKUP(OrderLines[[#This Row],[SKU]:[SKU]],Menu[],MATCH(OrderLines[[#Headers],[UnitCost]],Menu[#Headers],0),FALSE)</f>
        <v>96.22</v>
      </c>
      <c r="F560" t="str" cm="1">
        <f t="array" ref="F560">VLOOKUP(OrderLines[[#This Row],[SKU]:[SKU]],Menu[],MATCH(OrderLines[[#Headers],[Category]],Menu[#Headers],0),FALSE)</f>
        <v>Hot Meal</v>
      </c>
      <c r="G560" t="str" cm="1">
        <f t="array" ref="G560">_xlfn.TEXTJOIN("+",TRUE,_xlfn._xlws.SORT(_xlfn.UNIQUE(_xlfn._xlws.FILTER(OrderLines[Category],OrderLines[OrderID]=OrderLines[[#This Row],[OrderID]]))))</f>
        <v>Dessert+Hot Meal</v>
      </c>
      <c r="H560" s="2" cm="1">
        <f t="array" ref="H560">INT(VLOOKUP(OrderLines[[#This Row],[OrderID]:[OrderID]],Orders[],MATCH(OrderLines[[#Headers],[OrderDateTime]],Orders[#Headers],0),FALSE))</f>
        <v>45879</v>
      </c>
      <c r="I560" t="str" cm="1">
        <f t="array" ref="I560">VLOOKUP(OrderLines[[#This Row],[OrderID]:[OrderID]],Orders[],MATCH(OrderLines[[#Headers],[Branch]],Orders[#Headers],0),FALSE)</f>
        <v>Head Office Café</v>
      </c>
      <c r="J560" cm="1">
        <f t="array" ref="J560">VLOOKUP(OrderLines[[#This Row],[OrderID]:[OrderID]],Orders[],MATCH(OrderLines[[#Headers],[DiscountPct]],Orders[#Headers],0),FALSE)</f>
        <v>0.02</v>
      </c>
      <c r="K560" t="str" cm="1">
        <f t="array" ref="K560">VLOOKUP(OrderLines[[#This Row],[OrderID]:[OrderID]],Orders[],MATCH(OrderLines[[#Headers],[PaymentType]],Orders[#Headers],0),FALSE)</f>
        <v>Card</v>
      </c>
      <c r="L560" t="str" cm="1">
        <f t="array" ref="L560">VLOOKUP(OrderLines[[#This Row],[OrderID]:[OrderID]],Orders[],MATCH(OrderLines[[#Headers],[Shift]],Orders[#Headers],0),FALSE)</f>
        <v>Lunch</v>
      </c>
      <c r="M560" s="8">
        <f>(OrderLines[[#This Row],[Qty]]*OrderLines[[#This Row],[UnitPrice]])*(1-OrderLines[[#This Row],[DiscountPct]])</f>
        <v>223.05780000000001</v>
      </c>
      <c r="N560" t="str">
        <f>IF(AND(COUNTIFS(OrderLines[OrderID],OrderLines[[#This Row],[OrderID]],OrderLines[Category],"Hot Meal"),COUNTIFS(OrderLines[OrderID],OrderLines[[#This Row],[OrderID]],OrderLines[Category],"Beverage")),"Combo","Single")</f>
        <v>Single</v>
      </c>
      <c r="O560" s="8" t="str" cm="1">
        <f t="array" ref="O560">IF(SUMPRODUCT(OrderLines[UnitPrice],OrderLines[Qty],OrderLines[DiscountPct],--(OrderLines[OrderID] = OrderLines[[#This Row],[OrderID]]))&gt;40,"High Discount","Ok")</f>
        <v>Ok</v>
      </c>
      <c r="P560">
        <f>OrderLines[[#This Row],[UnitCost]]*OrderLines[[#This Row],[Qty]]</f>
        <v>96.22</v>
      </c>
      <c r="Q560" s="8">
        <f>OrderLines[[#This Row],[LineNetAmount]]-OrderLines[[#This Row],[Food Cost]]</f>
        <v>126.83780000000002</v>
      </c>
    </row>
    <row r="561" spans="1:17" x14ac:dyDescent="0.3">
      <c r="A561" t="s">
        <v>256</v>
      </c>
      <c r="B561" t="s">
        <v>405</v>
      </c>
      <c r="C561">
        <v>2</v>
      </c>
      <c r="D561" cm="1">
        <f t="array" ref="D561">VLOOKUP(OrderLines[[#This Row],[SKU]:[SKU]],Menu[],MATCH(OrderLines[[#Headers],[UnitPrice]],Menu[#Headers],0),FALSE)</f>
        <v>170.83</v>
      </c>
      <c r="E561" cm="1">
        <f t="array" ref="E561">VLOOKUP(OrderLines[[#This Row],[SKU]:[SKU]],Menu[],MATCH(OrderLines[[#Headers],[UnitCost]],Menu[#Headers],0),FALSE)</f>
        <v>74.069999999999993</v>
      </c>
      <c r="F561" t="str" cm="1">
        <f t="array" ref="F561">VLOOKUP(OrderLines[[#This Row],[SKU]:[SKU]],Menu[],MATCH(OrderLines[[#Headers],[Category]],Menu[#Headers],0),FALSE)</f>
        <v>Hot Meal</v>
      </c>
      <c r="G561" t="str" cm="1">
        <f t="array" ref="G561">_xlfn.TEXTJOIN("+",TRUE,_xlfn._xlws.SORT(_xlfn.UNIQUE(_xlfn._xlws.FILTER(OrderLines[Category],OrderLines[OrderID]=OrderLines[[#This Row],[OrderID]]))))</f>
        <v>Dessert+Hot Meal</v>
      </c>
      <c r="H561" s="2" cm="1">
        <f t="array" ref="H561">INT(VLOOKUP(OrderLines[[#This Row],[OrderID]:[OrderID]],Orders[],MATCH(OrderLines[[#Headers],[OrderDateTime]],Orders[#Headers],0),FALSE))</f>
        <v>45879</v>
      </c>
      <c r="I561" t="str" cm="1">
        <f t="array" ref="I561">VLOOKUP(OrderLines[[#This Row],[OrderID]:[OrderID]],Orders[],MATCH(OrderLines[[#Headers],[Branch]],Orders[#Headers],0),FALSE)</f>
        <v>Head Office Café</v>
      </c>
      <c r="J561" cm="1">
        <f t="array" ref="J561">VLOOKUP(OrderLines[[#This Row],[OrderID]:[OrderID]],Orders[],MATCH(OrderLines[[#Headers],[DiscountPct]],Orders[#Headers],0),FALSE)</f>
        <v>0.02</v>
      </c>
      <c r="K561" t="str" cm="1">
        <f t="array" ref="K561">VLOOKUP(OrderLines[[#This Row],[OrderID]:[OrderID]],Orders[],MATCH(OrderLines[[#Headers],[PaymentType]],Orders[#Headers],0),FALSE)</f>
        <v>Card</v>
      </c>
      <c r="L561" t="str" cm="1">
        <f t="array" ref="L561">VLOOKUP(OrderLines[[#This Row],[OrderID]:[OrderID]],Orders[],MATCH(OrderLines[[#Headers],[Shift]],Orders[#Headers],0),FALSE)</f>
        <v>Lunch</v>
      </c>
      <c r="M561" s="8">
        <f>(OrderLines[[#This Row],[Qty]]*OrderLines[[#This Row],[UnitPrice]])*(1-OrderLines[[#This Row],[DiscountPct]])</f>
        <v>334.82679999999999</v>
      </c>
      <c r="N561" t="str">
        <f>IF(AND(COUNTIFS(OrderLines[OrderID],OrderLines[[#This Row],[OrderID]],OrderLines[Category],"Hot Meal"),COUNTIFS(OrderLines[OrderID],OrderLines[[#This Row],[OrderID]],OrderLines[Category],"Beverage")),"Combo","Single")</f>
        <v>Single</v>
      </c>
      <c r="O561" s="8" t="str" cm="1">
        <f t="array" ref="O561">IF(SUMPRODUCT(OrderLines[UnitPrice],OrderLines[Qty],OrderLines[DiscountPct],--(OrderLines[OrderID] = OrderLines[[#This Row],[OrderID]]))&gt;40,"High Discount","Ok")</f>
        <v>Ok</v>
      </c>
      <c r="P561">
        <f>OrderLines[[#This Row],[UnitCost]]*OrderLines[[#This Row],[Qty]]</f>
        <v>148.13999999999999</v>
      </c>
      <c r="Q561" s="8">
        <f>OrderLines[[#This Row],[LineNetAmount]]-OrderLines[[#This Row],[Food Cost]]</f>
        <v>186.68680000000001</v>
      </c>
    </row>
    <row r="562" spans="1:17" x14ac:dyDescent="0.3">
      <c r="A562" t="s">
        <v>257</v>
      </c>
      <c r="B562" t="s">
        <v>403</v>
      </c>
      <c r="C562">
        <v>3</v>
      </c>
      <c r="D562" cm="1">
        <f t="array" ref="D562">VLOOKUP(OrderLines[[#This Row],[SKU]:[SKU]],Menu[],MATCH(OrderLines[[#Headers],[UnitPrice]],Menu[#Headers],0),FALSE)</f>
        <v>76.55</v>
      </c>
      <c r="E562" cm="1">
        <f t="array" ref="E562">VLOOKUP(OrderLines[[#This Row],[SKU]:[SKU]],Menu[],MATCH(OrderLines[[#Headers],[UnitCost]],Menu[#Headers],0),FALSE)</f>
        <v>38.229999999999997</v>
      </c>
      <c r="F562" t="str" cm="1">
        <f t="array" ref="F562">VLOOKUP(OrderLines[[#This Row],[SKU]:[SKU]],Menu[],MATCH(OrderLines[[#Headers],[Category]],Menu[#Headers],0),FALSE)</f>
        <v>Dessert</v>
      </c>
      <c r="G562" t="str" cm="1">
        <f t="array" ref="G562">_xlfn.TEXTJOIN("+",TRUE,_xlfn._xlws.SORT(_xlfn.UNIQUE(_xlfn._xlws.FILTER(OrderLines[Category],OrderLines[OrderID]=OrderLines[[#This Row],[OrderID]]))))</f>
        <v>Dessert+Hot Meal</v>
      </c>
      <c r="H562" s="2" cm="1">
        <f t="array" ref="H562">INT(VLOOKUP(OrderLines[[#This Row],[OrderID]:[OrderID]],Orders[],MATCH(OrderLines[[#Headers],[OrderDateTime]],Orders[#Headers],0),FALSE))</f>
        <v>45866</v>
      </c>
      <c r="I562" t="str" cm="1">
        <f t="array" ref="I562">VLOOKUP(OrderLines[[#This Row],[OrderID]:[OrderID]],Orders[],MATCH(OrderLines[[#Headers],[Branch]],Orders[#Headers],0),FALSE)</f>
        <v>Plant 1 Canteen</v>
      </c>
      <c r="J562" cm="1">
        <f t="array" ref="J562">VLOOKUP(OrderLines[[#This Row],[OrderID]:[OrderID]],Orders[],MATCH(OrderLines[[#Headers],[DiscountPct]],Orders[#Headers],0),FALSE)</f>
        <v>0.06</v>
      </c>
      <c r="K562" t="str" cm="1">
        <f t="array" ref="K562">VLOOKUP(OrderLines[[#This Row],[OrderID]:[OrderID]],Orders[],MATCH(OrderLines[[#Headers],[PaymentType]],Orders[#Headers],0),FALSE)</f>
        <v>Card</v>
      </c>
      <c r="L562" t="str" cm="1">
        <f t="array" ref="L562">VLOOKUP(OrderLines[[#This Row],[OrderID]:[OrderID]],Orders[],MATCH(OrderLines[[#Headers],[Shift]],Orders[#Headers],0),FALSE)</f>
        <v>Breakfast</v>
      </c>
      <c r="M562" s="8">
        <f>(OrderLines[[#This Row],[Qty]]*OrderLines[[#This Row],[UnitPrice]])*(1-OrderLines[[#This Row],[DiscountPct]])</f>
        <v>215.87099999999995</v>
      </c>
      <c r="N562" t="str">
        <f>IF(AND(COUNTIFS(OrderLines[OrderID],OrderLines[[#This Row],[OrderID]],OrderLines[Category],"Hot Meal"),COUNTIFS(OrderLines[OrderID],OrderLines[[#This Row],[OrderID]],OrderLines[Category],"Beverage")),"Combo","Single")</f>
        <v>Single</v>
      </c>
      <c r="O562" s="8" t="str" cm="1">
        <f t="array" ref="O562">IF(SUMPRODUCT(OrderLines[UnitPrice],OrderLines[Qty],OrderLines[DiscountPct],--(OrderLines[OrderID] = OrderLines[[#This Row],[OrderID]]))&gt;40,"High Discount","Ok")</f>
        <v>Ok</v>
      </c>
      <c r="P562">
        <f>OrderLines[[#This Row],[UnitCost]]*OrderLines[[#This Row],[Qty]]</f>
        <v>114.69</v>
      </c>
      <c r="Q562" s="8">
        <f>OrderLines[[#This Row],[LineNetAmount]]-OrderLines[[#This Row],[Food Cost]]</f>
        <v>101.18099999999995</v>
      </c>
    </row>
    <row r="563" spans="1:17" x14ac:dyDescent="0.3">
      <c r="A563" t="s">
        <v>257</v>
      </c>
      <c r="B563" t="s">
        <v>416</v>
      </c>
      <c r="C563">
        <v>1</v>
      </c>
      <c r="D563" cm="1">
        <f t="array" ref="D563">VLOOKUP(OrderLines[[#This Row],[SKU]:[SKU]],Menu[],MATCH(OrderLines[[#Headers],[UnitPrice]],Menu[#Headers],0),FALSE)</f>
        <v>227.61</v>
      </c>
      <c r="E563" cm="1">
        <f t="array" ref="E563">VLOOKUP(OrderLines[[#This Row],[SKU]:[SKU]],Menu[],MATCH(OrderLines[[#Headers],[UnitCost]],Menu[#Headers],0),FALSE)</f>
        <v>96.22</v>
      </c>
      <c r="F563" t="str" cm="1">
        <f t="array" ref="F563">VLOOKUP(OrderLines[[#This Row],[SKU]:[SKU]],Menu[],MATCH(OrderLines[[#Headers],[Category]],Menu[#Headers],0),FALSE)</f>
        <v>Hot Meal</v>
      </c>
      <c r="G563" t="str" cm="1">
        <f t="array" ref="G563">_xlfn.TEXTJOIN("+",TRUE,_xlfn._xlws.SORT(_xlfn.UNIQUE(_xlfn._xlws.FILTER(OrderLines[Category],OrderLines[OrderID]=OrderLines[[#This Row],[OrderID]]))))</f>
        <v>Dessert+Hot Meal</v>
      </c>
      <c r="H563" s="2" cm="1">
        <f t="array" ref="H563">INT(VLOOKUP(OrderLines[[#This Row],[OrderID]:[OrderID]],Orders[],MATCH(OrderLines[[#Headers],[OrderDateTime]],Orders[#Headers],0),FALSE))</f>
        <v>45866</v>
      </c>
      <c r="I563" t="str" cm="1">
        <f t="array" ref="I563">VLOOKUP(OrderLines[[#This Row],[OrderID]:[OrderID]],Orders[],MATCH(OrderLines[[#Headers],[Branch]],Orders[#Headers],0),FALSE)</f>
        <v>Plant 1 Canteen</v>
      </c>
      <c r="J563" cm="1">
        <f t="array" ref="J563">VLOOKUP(OrderLines[[#This Row],[OrderID]:[OrderID]],Orders[],MATCH(OrderLines[[#Headers],[DiscountPct]],Orders[#Headers],0),FALSE)</f>
        <v>0.06</v>
      </c>
      <c r="K563" t="str" cm="1">
        <f t="array" ref="K563">VLOOKUP(OrderLines[[#This Row],[OrderID]:[OrderID]],Orders[],MATCH(OrderLines[[#Headers],[PaymentType]],Orders[#Headers],0),FALSE)</f>
        <v>Card</v>
      </c>
      <c r="L563" t="str" cm="1">
        <f t="array" ref="L563">VLOOKUP(OrderLines[[#This Row],[OrderID]:[OrderID]],Orders[],MATCH(OrderLines[[#Headers],[Shift]],Orders[#Headers],0),FALSE)</f>
        <v>Breakfast</v>
      </c>
      <c r="M563" s="8">
        <f>(OrderLines[[#This Row],[Qty]]*OrderLines[[#This Row],[UnitPrice]])*(1-OrderLines[[#This Row],[DiscountPct]])</f>
        <v>213.95339999999999</v>
      </c>
      <c r="N563" t="str">
        <f>IF(AND(COUNTIFS(OrderLines[OrderID],OrderLines[[#This Row],[OrderID]],OrderLines[Category],"Hot Meal"),COUNTIFS(OrderLines[OrderID],OrderLines[[#This Row],[OrderID]],OrderLines[Category],"Beverage")),"Combo","Single")</f>
        <v>Single</v>
      </c>
      <c r="O563" s="8" t="str" cm="1">
        <f t="array" ref="O563">IF(SUMPRODUCT(OrderLines[UnitPrice],OrderLines[Qty],OrderLines[DiscountPct],--(OrderLines[OrderID] = OrderLines[[#This Row],[OrderID]]))&gt;40,"High Discount","Ok")</f>
        <v>Ok</v>
      </c>
      <c r="P563">
        <f>OrderLines[[#This Row],[UnitCost]]*OrderLines[[#This Row],[Qty]]</f>
        <v>96.22</v>
      </c>
      <c r="Q563" s="8">
        <f>OrderLines[[#This Row],[LineNetAmount]]-OrderLines[[#This Row],[Food Cost]]</f>
        <v>117.73339999999999</v>
      </c>
    </row>
    <row r="564" spans="1:17" x14ac:dyDescent="0.3">
      <c r="A564" t="s">
        <v>257</v>
      </c>
      <c r="B564" t="s">
        <v>413</v>
      </c>
      <c r="C564">
        <v>3</v>
      </c>
      <c r="D564" cm="1">
        <f t="array" ref="D564">VLOOKUP(OrderLines[[#This Row],[SKU]:[SKU]],Menu[],MATCH(OrderLines[[#Headers],[UnitPrice]],Menu[#Headers],0),FALSE)</f>
        <v>54.2</v>
      </c>
      <c r="E564" cm="1">
        <f t="array" ref="E564">VLOOKUP(OrderLines[[#This Row],[SKU]:[SKU]],Menu[],MATCH(OrderLines[[#Headers],[UnitCost]],Menu[#Headers],0),FALSE)</f>
        <v>21.95</v>
      </c>
      <c r="F564" t="str" cm="1">
        <f t="array" ref="F564">VLOOKUP(OrderLines[[#This Row],[SKU]:[SKU]],Menu[],MATCH(OrderLines[[#Headers],[Category]],Menu[#Headers],0),FALSE)</f>
        <v>Dessert</v>
      </c>
      <c r="G564" t="str" cm="1">
        <f t="array" ref="G564">_xlfn.TEXTJOIN("+",TRUE,_xlfn._xlws.SORT(_xlfn.UNIQUE(_xlfn._xlws.FILTER(OrderLines[Category],OrderLines[OrderID]=OrderLines[[#This Row],[OrderID]]))))</f>
        <v>Dessert+Hot Meal</v>
      </c>
      <c r="H564" s="2" cm="1">
        <f t="array" ref="H564">INT(VLOOKUP(OrderLines[[#This Row],[OrderID]:[OrderID]],Orders[],MATCH(OrderLines[[#Headers],[OrderDateTime]],Orders[#Headers],0),FALSE))</f>
        <v>45866</v>
      </c>
      <c r="I564" t="str" cm="1">
        <f t="array" ref="I564">VLOOKUP(OrderLines[[#This Row],[OrderID]:[OrderID]],Orders[],MATCH(OrderLines[[#Headers],[Branch]],Orders[#Headers],0),FALSE)</f>
        <v>Plant 1 Canteen</v>
      </c>
      <c r="J564" cm="1">
        <f t="array" ref="J564">VLOOKUP(OrderLines[[#This Row],[OrderID]:[OrderID]],Orders[],MATCH(OrderLines[[#Headers],[DiscountPct]],Orders[#Headers],0),FALSE)</f>
        <v>0.06</v>
      </c>
      <c r="K564" t="str" cm="1">
        <f t="array" ref="K564">VLOOKUP(OrderLines[[#This Row],[OrderID]:[OrderID]],Orders[],MATCH(OrderLines[[#Headers],[PaymentType]],Orders[#Headers],0),FALSE)</f>
        <v>Card</v>
      </c>
      <c r="L564" t="str" cm="1">
        <f t="array" ref="L564">VLOOKUP(OrderLines[[#This Row],[OrderID]:[OrderID]],Orders[],MATCH(OrderLines[[#Headers],[Shift]],Orders[#Headers],0),FALSE)</f>
        <v>Breakfast</v>
      </c>
      <c r="M564" s="8">
        <f>(OrderLines[[#This Row],[Qty]]*OrderLines[[#This Row],[UnitPrice]])*(1-OrderLines[[#This Row],[DiscountPct]])</f>
        <v>152.84400000000002</v>
      </c>
      <c r="N564" t="str">
        <f>IF(AND(COUNTIFS(OrderLines[OrderID],OrderLines[[#This Row],[OrderID]],OrderLines[Category],"Hot Meal"),COUNTIFS(OrderLines[OrderID],OrderLines[[#This Row],[OrderID]],OrderLines[Category],"Beverage")),"Combo","Single")</f>
        <v>Single</v>
      </c>
      <c r="O564" s="8" t="str" cm="1">
        <f t="array" ref="O564">IF(SUMPRODUCT(OrderLines[UnitPrice],OrderLines[Qty],OrderLines[DiscountPct],--(OrderLines[OrderID] = OrderLines[[#This Row],[OrderID]]))&gt;40,"High Discount","Ok")</f>
        <v>Ok</v>
      </c>
      <c r="P564">
        <f>OrderLines[[#This Row],[UnitCost]]*OrderLines[[#This Row],[Qty]]</f>
        <v>65.849999999999994</v>
      </c>
      <c r="Q564" s="8">
        <f>OrderLines[[#This Row],[LineNetAmount]]-OrderLines[[#This Row],[Food Cost]]</f>
        <v>86.994000000000028</v>
      </c>
    </row>
    <row r="565" spans="1:17" x14ac:dyDescent="0.3">
      <c r="A565" t="s">
        <v>258</v>
      </c>
      <c r="B565" t="s">
        <v>412</v>
      </c>
      <c r="C565">
        <v>1</v>
      </c>
      <c r="D565" cm="1">
        <f t="array" ref="D565">VLOOKUP(OrderLines[[#This Row],[SKU]:[SKU]],Menu[],MATCH(OrderLines[[#Headers],[UnitPrice]],Menu[#Headers],0),FALSE)</f>
        <v>57.07</v>
      </c>
      <c r="E565" cm="1">
        <f t="array" ref="E565">VLOOKUP(OrderLines[[#This Row],[SKU]:[SKU]],Menu[],MATCH(OrderLines[[#Headers],[UnitCost]],Menu[#Headers],0),FALSE)</f>
        <v>29.14</v>
      </c>
      <c r="F565" t="str" cm="1">
        <f t="array" ref="F565">VLOOKUP(OrderLines[[#This Row],[SKU]:[SKU]],Menu[],MATCH(OrderLines[[#Headers],[Category]],Menu[#Headers],0),FALSE)</f>
        <v>Dessert</v>
      </c>
      <c r="G565" t="str" cm="1">
        <f t="array" ref="G565">_xlfn.TEXTJOIN("+",TRUE,_xlfn._xlws.SORT(_xlfn.UNIQUE(_xlfn._xlws.FILTER(OrderLines[Category],OrderLines[OrderID]=OrderLines[[#This Row],[OrderID]]))))</f>
        <v>Dessert</v>
      </c>
      <c r="H565" s="2" cm="1">
        <f t="array" ref="H565">INT(VLOOKUP(OrderLines[[#This Row],[OrderID]:[OrderID]],Orders[],MATCH(OrderLines[[#Headers],[OrderDateTime]],Orders[#Headers],0),FALSE))</f>
        <v>45882</v>
      </c>
      <c r="I565" t="str" cm="1">
        <f t="array" ref="I565">VLOOKUP(OrderLines[[#This Row],[OrderID]:[OrderID]],Orders[],MATCH(OrderLines[[#Headers],[Branch]],Orders[#Headers],0),FALSE)</f>
        <v>Plant 2 Canteen</v>
      </c>
      <c r="J565" cm="1">
        <f t="array" ref="J565">VLOOKUP(OrderLines[[#This Row],[OrderID]:[OrderID]],Orders[],MATCH(OrderLines[[#Headers],[DiscountPct]],Orders[#Headers],0),FALSE)</f>
        <v>0</v>
      </c>
      <c r="K565" t="str" cm="1">
        <f t="array" ref="K565">VLOOKUP(OrderLines[[#This Row],[OrderID]:[OrderID]],Orders[],MATCH(OrderLines[[#Headers],[PaymentType]],Orders[#Headers],0),FALSE)</f>
        <v>Card</v>
      </c>
      <c r="L565" t="str" cm="1">
        <f t="array" ref="L565">VLOOKUP(OrderLines[[#This Row],[OrderID]:[OrderID]],Orders[],MATCH(OrderLines[[#Headers],[Shift]],Orders[#Headers],0),FALSE)</f>
        <v>Breakfast</v>
      </c>
      <c r="M565" s="8">
        <f>(OrderLines[[#This Row],[Qty]]*OrderLines[[#This Row],[UnitPrice]])*(1-OrderLines[[#This Row],[DiscountPct]])</f>
        <v>57.07</v>
      </c>
      <c r="N565" t="str">
        <f>IF(AND(COUNTIFS(OrderLines[OrderID],OrderLines[[#This Row],[OrderID]],OrderLines[Category],"Hot Meal"),COUNTIFS(OrderLines[OrderID],OrderLines[[#This Row],[OrderID]],OrderLines[Category],"Beverage")),"Combo","Single")</f>
        <v>Single</v>
      </c>
      <c r="O565" s="8" t="str" cm="1">
        <f t="array" ref="O565">IF(SUMPRODUCT(OrderLines[UnitPrice],OrderLines[Qty],OrderLines[DiscountPct],--(OrderLines[OrderID] = OrderLines[[#This Row],[OrderID]]))&gt;40,"High Discount","Ok")</f>
        <v>Ok</v>
      </c>
      <c r="P565">
        <f>OrderLines[[#This Row],[UnitCost]]*OrderLines[[#This Row],[Qty]]</f>
        <v>29.14</v>
      </c>
      <c r="Q565" s="8">
        <f>OrderLines[[#This Row],[LineNetAmount]]-OrderLines[[#This Row],[Food Cost]]</f>
        <v>27.93</v>
      </c>
    </row>
    <row r="566" spans="1:17" x14ac:dyDescent="0.3">
      <c r="A566" t="s">
        <v>259</v>
      </c>
      <c r="B566" t="s">
        <v>418</v>
      </c>
      <c r="C566">
        <v>1</v>
      </c>
      <c r="D566" cm="1">
        <f t="array" ref="D566">VLOOKUP(OrderLines[[#This Row],[SKU]:[SKU]],Menu[],MATCH(OrderLines[[#Headers],[UnitPrice]],Menu[#Headers],0),FALSE)</f>
        <v>39.950000000000003</v>
      </c>
      <c r="E566" cm="1">
        <f t="array" ref="E566">VLOOKUP(OrderLines[[#This Row],[SKU]:[SKU]],Menu[],MATCH(OrderLines[[#Headers],[UnitCost]],Menu[#Headers],0),FALSE)</f>
        <v>15.51</v>
      </c>
      <c r="F566" t="str" cm="1">
        <f t="array" ref="F566">VLOOKUP(OrderLines[[#This Row],[SKU]:[SKU]],Menu[],MATCH(OrderLines[[#Headers],[Category]],Menu[#Headers],0),FALSE)</f>
        <v>Snack</v>
      </c>
      <c r="G566" t="str" cm="1">
        <f t="array" ref="G566">_xlfn.TEXTJOIN("+",TRUE,_xlfn._xlws.SORT(_xlfn.UNIQUE(_xlfn._xlws.FILTER(OrderLines[Category],OrderLines[OrderID]=OrderLines[[#This Row],[OrderID]]))))</f>
        <v>Beverage+Dessert+Snack</v>
      </c>
      <c r="H566" s="2" cm="1">
        <f t="array" ref="H566">INT(VLOOKUP(OrderLines[[#This Row],[OrderID]:[OrderID]],Orders[],MATCH(OrderLines[[#Headers],[OrderDateTime]],Orders[#Headers],0),FALSE))</f>
        <v>45874</v>
      </c>
      <c r="I566" t="str" cm="1">
        <f t="array" ref="I566">VLOOKUP(OrderLines[[#This Row],[OrderID]:[OrderID]],Orders[],MATCH(OrderLines[[#Headers],[Branch]],Orders[#Headers],0),FALSE)</f>
        <v>Head Office Café</v>
      </c>
      <c r="J566" cm="1">
        <f t="array" ref="J566">VLOOKUP(OrderLines[[#This Row],[OrderID]:[OrderID]],Orders[],MATCH(OrderLines[[#Headers],[DiscountPct]],Orders[#Headers],0),FALSE)</f>
        <v>0.02</v>
      </c>
      <c r="K566" t="str" cm="1">
        <f t="array" ref="K566">VLOOKUP(OrderLines[[#This Row],[OrderID]:[OrderID]],Orders[],MATCH(OrderLines[[#Headers],[PaymentType]],Orders[#Headers],0),FALSE)</f>
        <v>Card</v>
      </c>
      <c r="L566" t="str" cm="1">
        <f t="array" ref="L566">VLOOKUP(OrderLines[[#This Row],[OrderID]:[OrderID]],Orders[],MATCH(OrderLines[[#Headers],[Shift]],Orders[#Headers],0),FALSE)</f>
        <v>Dinner</v>
      </c>
      <c r="M566" s="8">
        <f>(OrderLines[[#This Row],[Qty]]*OrderLines[[#This Row],[UnitPrice]])*(1-OrderLines[[#This Row],[DiscountPct]])</f>
        <v>39.151000000000003</v>
      </c>
      <c r="N566" t="str">
        <f>IF(AND(COUNTIFS(OrderLines[OrderID],OrderLines[[#This Row],[OrderID]],OrderLines[Category],"Hot Meal"),COUNTIFS(OrderLines[OrderID],OrderLines[[#This Row],[OrderID]],OrderLines[Category],"Beverage")),"Combo","Single")</f>
        <v>Single</v>
      </c>
      <c r="O566" s="8" t="str" cm="1">
        <f t="array" ref="O566">IF(SUMPRODUCT(OrderLines[UnitPrice],OrderLines[Qty],OrderLines[DiscountPct],--(OrderLines[OrderID] = OrderLines[[#This Row],[OrderID]]))&gt;40,"High Discount","Ok")</f>
        <v>Ok</v>
      </c>
      <c r="P566">
        <f>OrderLines[[#This Row],[UnitCost]]*OrderLines[[#This Row],[Qty]]</f>
        <v>15.51</v>
      </c>
      <c r="Q566" s="8">
        <f>OrderLines[[#This Row],[LineNetAmount]]-OrderLines[[#This Row],[Food Cost]]</f>
        <v>23.641000000000005</v>
      </c>
    </row>
    <row r="567" spans="1:17" x14ac:dyDescent="0.3">
      <c r="A567" t="s">
        <v>259</v>
      </c>
      <c r="B567" t="s">
        <v>410</v>
      </c>
      <c r="C567">
        <v>2</v>
      </c>
      <c r="D567" cm="1">
        <f t="array" ref="D567">VLOOKUP(OrderLines[[#This Row],[SKU]:[SKU]],Menu[],MATCH(OrderLines[[#Headers],[UnitPrice]],Menu[#Headers],0),FALSE)</f>
        <v>20.11</v>
      </c>
      <c r="E567" cm="1">
        <f t="array" ref="E567">VLOOKUP(OrderLines[[#This Row],[SKU]:[SKU]],Menu[],MATCH(OrderLines[[#Headers],[UnitCost]],Menu[#Headers],0),FALSE)</f>
        <v>8</v>
      </c>
      <c r="F567" t="str" cm="1">
        <f t="array" ref="F567">VLOOKUP(OrderLines[[#This Row],[SKU]:[SKU]],Menu[],MATCH(OrderLines[[#Headers],[Category]],Menu[#Headers],0),FALSE)</f>
        <v>Beverage</v>
      </c>
      <c r="G567" t="str" cm="1">
        <f t="array" ref="G567">_xlfn.TEXTJOIN("+",TRUE,_xlfn._xlws.SORT(_xlfn.UNIQUE(_xlfn._xlws.FILTER(OrderLines[Category],OrderLines[OrderID]=OrderLines[[#This Row],[OrderID]]))))</f>
        <v>Beverage+Dessert+Snack</v>
      </c>
      <c r="H567" s="2" cm="1">
        <f t="array" ref="H567">INT(VLOOKUP(OrderLines[[#This Row],[OrderID]:[OrderID]],Orders[],MATCH(OrderLines[[#Headers],[OrderDateTime]],Orders[#Headers],0),FALSE))</f>
        <v>45874</v>
      </c>
      <c r="I567" t="str" cm="1">
        <f t="array" ref="I567">VLOOKUP(OrderLines[[#This Row],[OrderID]:[OrderID]],Orders[],MATCH(OrderLines[[#Headers],[Branch]],Orders[#Headers],0),FALSE)</f>
        <v>Head Office Café</v>
      </c>
      <c r="J567" cm="1">
        <f t="array" ref="J567">VLOOKUP(OrderLines[[#This Row],[OrderID]:[OrderID]],Orders[],MATCH(OrderLines[[#Headers],[DiscountPct]],Orders[#Headers],0),FALSE)</f>
        <v>0.02</v>
      </c>
      <c r="K567" t="str" cm="1">
        <f t="array" ref="K567">VLOOKUP(OrderLines[[#This Row],[OrderID]:[OrderID]],Orders[],MATCH(OrderLines[[#Headers],[PaymentType]],Orders[#Headers],0),FALSE)</f>
        <v>Card</v>
      </c>
      <c r="L567" t="str" cm="1">
        <f t="array" ref="L567">VLOOKUP(OrderLines[[#This Row],[OrderID]:[OrderID]],Orders[],MATCH(OrderLines[[#Headers],[Shift]],Orders[#Headers],0),FALSE)</f>
        <v>Dinner</v>
      </c>
      <c r="M567" s="8">
        <f>(OrderLines[[#This Row],[Qty]]*OrderLines[[#This Row],[UnitPrice]])*(1-OrderLines[[#This Row],[DiscountPct]])</f>
        <v>39.415599999999998</v>
      </c>
      <c r="N567" t="str">
        <f>IF(AND(COUNTIFS(OrderLines[OrderID],OrderLines[[#This Row],[OrderID]],OrderLines[Category],"Hot Meal"),COUNTIFS(OrderLines[OrderID],OrderLines[[#This Row],[OrderID]],OrderLines[Category],"Beverage")),"Combo","Single")</f>
        <v>Single</v>
      </c>
      <c r="O567" s="8" t="str" cm="1">
        <f t="array" ref="O567">IF(SUMPRODUCT(OrderLines[UnitPrice],OrderLines[Qty],OrderLines[DiscountPct],--(OrderLines[OrderID] = OrderLines[[#This Row],[OrderID]]))&gt;40,"High Discount","Ok")</f>
        <v>Ok</v>
      </c>
      <c r="P567">
        <f>OrderLines[[#This Row],[UnitCost]]*OrderLines[[#This Row],[Qty]]</f>
        <v>16</v>
      </c>
      <c r="Q567" s="8">
        <f>OrderLines[[#This Row],[LineNetAmount]]-OrderLines[[#This Row],[Food Cost]]</f>
        <v>23.415599999999998</v>
      </c>
    </row>
    <row r="568" spans="1:17" x14ac:dyDescent="0.3">
      <c r="A568" t="s">
        <v>259</v>
      </c>
      <c r="B568" t="s">
        <v>402</v>
      </c>
      <c r="C568">
        <v>2</v>
      </c>
      <c r="D568" cm="1">
        <f t="array" ref="D568">VLOOKUP(OrderLines[[#This Row],[SKU]:[SKU]],Menu[],MATCH(OrderLines[[#Headers],[UnitPrice]],Menu[#Headers],0),FALSE)</f>
        <v>30.34</v>
      </c>
      <c r="E568" cm="1">
        <f t="array" ref="E568">VLOOKUP(OrderLines[[#This Row],[SKU]:[SKU]],Menu[],MATCH(OrderLines[[#Headers],[UnitCost]],Menu[#Headers],0),FALSE)</f>
        <v>14.18</v>
      </c>
      <c r="F568" t="str" cm="1">
        <f t="array" ref="F568">VLOOKUP(OrderLines[[#This Row],[SKU]:[SKU]],Menu[],MATCH(OrderLines[[#Headers],[Category]],Menu[#Headers],0),FALSE)</f>
        <v>Beverage</v>
      </c>
      <c r="G568" t="str" cm="1">
        <f t="array" ref="G568">_xlfn.TEXTJOIN("+",TRUE,_xlfn._xlws.SORT(_xlfn.UNIQUE(_xlfn._xlws.FILTER(OrderLines[Category],OrderLines[OrderID]=OrderLines[[#This Row],[OrderID]]))))</f>
        <v>Beverage+Dessert+Snack</v>
      </c>
      <c r="H568" s="2" cm="1">
        <f t="array" ref="H568">INT(VLOOKUP(OrderLines[[#This Row],[OrderID]:[OrderID]],Orders[],MATCH(OrderLines[[#Headers],[OrderDateTime]],Orders[#Headers],0),FALSE))</f>
        <v>45874</v>
      </c>
      <c r="I568" t="str" cm="1">
        <f t="array" ref="I568">VLOOKUP(OrderLines[[#This Row],[OrderID]:[OrderID]],Orders[],MATCH(OrderLines[[#Headers],[Branch]],Orders[#Headers],0),FALSE)</f>
        <v>Head Office Café</v>
      </c>
      <c r="J568" cm="1">
        <f t="array" ref="J568">VLOOKUP(OrderLines[[#This Row],[OrderID]:[OrderID]],Orders[],MATCH(OrderLines[[#Headers],[DiscountPct]],Orders[#Headers],0),FALSE)</f>
        <v>0.02</v>
      </c>
      <c r="K568" t="str" cm="1">
        <f t="array" ref="K568">VLOOKUP(OrderLines[[#This Row],[OrderID]:[OrderID]],Orders[],MATCH(OrderLines[[#Headers],[PaymentType]],Orders[#Headers],0),FALSE)</f>
        <v>Card</v>
      </c>
      <c r="L568" t="str" cm="1">
        <f t="array" ref="L568">VLOOKUP(OrderLines[[#This Row],[OrderID]:[OrderID]],Orders[],MATCH(OrderLines[[#Headers],[Shift]],Orders[#Headers],0),FALSE)</f>
        <v>Dinner</v>
      </c>
      <c r="M568" s="8">
        <f>(OrderLines[[#This Row],[Qty]]*OrderLines[[#This Row],[UnitPrice]])*(1-OrderLines[[#This Row],[DiscountPct]])</f>
        <v>59.4664</v>
      </c>
      <c r="N568" t="str">
        <f>IF(AND(COUNTIFS(OrderLines[OrderID],OrderLines[[#This Row],[OrderID]],OrderLines[Category],"Hot Meal"),COUNTIFS(OrderLines[OrderID],OrderLines[[#This Row],[OrderID]],OrderLines[Category],"Beverage")),"Combo","Single")</f>
        <v>Single</v>
      </c>
      <c r="O568" s="8" t="str" cm="1">
        <f t="array" ref="O568">IF(SUMPRODUCT(OrderLines[UnitPrice],OrderLines[Qty],OrderLines[DiscountPct],--(OrderLines[OrderID] = OrderLines[[#This Row],[OrderID]]))&gt;40,"High Discount","Ok")</f>
        <v>Ok</v>
      </c>
      <c r="P568">
        <f>OrderLines[[#This Row],[UnitCost]]*OrderLines[[#This Row],[Qty]]</f>
        <v>28.36</v>
      </c>
      <c r="Q568" s="8">
        <f>OrderLines[[#This Row],[LineNetAmount]]-OrderLines[[#This Row],[Food Cost]]</f>
        <v>31.106400000000001</v>
      </c>
    </row>
    <row r="569" spans="1:17" x14ac:dyDescent="0.3">
      <c r="A569" t="s">
        <v>259</v>
      </c>
      <c r="B569" t="s">
        <v>413</v>
      </c>
      <c r="C569">
        <v>3</v>
      </c>
      <c r="D569" cm="1">
        <f t="array" ref="D569">VLOOKUP(OrderLines[[#This Row],[SKU]:[SKU]],Menu[],MATCH(OrderLines[[#Headers],[UnitPrice]],Menu[#Headers],0),FALSE)</f>
        <v>54.2</v>
      </c>
      <c r="E569" cm="1">
        <f t="array" ref="E569">VLOOKUP(OrderLines[[#This Row],[SKU]:[SKU]],Menu[],MATCH(OrderLines[[#Headers],[UnitCost]],Menu[#Headers],0),FALSE)</f>
        <v>21.95</v>
      </c>
      <c r="F569" t="str" cm="1">
        <f t="array" ref="F569">VLOOKUP(OrderLines[[#This Row],[SKU]:[SKU]],Menu[],MATCH(OrderLines[[#Headers],[Category]],Menu[#Headers],0),FALSE)</f>
        <v>Dessert</v>
      </c>
      <c r="G569" t="str" cm="1">
        <f t="array" ref="G569">_xlfn.TEXTJOIN("+",TRUE,_xlfn._xlws.SORT(_xlfn.UNIQUE(_xlfn._xlws.FILTER(OrderLines[Category],OrderLines[OrderID]=OrderLines[[#This Row],[OrderID]]))))</f>
        <v>Beverage+Dessert+Snack</v>
      </c>
      <c r="H569" s="2" cm="1">
        <f t="array" ref="H569">INT(VLOOKUP(OrderLines[[#This Row],[OrderID]:[OrderID]],Orders[],MATCH(OrderLines[[#Headers],[OrderDateTime]],Orders[#Headers],0),FALSE))</f>
        <v>45874</v>
      </c>
      <c r="I569" t="str" cm="1">
        <f t="array" ref="I569">VLOOKUP(OrderLines[[#This Row],[OrderID]:[OrderID]],Orders[],MATCH(OrderLines[[#Headers],[Branch]],Orders[#Headers],0),FALSE)</f>
        <v>Head Office Café</v>
      </c>
      <c r="J569" cm="1">
        <f t="array" ref="J569">VLOOKUP(OrderLines[[#This Row],[OrderID]:[OrderID]],Orders[],MATCH(OrderLines[[#Headers],[DiscountPct]],Orders[#Headers],0),FALSE)</f>
        <v>0.02</v>
      </c>
      <c r="K569" t="str" cm="1">
        <f t="array" ref="K569">VLOOKUP(OrderLines[[#This Row],[OrderID]:[OrderID]],Orders[],MATCH(OrderLines[[#Headers],[PaymentType]],Orders[#Headers],0),FALSE)</f>
        <v>Card</v>
      </c>
      <c r="L569" t="str" cm="1">
        <f t="array" ref="L569">VLOOKUP(OrderLines[[#This Row],[OrderID]:[OrderID]],Orders[],MATCH(OrderLines[[#Headers],[Shift]],Orders[#Headers],0),FALSE)</f>
        <v>Dinner</v>
      </c>
      <c r="M569" s="8">
        <f>(OrderLines[[#This Row],[Qty]]*OrderLines[[#This Row],[UnitPrice]])*(1-OrderLines[[#This Row],[DiscountPct]])</f>
        <v>159.34800000000001</v>
      </c>
      <c r="N569" t="str">
        <f>IF(AND(COUNTIFS(OrderLines[OrderID],OrderLines[[#This Row],[OrderID]],OrderLines[Category],"Hot Meal"),COUNTIFS(OrderLines[OrderID],OrderLines[[#This Row],[OrderID]],OrderLines[Category],"Beverage")),"Combo","Single")</f>
        <v>Single</v>
      </c>
      <c r="O569" s="8" t="str" cm="1">
        <f t="array" ref="O569">IF(SUMPRODUCT(OrderLines[UnitPrice],OrderLines[Qty],OrderLines[DiscountPct],--(OrderLines[OrderID] = OrderLines[[#This Row],[OrderID]]))&gt;40,"High Discount","Ok")</f>
        <v>Ok</v>
      </c>
      <c r="P569">
        <f>OrderLines[[#This Row],[UnitCost]]*OrderLines[[#This Row],[Qty]]</f>
        <v>65.849999999999994</v>
      </c>
      <c r="Q569" s="8">
        <f>OrderLines[[#This Row],[LineNetAmount]]-OrderLines[[#This Row],[Food Cost]]</f>
        <v>93.498000000000019</v>
      </c>
    </row>
    <row r="570" spans="1:17" x14ac:dyDescent="0.3">
      <c r="A570" t="s">
        <v>260</v>
      </c>
      <c r="B570" t="s">
        <v>413</v>
      </c>
      <c r="C570">
        <v>2</v>
      </c>
      <c r="D570" cm="1">
        <f t="array" ref="D570">VLOOKUP(OrderLines[[#This Row],[SKU]:[SKU]],Menu[],MATCH(OrderLines[[#Headers],[UnitPrice]],Menu[#Headers],0),FALSE)</f>
        <v>54.2</v>
      </c>
      <c r="E570" cm="1">
        <f t="array" ref="E570">VLOOKUP(OrderLines[[#This Row],[SKU]:[SKU]],Menu[],MATCH(OrderLines[[#Headers],[UnitCost]],Menu[#Headers],0),FALSE)</f>
        <v>21.95</v>
      </c>
      <c r="F570" t="str" cm="1">
        <f t="array" ref="F570">VLOOKUP(OrderLines[[#This Row],[SKU]:[SKU]],Menu[],MATCH(OrderLines[[#Headers],[Category]],Menu[#Headers],0),FALSE)</f>
        <v>Dessert</v>
      </c>
      <c r="G570" t="str" cm="1">
        <f t="array" ref="G570">_xlfn.TEXTJOIN("+",TRUE,_xlfn._xlws.SORT(_xlfn.UNIQUE(_xlfn._xlws.FILTER(OrderLines[Category],OrderLines[OrderID]=OrderLines[[#This Row],[OrderID]]))))</f>
        <v>Beverage+Dessert</v>
      </c>
      <c r="H570" s="2" cm="1">
        <f t="array" ref="H570">INT(VLOOKUP(OrderLines[[#This Row],[OrderID]:[OrderID]],Orders[],MATCH(OrderLines[[#Headers],[OrderDateTime]],Orders[#Headers],0),FALSE))</f>
        <v>45877</v>
      </c>
      <c r="I570" t="str" cm="1">
        <f t="array" ref="I570">VLOOKUP(OrderLines[[#This Row],[OrderID]:[OrderID]],Orders[],MATCH(OrderLines[[#Headers],[Branch]],Orders[#Headers],0),FALSE)</f>
        <v>Plant 2 Canteen</v>
      </c>
      <c r="J570" cm="1">
        <f t="array" ref="J570">VLOOKUP(OrderLines[[#This Row],[OrderID]:[OrderID]],Orders[],MATCH(OrderLines[[#Headers],[DiscountPct]],Orders[#Headers],0),FALSE)</f>
        <v>0.05</v>
      </c>
      <c r="K570" t="str" cm="1">
        <f t="array" ref="K570">VLOOKUP(OrderLines[[#This Row],[OrderID]:[OrderID]],Orders[],MATCH(OrderLines[[#Headers],[PaymentType]],Orders[#Headers],0),FALSE)</f>
        <v>Cash</v>
      </c>
      <c r="L570" t="str" cm="1">
        <f t="array" ref="L570">VLOOKUP(OrderLines[[#This Row],[OrderID]:[OrderID]],Orders[],MATCH(OrderLines[[#Headers],[Shift]],Orders[#Headers],0),FALSE)</f>
        <v>Dinner</v>
      </c>
      <c r="M570" s="8">
        <f>(OrderLines[[#This Row],[Qty]]*OrderLines[[#This Row],[UnitPrice]])*(1-OrderLines[[#This Row],[DiscountPct]])</f>
        <v>102.98</v>
      </c>
      <c r="N570" t="str">
        <f>IF(AND(COUNTIFS(OrderLines[OrderID],OrderLines[[#This Row],[OrderID]],OrderLines[Category],"Hot Meal"),COUNTIFS(OrderLines[OrderID],OrderLines[[#This Row],[OrderID]],OrderLines[Category],"Beverage")),"Combo","Single")</f>
        <v>Single</v>
      </c>
      <c r="O570" s="8" t="str" cm="1">
        <f t="array" ref="O570">IF(SUMPRODUCT(OrderLines[UnitPrice],OrderLines[Qty],OrderLines[DiscountPct],--(OrderLines[OrderID] = OrderLines[[#This Row],[OrderID]]))&gt;40,"High Discount","Ok")</f>
        <v>Ok</v>
      </c>
      <c r="P570">
        <f>OrderLines[[#This Row],[UnitCost]]*OrderLines[[#This Row],[Qty]]</f>
        <v>43.9</v>
      </c>
      <c r="Q570" s="8">
        <f>OrderLines[[#This Row],[LineNetAmount]]-OrderLines[[#This Row],[Food Cost]]</f>
        <v>59.080000000000005</v>
      </c>
    </row>
    <row r="571" spans="1:17" x14ac:dyDescent="0.3">
      <c r="A571" t="s">
        <v>260</v>
      </c>
      <c r="B571" t="s">
        <v>411</v>
      </c>
      <c r="C571">
        <v>1</v>
      </c>
      <c r="D571" cm="1">
        <f t="array" ref="D571">VLOOKUP(OrderLines[[#This Row],[SKU]:[SKU]],Menu[],MATCH(OrderLines[[#Headers],[UnitPrice]],Menu[#Headers],0),FALSE)</f>
        <v>22.2</v>
      </c>
      <c r="E571" cm="1">
        <f t="array" ref="E571">VLOOKUP(OrderLines[[#This Row],[SKU]:[SKU]],Menu[],MATCH(OrderLines[[#Headers],[UnitCost]],Menu[#Headers],0),FALSE)</f>
        <v>9.3800000000000008</v>
      </c>
      <c r="F571" t="str" cm="1">
        <f t="array" ref="F571">VLOOKUP(OrderLines[[#This Row],[SKU]:[SKU]],Menu[],MATCH(OrderLines[[#Headers],[Category]],Menu[#Headers],0),FALSE)</f>
        <v>Beverage</v>
      </c>
      <c r="G571" t="str" cm="1">
        <f t="array" ref="G571">_xlfn.TEXTJOIN("+",TRUE,_xlfn._xlws.SORT(_xlfn.UNIQUE(_xlfn._xlws.FILTER(OrderLines[Category],OrderLines[OrderID]=OrderLines[[#This Row],[OrderID]]))))</f>
        <v>Beverage+Dessert</v>
      </c>
      <c r="H571" s="2" cm="1">
        <f t="array" ref="H571">INT(VLOOKUP(OrderLines[[#This Row],[OrderID]:[OrderID]],Orders[],MATCH(OrderLines[[#Headers],[OrderDateTime]],Orders[#Headers],0),FALSE))</f>
        <v>45877</v>
      </c>
      <c r="I571" t="str" cm="1">
        <f t="array" ref="I571">VLOOKUP(OrderLines[[#This Row],[OrderID]:[OrderID]],Orders[],MATCH(OrderLines[[#Headers],[Branch]],Orders[#Headers],0),FALSE)</f>
        <v>Plant 2 Canteen</v>
      </c>
      <c r="J571" cm="1">
        <f t="array" ref="J571">VLOOKUP(OrderLines[[#This Row],[OrderID]:[OrderID]],Orders[],MATCH(OrderLines[[#Headers],[DiscountPct]],Orders[#Headers],0),FALSE)</f>
        <v>0.05</v>
      </c>
      <c r="K571" t="str" cm="1">
        <f t="array" ref="K571">VLOOKUP(OrderLines[[#This Row],[OrderID]:[OrderID]],Orders[],MATCH(OrderLines[[#Headers],[PaymentType]],Orders[#Headers],0),FALSE)</f>
        <v>Cash</v>
      </c>
      <c r="L571" t="str" cm="1">
        <f t="array" ref="L571">VLOOKUP(OrderLines[[#This Row],[OrderID]:[OrderID]],Orders[],MATCH(OrderLines[[#Headers],[Shift]],Orders[#Headers],0),FALSE)</f>
        <v>Dinner</v>
      </c>
      <c r="M571" s="8">
        <f>(OrderLines[[#This Row],[Qty]]*OrderLines[[#This Row],[UnitPrice]])*(1-OrderLines[[#This Row],[DiscountPct]])</f>
        <v>21.09</v>
      </c>
      <c r="N571" t="str">
        <f>IF(AND(COUNTIFS(OrderLines[OrderID],OrderLines[[#This Row],[OrderID]],OrderLines[Category],"Hot Meal"),COUNTIFS(OrderLines[OrderID],OrderLines[[#This Row],[OrderID]],OrderLines[Category],"Beverage")),"Combo","Single")</f>
        <v>Single</v>
      </c>
      <c r="O571" s="8" t="str" cm="1">
        <f t="array" ref="O571">IF(SUMPRODUCT(OrderLines[UnitPrice],OrderLines[Qty],OrderLines[DiscountPct],--(OrderLines[OrderID] = OrderLines[[#This Row],[OrderID]]))&gt;40,"High Discount","Ok")</f>
        <v>Ok</v>
      </c>
      <c r="P571">
        <f>OrderLines[[#This Row],[UnitCost]]*OrderLines[[#This Row],[Qty]]</f>
        <v>9.3800000000000008</v>
      </c>
      <c r="Q571" s="8">
        <f>OrderLines[[#This Row],[LineNetAmount]]-OrderLines[[#This Row],[Food Cost]]</f>
        <v>11.709999999999999</v>
      </c>
    </row>
    <row r="572" spans="1:17" x14ac:dyDescent="0.3">
      <c r="A572" t="s">
        <v>260</v>
      </c>
      <c r="B572" t="s">
        <v>409</v>
      </c>
      <c r="C572">
        <v>2</v>
      </c>
      <c r="D572" cm="1">
        <f t="array" ref="D572">VLOOKUP(OrderLines[[#This Row],[SKU]:[SKU]],Menu[],MATCH(OrderLines[[#Headers],[UnitPrice]],Menu[#Headers],0),FALSE)</f>
        <v>28.43</v>
      </c>
      <c r="E572" cm="1">
        <f t="array" ref="E572">VLOOKUP(OrderLines[[#This Row],[SKU]:[SKU]],Menu[],MATCH(OrderLines[[#Headers],[UnitCost]],Menu[#Headers],0),FALSE)</f>
        <v>13.89</v>
      </c>
      <c r="F572" t="str" cm="1">
        <f t="array" ref="F572">VLOOKUP(OrderLines[[#This Row],[SKU]:[SKU]],Menu[],MATCH(OrderLines[[#Headers],[Category]],Menu[#Headers],0),FALSE)</f>
        <v>Beverage</v>
      </c>
      <c r="G572" t="str" cm="1">
        <f t="array" ref="G572">_xlfn.TEXTJOIN("+",TRUE,_xlfn._xlws.SORT(_xlfn.UNIQUE(_xlfn._xlws.FILTER(OrderLines[Category],OrderLines[OrderID]=OrderLines[[#This Row],[OrderID]]))))</f>
        <v>Beverage+Dessert</v>
      </c>
      <c r="H572" s="2" cm="1">
        <f t="array" ref="H572">INT(VLOOKUP(OrderLines[[#This Row],[OrderID]:[OrderID]],Orders[],MATCH(OrderLines[[#Headers],[OrderDateTime]],Orders[#Headers],0),FALSE))</f>
        <v>45877</v>
      </c>
      <c r="I572" t="str" cm="1">
        <f t="array" ref="I572">VLOOKUP(OrderLines[[#This Row],[OrderID]:[OrderID]],Orders[],MATCH(OrderLines[[#Headers],[Branch]],Orders[#Headers],0),FALSE)</f>
        <v>Plant 2 Canteen</v>
      </c>
      <c r="J572" cm="1">
        <f t="array" ref="J572">VLOOKUP(OrderLines[[#This Row],[OrderID]:[OrderID]],Orders[],MATCH(OrderLines[[#Headers],[DiscountPct]],Orders[#Headers],0),FALSE)</f>
        <v>0.05</v>
      </c>
      <c r="K572" t="str" cm="1">
        <f t="array" ref="K572">VLOOKUP(OrderLines[[#This Row],[OrderID]:[OrderID]],Orders[],MATCH(OrderLines[[#Headers],[PaymentType]],Orders[#Headers],0),FALSE)</f>
        <v>Cash</v>
      </c>
      <c r="L572" t="str" cm="1">
        <f t="array" ref="L572">VLOOKUP(OrderLines[[#This Row],[OrderID]:[OrderID]],Orders[],MATCH(OrderLines[[#Headers],[Shift]],Orders[#Headers],0),FALSE)</f>
        <v>Dinner</v>
      </c>
      <c r="M572" s="8">
        <f>(OrderLines[[#This Row],[Qty]]*OrderLines[[#This Row],[UnitPrice]])*(1-OrderLines[[#This Row],[DiscountPct]])</f>
        <v>54.016999999999996</v>
      </c>
      <c r="N572" t="str">
        <f>IF(AND(COUNTIFS(OrderLines[OrderID],OrderLines[[#This Row],[OrderID]],OrderLines[Category],"Hot Meal"),COUNTIFS(OrderLines[OrderID],OrderLines[[#This Row],[OrderID]],OrderLines[Category],"Beverage")),"Combo","Single")</f>
        <v>Single</v>
      </c>
      <c r="O572" s="8" t="str" cm="1">
        <f t="array" ref="O572">IF(SUMPRODUCT(OrderLines[UnitPrice],OrderLines[Qty],OrderLines[DiscountPct],--(OrderLines[OrderID] = OrderLines[[#This Row],[OrderID]]))&gt;40,"High Discount","Ok")</f>
        <v>Ok</v>
      </c>
      <c r="P572">
        <f>OrderLines[[#This Row],[UnitCost]]*OrderLines[[#This Row],[Qty]]</f>
        <v>27.78</v>
      </c>
      <c r="Q572" s="8">
        <f>OrderLines[[#This Row],[LineNetAmount]]-OrderLines[[#This Row],[Food Cost]]</f>
        <v>26.236999999999995</v>
      </c>
    </row>
    <row r="573" spans="1:17" x14ac:dyDescent="0.3">
      <c r="A573" t="s">
        <v>261</v>
      </c>
      <c r="B573" t="s">
        <v>401</v>
      </c>
      <c r="C573">
        <v>3</v>
      </c>
      <c r="D573" cm="1">
        <f t="array" ref="D573">VLOOKUP(OrderLines[[#This Row],[SKU]:[SKU]],Menu[],MATCH(OrderLines[[#Headers],[UnitPrice]],Menu[#Headers],0),FALSE)</f>
        <v>52.45</v>
      </c>
      <c r="E573" cm="1">
        <f t="array" ref="E573">VLOOKUP(OrderLines[[#This Row],[SKU]:[SKU]],Menu[],MATCH(OrderLines[[#Headers],[UnitCost]],Menu[#Headers],0),FALSE)</f>
        <v>25.8</v>
      </c>
      <c r="F573" t="str" cm="1">
        <f t="array" ref="F573">VLOOKUP(OrderLines[[#This Row],[SKU]:[SKU]],Menu[],MATCH(OrderLines[[#Headers],[Category]],Menu[#Headers],0),FALSE)</f>
        <v>Snack</v>
      </c>
      <c r="G573" t="str" cm="1">
        <f t="array" ref="G573">_xlfn.TEXTJOIN("+",TRUE,_xlfn._xlws.SORT(_xlfn.UNIQUE(_xlfn._xlws.FILTER(OrderLines[Category],OrderLines[OrderID]=OrderLines[[#This Row],[OrderID]]))))</f>
        <v>Snack</v>
      </c>
      <c r="H573" s="2" cm="1">
        <f t="array" ref="H573">INT(VLOOKUP(OrderLines[[#This Row],[OrderID]:[OrderID]],Orders[],MATCH(OrderLines[[#Headers],[OrderDateTime]],Orders[#Headers],0),FALSE))</f>
        <v>45848</v>
      </c>
      <c r="I573" t="str" cm="1">
        <f t="array" ref="I573">VLOOKUP(OrderLines[[#This Row],[OrderID]:[OrderID]],Orders[],MATCH(OrderLines[[#Headers],[Branch]],Orders[#Headers],0),FALSE)</f>
        <v>Head Office Café</v>
      </c>
      <c r="J573" cm="1">
        <f t="array" ref="J573">VLOOKUP(OrderLines[[#This Row],[OrderID]:[OrderID]],Orders[],MATCH(OrderLines[[#Headers],[DiscountPct]],Orders[#Headers],0),FALSE)</f>
        <v>0.01</v>
      </c>
      <c r="K573" t="str" cm="1">
        <f t="array" ref="K573">VLOOKUP(OrderLines[[#This Row],[OrderID]:[OrderID]],Orders[],MATCH(OrderLines[[#Headers],[PaymentType]],Orders[#Headers],0),FALSE)</f>
        <v>UPI</v>
      </c>
      <c r="L573" t="str" cm="1">
        <f t="array" ref="L573">VLOOKUP(OrderLines[[#This Row],[OrderID]:[OrderID]],Orders[],MATCH(OrderLines[[#Headers],[Shift]],Orders[#Headers],0),FALSE)</f>
        <v>Breakfast</v>
      </c>
      <c r="M573" s="8">
        <f>(OrderLines[[#This Row],[Qty]]*OrderLines[[#This Row],[UnitPrice]])*(1-OrderLines[[#This Row],[DiscountPct]])</f>
        <v>155.77650000000003</v>
      </c>
      <c r="N573" t="str">
        <f>IF(AND(COUNTIFS(OrderLines[OrderID],OrderLines[[#This Row],[OrderID]],OrderLines[Category],"Hot Meal"),COUNTIFS(OrderLines[OrderID],OrderLines[[#This Row],[OrderID]],OrderLines[Category],"Beverage")),"Combo","Single")</f>
        <v>Single</v>
      </c>
      <c r="O573" s="8" t="str" cm="1">
        <f t="array" ref="O573">IF(SUMPRODUCT(OrderLines[UnitPrice],OrderLines[Qty],OrderLines[DiscountPct],--(OrderLines[OrderID] = OrderLines[[#This Row],[OrderID]]))&gt;40,"High Discount","Ok")</f>
        <v>Ok</v>
      </c>
      <c r="P573">
        <f>OrderLines[[#This Row],[UnitCost]]*OrderLines[[#This Row],[Qty]]</f>
        <v>77.400000000000006</v>
      </c>
      <c r="Q573" s="8">
        <f>OrderLines[[#This Row],[LineNetAmount]]-OrderLines[[#This Row],[Food Cost]]</f>
        <v>78.376500000000021</v>
      </c>
    </row>
    <row r="574" spans="1:17" x14ac:dyDescent="0.3">
      <c r="A574" t="s">
        <v>262</v>
      </c>
      <c r="B574" t="s">
        <v>408</v>
      </c>
      <c r="C574">
        <v>1</v>
      </c>
      <c r="D574" cm="1">
        <f t="array" ref="D574">VLOOKUP(OrderLines[[#This Row],[SKU]:[SKU]],Menu[],MATCH(OrderLines[[#Headers],[UnitPrice]],Menu[#Headers],0),FALSE)</f>
        <v>70.540000000000006</v>
      </c>
      <c r="E574" cm="1">
        <f t="array" ref="E574">VLOOKUP(OrderLines[[#This Row],[SKU]:[SKU]],Menu[],MATCH(OrderLines[[#Headers],[UnitCost]],Menu[#Headers],0),FALSE)</f>
        <v>35.81</v>
      </c>
      <c r="F574" t="str" cm="1">
        <f t="array" ref="F574">VLOOKUP(OrderLines[[#This Row],[SKU]:[SKU]],Menu[],MATCH(OrderLines[[#Headers],[Category]],Menu[#Headers],0),FALSE)</f>
        <v>Snack</v>
      </c>
      <c r="G574" t="str" cm="1">
        <f t="array" ref="G574">_xlfn.TEXTJOIN("+",TRUE,_xlfn._xlws.SORT(_xlfn.UNIQUE(_xlfn._xlws.FILTER(OrderLines[Category],OrderLines[OrderID]=OrderLines[[#This Row],[OrderID]]))))</f>
        <v>Beverage+Hot Meal+Snack</v>
      </c>
      <c r="H574" s="2" cm="1">
        <f t="array" ref="H574">INT(VLOOKUP(OrderLines[[#This Row],[OrderID]:[OrderID]],Orders[],MATCH(OrderLines[[#Headers],[OrderDateTime]],Orders[#Headers],0),FALSE))</f>
        <v>45844</v>
      </c>
      <c r="I574" t="str" cm="1">
        <f t="array" ref="I574">VLOOKUP(OrderLines[[#This Row],[OrderID]:[OrderID]],Orders[],MATCH(OrderLines[[#Headers],[Branch]],Orders[#Headers],0),FALSE)</f>
        <v>Plant 2 Canteen</v>
      </c>
      <c r="J574" cm="1">
        <f t="array" ref="J574">VLOOKUP(OrderLines[[#This Row],[OrderID]:[OrderID]],Orders[],MATCH(OrderLines[[#Headers],[DiscountPct]],Orders[#Headers],0),FALSE)</f>
        <v>0.13</v>
      </c>
      <c r="K574" t="str" cm="1">
        <f t="array" ref="K574">VLOOKUP(OrderLines[[#This Row],[OrderID]:[OrderID]],Orders[],MATCH(OrderLines[[#Headers],[PaymentType]],Orders[#Headers],0),FALSE)</f>
        <v>Cash</v>
      </c>
      <c r="L574" t="str" cm="1">
        <f t="array" ref="L574">VLOOKUP(OrderLines[[#This Row],[OrderID]:[OrderID]],Orders[],MATCH(OrderLines[[#Headers],[Shift]],Orders[#Headers],0),FALSE)</f>
        <v>Breakfast</v>
      </c>
      <c r="M574" s="8">
        <f>(OrderLines[[#This Row],[Qty]]*OrderLines[[#This Row],[UnitPrice]])*(1-OrderLines[[#This Row],[DiscountPct]])</f>
        <v>61.369800000000005</v>
      </c>
      <c r="N574" t="str">
        <f>IF(AND(COUNTIFS(OrderLines[OrderID],OrderLines[[#This Row],[OrderID]],OrderLines[Category],"Hot Meal"),COUNTIFS(OrderLines[OrderID],OrderLines[[#This Row],[OrderID]],OrderLines[Category],"Beverage")),"Combo","Single")</f>
        <v>Combo</v>
      </c>
      <c r="O574" s="8" t="str" cm="1">
        <f t="array" ref="O574">IF(SUMPRODUCT(OrderLines[UnitPrice],OrderLines[Qty],OrderLines[DiscountPct],--(OrderLines[OrderID] = OrderLines[[#This Row],[OrderID]]))&gt;40,"High Discount","Ok")</f>
        <v>High Discount</v>
      </c>
      <c r="P574">
        <f>OrderLines[[#This Row],[UnitCost]]*OrderLines[[#This Row],[Qty]]</f>
        <v>35.81</v>
      </c>
      <c r="Q574" s="8">
        <f>OrderLines[[#This Row],[LineNetAmount]]-OrderLines[[#This Row],[Food Cost]]</f>
        <v>25.559800000000003</v>
      </c>
    </row>
    <row r="575" spans="1:17" x14ac:dyDescent="0.3">
      <c r="A575" t="s">
        <v>262</v>
      </c>
      <c r="B575" t="s">
        <v>409</v>
      </c>
      <c r="C575">
        <v>2</v>
      </c>
      <c r="D575" cm="1">
        <f t="array" ref="D575">VLOOKUP(OrderLines[[#This Row],[SKU]:[SKU]],Menu[],MATCH(OrderLines[[#Headers],[UnitPrice]],Menu[#Headers],0),FALSE)</f>
        <v>28.43</v>
      </c>
      <c r="E575" cm="1">
        <f t="array" ref="E575">VLOOKUP(OrderLines[[#This Row],[SKU]:[SKU]],Menu[],MATCH(OrderLines[[#Headers],[UnitCost]],Menu[#Headers],0),FALSE)</f>
        <v>13.89</v>
      </c>
      <c r="F575" t="str" cm="1">
        <f t="array" ref="F575">VLOOKUP(OrderLines[[#This Row],[SKU]:[SKU]],Menu[],MATCH(OrderLines[[#Headers],[Category]],Menu[#Headers],0),FALSE)</f>
        <v>Beverage</v>
      </c>
      <c r="G575" t="str" cm="1">
        <f t="array" ref="G575">_xlfn.TEXTJOIN("+",TRUE,_xlfn._xlws.SORT(_xlfn.UNIQUE(_xlfn._xlws.FILTER(OrderLines[Category],OrderLines[OrderID]=OrderLines[[#This Row],[OrderID]]))))</f>
        <v>Beverage+Hot Meal+Snack</v>
      </c>
      <c r="H575" s="2" cm="1">
        <f t="array" ref="H575">INT(VLOOKUP(OrderLines[[#This Row],[OrderID]:[OrderID]],Orders[],MATCH(OrderLines[[#Headers],[OrderDateTime]],Orders[#Headers],0),FALSE))</f>
        <v>45844</v>
      </c>
      <c r="I575" t="str" cm="1">
        <f t="array" ref="I575">VLOOKUP(OrderLines[[#This Row],[OrderID]:[OrderID]],Orders[],MATCH(OrderLines[[#Headers],[Branch]],Orders[#Headers],0),FALSE)</f>
        <v>Plant 2 Canteen</v>
      </c>
      <c r="J575" cm="1">
        <f t="array" ref="J575">VLOOKUP(OrderLines[[#This Row],[OrderID]:[OrderID]],Orders[],MATCH(OrderLines[[#Headers],[DiscountPct]],Orders[#Headers],0),FALSE)</f>
        <v>0.13</v>
      </c>
      <c r="K575" t="str" cm="1">
        <f t="array" ref="K575">VLOOKUP(OrderLines[[#This Row],[OrderID]:[OrderID]],Orders[],MATCH(OrderLines[[#Headers],[PaymentType]],Orders[#Headers],0),FALSE)</f>
        <v>Cash</v>
      </c>
      <c r="L575" t="str" cm="1">
        <f t="array" ref="L575">VLOOKUP(OrderLines[[#This Row],[OrderID]:[OrderID]],Orders[],MATCH(OrderLines[[#Headers],[Shift]],Orders[#Headers],0),FALSE)</f>
        <v>Breakfast</v>
      </c>
      <c r="M575" s="8">
        <f>(OrderLines[[#This Row],[Qty]]*OrderLines[[#This Row],[UnitPrice]])*(1-OrderLines[[#This Row],[DiscountPct]])</f>
        <v>49.468199999999996</v>
      </c>
      <c r="N575" t="str">
        <f>IF(AND(COUNTIFS(OrderLines[OrderID],OrderLines[[#This Row],[OrderID]],OrderLines[Category],"Hot Meal"),COUNTIFS(OrderLines[OrderID],OrderLines[[#This Row],[OrderID]],OrderLines[Category],"Beverage")),"Combo","Single")</f>
        <v>Combo</v>
      </c>
      <c r="O575" s="8" t="str" cm="1">
        <f t="array" ref="O575">IF(SUMPRODUCT(OrderLines[UnitPrice],OrderLines[Qty],OrderLines[DiscountPct],--(OrderLines[OrderID] = OrderLines[[#This Row],[OrderID]]))&gt;40,"High Discount","Ok")</f>
        <v>High Discount</v>
      </c>
      <c r="P575">
        <f>OrderLines[[#This Row],[UnitCost]]*OrderLines[[#This Row],[Qty]]</f>
        <v>27.78</v>
      </c>
      <c r="Q575" s="8">
        <f>OrderLines[[#This Row],[LineNetAmount]]-OrderLines[[#This Row],[Food Cost]]</f>
        <v>21.688199999999995</v>
      </c>
    </row>
    <row r="576" spans="1:17" x14ac:dyDescent="0.3">
      <c r="A576" t="s">
        <v>262</v>
      </c>
      <c r="B576" t="s">
        <v>415</v>
      </c>
      <c r="C576">
        <v>3</v>
      </c>
      <c r="D576" cm="1">
        <f t="array" ref="D576">VLOOKUP(OrderLines[[#This Row],[SKU]:[SKU]],Menu[],MATCH(OrderLines[[#Headers],[UnitPrice]],Menu[#Headers],0),FALSE)</f>
        <v>256.91000000000003</v>
      </c>
      <c r="E576" cm="1">
        <f t="array" ref="E576">VLOOKUP(OrderLines[[#This Row],[SKU]:[SKU]],Menu[],MATCH(OrderLines[[#Headers],[UnitCost]],Menu[#Headers],0),FALSE)</f>
        <v>121.24</v>
      </c>
      <c r="F576" t="str" cm="1">
        <f t="array" ref="F576">VLOOKUP(OrderLines[[#This Row],[SKU]:[SKU]],Menu[],MATCH(OrderLines[[#Headers],[Category]],Menu[#Headers],0),FALSE)</f>
        <v>Hot Meal</v>
      </c>
      <c r="G576" t="str" cm="1">
        <f t="array" ref="G576">_xlfn.TEXTJOIN("+",TRUE,_xlfn._xlws.SORT(_xlfn.UNIQUE(_xlfn._xlws.FILTER(OrderLines[Category],OrderLines[OrderID]=OrderLines[[#This Row],[OrderID]]))))</f>
        <v>Beverage+Hot Meal+Snack</v>
      </c>
      <c r="H576" s="2" cm="1">
        <f t="array" ref="H576">INT(VLOOKUP(OrderLines[[#This Row],[OrderID]:[OrderID]],Orders[],MATCH(OrderLines[[#Headers],[OrderDateTime]],Orders[#Headers],0),FALSE))</f>
        <v>45844</v>
      </c>
      <c r="I576" t="str" cm="1">
        <f t="array" ref="I576">VLOOKUP(OrderLines[[#This Row],[OrderID]:[OrderID]],Orders[],MATCH(OrderLines[[#Headers],[Branch]],Orders[#Headers],0),FALSE)</f>
        <v>Plant 2 Canteen</v>
      </c>
      <c r="J576" cm="1">
        <f t="array" ref="J576">VLOOKUP(OrderLines[[#This Row],[OrderID]:[OrderID]],Orders[],MATCH(OrderLines[[#Headers],[DiscountPct]],Orders[#Headers],0),FALSE)</f>
        <v>0.13</v>
      </c>
      <c r="K576" t="str" cm="1">
        <f t="array" ref="K576">VLOOKUP(OrderLines[[#This Row],[OrderID]:[OrderID]],Orders[],MATCH(OrderLines[[#Headers],[PaymentType]],Orders[#Headers],0),FALSE)</f>
        <v>Cash</v>
      </c>
      <c r="L576" t="str" cm="1">
        <f t="array" ref="L576">VLOOKUP(OrderLines[[#This Row],[OrderID]:[OrderID]],Orders[],MATCH(OrderLines[[#Headers],[Shift]],Orders[#Headers],0),FALSE)</f>
        <v>Breakfast</v>
      </c>
      <c r="M576" s="8">
        <f>(OrderLines[[#This Row],[Qty]]*OrderLines[[#This Row],[UnitPrice]])*(1-OrderLines[[#This Row],[DiscountPct]])</f>
        <v>670.53510000000006</v>
      </c>
      <c r="N576" t="str">
        <f>IF(AND(COUNTIFS(OrderLines[OrderID],OrderLines[[#This Row],[OrderID]],OrderLines[Category],"Hot Meal"),COUNTIFS(OrderLines[OrderID],OrderLines[[#This Row],[OrderID]],OrderLines[Category],"Beverage")),"Combo","Single")</f>
        <v>Combo</v>
      </c>
      <c r="O576" s="8" t="str" cm="1">
        <f t="array" ref="O576">IF(SUMPRODUCT(OrderLines[UnitPrice],OrderLines[Qty],OrderLines[DiscountPct],--(OrderLines[OrderID] = OrderLines[[#This Row],[OrderID]]))&gt;40,"High Discount","Ok")</f>
        <v>High Discount</v>
      </c>
      <c r="P576">
        <f>OrderLines[[#This Row],[UnitCost]]*OrderLines[[#This Row],[Qty]]</f>
        <v>363.71999999999997</v>
      </c>
      <c r="Q576" s="8">
        <f>OrderLines[[#This Row],[LineNetAmount]]-OrderLines[[#This Row],[Food Cost]]</f>
        <v>306.81510000000009</v>
      </c>
    </row>
    <row r="577" spans="1:17" x14ac:dyDescent="0.3">
      <c r="A577" t="s">
        <v>262</v>
      </c>
      <c r="B577" t="s">
        <v>402</v>
      </c>
      <c r="C577">
        <v>2</v>
      </c>
      <c r="D577" cm="1">
        <f t="array" ref="D577">VLOOKUP(OrderLines[[#This Row],[SKU]:[SKU]],Menu[],MATCH(OrderLines[[#Headers],[UnitPrice]],Menu[#Headers],0),FALSE)</f>
        <v>30.34</v>
      </c>
      <c r="E577" cm="1">
        <f t="array" ref="E577">VLOOKUP(OrderLines[[#This Row],[SKU]:[SKU]],Menu[],MATCH(OrderLines[[#Headers],[UnitCost]],Menu[#Headers],0),FALSE)</f>
        <v>14.18</v>
      </c>
      <c r="F577" t="str" cm="1">
        <f t="array" ref="F577">VLOOKUP(OrderLines[[#This Row],[SKU]:[SKU]],Menu[],MATCH(OrderLines[[#Headers],[Category]],Menu[#Headers],0),FALSE)</f>
        <v>Beverage</v>
      </c>
      <c r="G577" t="str" cm="1">
        <f t="array" ref="G577">_xlfn.TEXTJOIN("+",TRUE,_xlfn._xlws.SORT(_xlfn.UNIQUE(_xlfn._xlws.FILTER(OrderLines[Category],OrderLines[OrderID]=OrderLines[[#This Row],[OrderID]]))))</f>
        <v>Beverage+Hot Meal+Snack</v>
      </c>
      <c r="H577" s="2" cm="1">
        <f t="array" ref="H577">INT(VLOOKUP(OrderLines[[#This Row],[OrderID]:[OrderID]],Orders[],MATCH(OrderLines[[#Headers],[OrderDateTime]],Orders[#Headers],0),FALSE))</f>
        <v>45844</v>
      </c>
      <c r="I577" t="str" cm="1">
        <f t="array" ref="I577">VLOOKUP(OrderLines[[#This Row],[OrderID]:[OrderID]],Orders[],MATCH(OrderLines[[#Headers],[Branch]],Orders[#Headers],0),FALSE)</f>
        <v>Plant 2 Canteen</v>
      </c>
      <c r="J577" cm="1">
        <f t="array" ref="J577">VLOOKUP(OrderLines[[#This Row],[OrderID]:[OrderID]],Orders[],MATCH(OrderLines[[#Headers],[DiscountPct]],Orders[#Headers],0),FALSE)</f>
        <v>0.13</v>
      </c>
      <c r="K577" t="str" cm="1">
        <f t="array" ref="K577">VLOOKUP(OrderLines[[#This Row],[OrderID]:[OrderID]],Orders[],MATCH(OrderLines[[#Headers],[PaymentType]],Orders[#Headers],0),FALSE)</f>
        <v>Cash</v>
      </c>
      <c r="L577" t="str" cm="1">
        <f t="array" ref="L577">VLOOKUP(OrderLines[[#This Row],[OrderID]:[OrderID]],Orders[],MATCH(OrderLines[[#Headers],[Shift]],Orders[#Headers],0),FALSE)</f>
        <v>Breakfast</v>
      </c>
      <c r="M577" s="8">
        <f>(OrderLines[[#This Row],[Qty]]*OrderLines[[#This Row],[UnitPrice]])*(1-OrderLines[[#This Row],[DiscountPct]])</f>
        <v>52.791600000000003</v>
      </c>
      <c r="N577" t="str">
        <f>IF(AND(COUNTIFS(OrderLines[OrderID],OrderLines[[#This Row],[OrderID]],OrderLines[Category],"Hot Meal"),COUNTIFS(OrderLines[OrderID],OrderLines[[#This Row],[OrderID]],OrderLines[Category],"Beverage")),"Combo","Single")</f>
        <v>Combo</v>
      </c>
      <c r="O577" s="8" t="str" cm="1">
        <f t="array" ref="O577">IF(SUMPRODUCT(OrderLines[UnitPrice],OrderLines[Qty],OrderLines[DiscountPct],--(OrderLines[OrderID] = OrderLines[[#This Row],[OrderID]]))&gt;40,"High Discount","Ok")</f>
        <v>High Discount</v>
      </c>
      <c r="P577">
        <f>OrderLines[[#This Row],[UnitCost]]*OrderLines[[#This Row],[Qty]]</f>
        <v>28.36</v>
      </c>
      <c r="Q577" s="8">
        <f>OrderLines[[#This Row],[LineNetAmount]]-OrderLines[[#This Row],[Food Cost]]</f>
        <v>24.431600000000003</v>
      </c>
    </row>
    <row r="578" spans="1:17" x14ac:dyDescent="0.3">
      <c r="A578" t="s">
        <v>263</v>
      </c>
      <c r="B578" t="s">
        <v>402</v>
      </c>
      <c r="C578">
        <v>1</v>
      </c>
      <c r="D578" cm="1">
        <f t="array" ref="D578">VLOOKUP(OrderLines[[#This Row],[SKU]:[SKU]],Menu[],MATCH(OrderLines[[#Headers],[UnitPrice]],Menu[#Headers],0),FALSE)</f>
        <v>30.34</v>
      </c>
      <c r="E578" cm="1">
        <f t="array" ref="E578">VLOOKUP(OrderLines[[#This Row],[SKU]:[SKU]],Menu[],MATCH(OrderLines[[#Headers],[UnitCost]],Menu[#Headers],0),FALSE)</f>
        <v>14.18</v>
      </c>
      <c r="F578" t="str" cm="1">
        <f t="array" ref="F578">VLOOKUP(OrderLines[[#This Row],[SKU]:[SKU]],Menu[],MATCH(OrderLines[[#Headers],[Category]],Menu[#Headers],0),FALSE)</f>
        <v>Beverage</v>
      </c>
      <c r="G578" t="str" cm="1">
        <f t="array" ref="G578">_xlfn.TEXTJOIN("+",TRUE,_xlfn._xlws.SORT(_xlfn.UNIQUE(_xlfn._xlws.FILTER(OrderLines[Category],OrderLines[OrderID]=OrderLines[[#This Row],[OrderID]]))))</f>
        <v>Beverage+Dessert+Hot Meal</v>
      </c>
      <c r="H578" s="2" cm="1">
        <f t="array" ref="H578">INT(VLOOKUP(OrderLines[[#This Row],[OrderID]:[OrderID]],Orders[],MATCH(OrderLines[[#Headers],[OrderDateTime]],Orders[#Headers],0),FALSE))</f>
        <v>45845</v>
      </c>
      <c r="I578" t="str" cm="1">
        <f t="array" ref="I578">VLOOKUP(OrderLines[[#This Row],[OrderID]:[OrderID]],Orders[],MATCH(OrderLines[[#Headers],[Branch]],Orders[#Headers],0),FALSE)</f>
        <v>Head Office Café</v>
      </c>
      <c r="J578" cm="1">
        <f t="array" ref="J578">VLOOKUP(OrderLines[[#This Row],[OrderID]:[OrderID]],Orders[],MATCH(OrderLines[[#Headers],[DiscountPct]],Orders[#Headers],0),FALSE)</f>
        <v>0</v>
      </c>
      <c r="K578" t="str" cm="1">
        <f t="array" ref="K578">VLOOKUP(OrderLines[[#This Row],[OrderID]:[OrderID]],Orders[],MATCH(OrderLines[[#Headers],[PaymentType]],Orders[#Headers],0),FALSE)</f>
        <v>UPI</v>
      </c>
      <c r="L578" t="str" cm="1">
        <f t="array" ref="L578">VLOOKUP(OrderLines[[#This Row],[OrderID]:[OrderID]],Orders[],MATCH(OrderLines[[#Headers],[Shift]],Orders[#Headers],0),FALSE)</f>
        <v>Dinner</v>
      </c>
      <c r="M578" s="8">
        <f>(OrderLines[[#This Row],[Qty]]*OrderLines[[#This Row],[UnitPrice]])*(1-OrderLines[[#This Row],[DiscountPct]])</f>
        <v>30.34</v>
      </c>
      <c r="N578" t="str">
        <f>IF(AND(COUNTIFS(OrderLines[OrderID],OrderLines[[#This Row],[OrderID]],OrderLines[Category],"Hot Meal"),COUNTIFS(OrderLines[OrderID],OrderLines[[#This Row],[OrderID]],OrderLines[Category],"Beverage")),"Combo","Single")</f>
        <v>Combo</v>
      </c>
      <c r="O578" s="8" t="str" cm="1">
        <f t="array" ref="O578">IF(SUMPRODUCT(OrderLines[UnitPrice],OrderLines[Qty],OrderLines[DiscountPct],--(OrderLines[OrderID] = OrderLines[[#This Row],[OrderID]]))&gt;40,"High Discount","Ok")</f>
        <v>Ok</v>
      </c>
      <c r="P578">
        <f>OrderLines[[#This Row],[UnitCost]]*OrderLines[[#This Row],[Qty]]</f>
        <v>14.18</v>
      </c>
      <c r="Q578" s="8">
        <f>OrderLines[[#This Row],[LineNetAmount]]-OrderLines[[#This Row],[Food Cost]]</f>
        <v>16.16</v>
      </c>
    </row>
    <row r="579" spans="1:17" x14ac:dyDescent="0.3">
      <c r="A579" t="s">
        <v>263</v>
      </c>
      <c r="B579" t="s">
        <v>417</v>
      </c>
      <c r="C579">
        <v>1</v>
      </c>
      <c r="D579" cm="1">
        <f t="array" ref="D579">VLOOKUP(OrderLines[[#This Row],[SKU]:[SKU]],Menu[],MATCH(OrderLines[[#Headers],[UnitPrice]],Menu[#Headers],0),FALSE)</f>
        <v>146.4</v>
      </c>
      <c r="E579" cm="1">
        <f t="array" ref="E579">VLOOKUP(OrderLines[[#This Row],[SKU]:[SKU]],Menu[],MATCH(OrderLines[[#Headers],[UnitCost]],Menu[#Headers],0),FALSE)</f>
        <v>80.92</v>
      </c>
      <c r="F579" t="str" cm="1">
        <f t="array" ref="F579">VLOOKUP(OrderLines[[#This Row],[SKU]:[SKU]],Menu[],MATCH(OrderLines[[#Headers],[Category]],Menu[#Headers],0),FALSE)</f>
        <v>Hot Meal</v>
      </c>
      <c r="G579" t="str" cm="1">
        <f t="array" ref="G579">_xlfn.TEXTJOIN("+",TRUE,_xlfn._xlws.SORT(_xlfn.UNIQUE(_xlfn._xlws.FILTER(OrderLines[Category],OrderLines[OrderID]=OrderLines[[#This Row],[OrderID]]))))</f>
        <v>Beverage+Dessert+Hot Meal</v>
      </c>
      <c r="H579" s="2" cm="1">
        <f t="array" ref="H579">INT(VLOOKUP(OrderLines[[#This Row],[OrderID]:[OrderID]],Orders[],MATCH(OrderLines[[#Headers],[OrderDateTime]],Orders[#Headers],0),FALSE))</f>
        <v>45845</v>
      </c>
      <c r="I579" t="str" cm="1">
        <f t="array" ref="I579">VLOOKUP(OrderLines[[#This Row],[OrderID]:[OrderID]],Orders[],MATCH(OrderLines[[#Headers],[Branch]],Orders[#Headers],0),FALSE)</f>
        <v>Head Office Café</v>
      </c>
      <c r="J579" cm="1">
        <f t="array" ref="J579">VLOOKUP(OrderLines[[#This Row],[OrderID]:[OrderID]],Orders[],MATCH(OrderLines[[#Headers],[DiscountPct]],Orders[#Headers],0),FALSE)</f>
        <v>0</v>
      </c>
      <c r="K579" t="str" cm="1">
        <f t="array" ref="K579">VLOOKUP(OrderLines[[#This Row],[OrderID]:[OrderID]],Orders[],MATCH(OrderLines[[#Headers],[PaymentType]],Orders[#Headers],0),FALSE)</f>
        <v>UPI</v>
      </c>
      <c r="L579" t="str" cm="1">
        <f t="array" ref="L579">VLOOKUP(OrderLines[[#This Row],[OrderID]:[OrderID]],Orders[],MATCH(OrderLines[[#Headers],[Shift]],Orders[#Headers],0),FALSE)</f>
        <v>Dinner</v>
      </c>
      <c r="M579" s="8">
        <f>(OrderLines[[#This Row],[Qty]]*OrderLines[[#This Row],[UnitPrice]])*(1-OrderLines[[#This Row],[DiscountPct]])</f>
        <v>146.4</v>
      </c>
      <c r="N579" t="str">
        <f>IF(AND(COUNTIFS(OrderLines[OrderID],OrderLines[[#This Row],[OrderID]],OrderLines[Category],"Hot Meal"),COUNTIFS(OrderLines[OrderID],OrderLines[[#This Row],[OrderID]],OrderLines[Category],"Beverage")),"Combo","Single")</f>
        <v>Combo</v>
      </c>
      <c r="O579" s="8" t="str" cm="1">
        <f t="array" ref="O579">IF(SUMPRODUCT(OrderLines[UnitPrice],OrderLines[Qty],OrderLines[DiscountPct],--(OrderLines[OrderID] = OrderLines[[#This Row],[OrderID]]))&gt;40,"High Discount","Ok")</f>
        <v>Ok</v>
      </c>
      <c r="P579">
        <f>OrderLines[[#This Row],[UnitCost]]*OrderLines[[#This Row],[Qty]]</f>
        <v>80.92</v>
      </c>
      <c r="Q579" s="8">
        <f>OrderLines[[#This Row],[LineNetAmount]]-OrderLines[[#This Row],[Food Cost]]</f>
        <v>65.48</v>
      </c>
    </row>
    <row r="580" spans="1:17" x14ac:dyDescent="0.3">
      <c r="A580" t="s">
        <v>263</v>
      </c>
      <c r="B580" t="s">
        <v>403</v>
      </c>
      <c r="C580">
        <v>2</v>
      </c>
      <c r="D580" cm="1">
        <f t="array" ref="D580">VLOOKUP(OrderLines[[#This Row],[SKU]:[SKU]],Menu[],MATCH(OrderLines[[#Headers],[UnitPrice]],Menu[#Headers],0),FALSE)</f>
        <v>76.55</v>
      </c>
      <c r="E580" cm="1">
        <f t="array" ref="E580">VLOOKUP(OrderLines[[#This Row],[SKU]:[SKU]],Menu[],MATCH(OrderLines[[#Headers],[UnitCost]],Menu[#Headers],0),FALSE)</f>
        <v>38.229999999999997</v>
      </c>
      <c r="F580" t="str" cm="1">
        <f t="array" ref="F580">VLOOKUP(OrderLines[[#This Row],[SKU]:[SKU]],Menu[],MATCH(OrderLines[[#Headers],[Category]],Menu[#Headers],0),FALSE)</f>
        <v>Dessert</v>
      </c>
      <c r="G580" t="str" cm="1">
        <f t="array" ref="G580">_xlfn.TEXTJOIN("+",TRUE,_xlfn._xlws.SORT(_xlfn.UNIQUE(_xlfn._xlws.FILTER(OrderLines[Category],OrderLines[OrderID]=OrderLines[[#This Row],[OrderID]]))))</f>
        <v>Beverage+Dessert+Hot Meal</v>
      </c>
      <c r="H580" s="2" cm="1">
        <f t="array" ref="H580">INT(VLOOKUP(OrderLines[[#This Row],[OrderID]:[OrderID]],Orders[],MATCH(OrderLines[[#Headers],[OrderDateTime]],Orders[#Headers],0),FALSE))</f>
        <v>45845</v>
      </c>
      <c r="I580" t="str" cm="1">
        <f t="array" ref="I580">VLOOKUP(OrderLines[[#This Row],[OrderID]:[OrderID]],Orders[],MATCH(OrderLines[[#Headers],[Branch]],Orders[#Headers],0),FALSE)</f>
        <v>Head Office Café</v>
      </c>
      <c r="J580" cm="1">
        <f t="array" ref="J580">VLOOKUP(OrderLines[[#This Row],[OrderID]:[OrderID]],Orders[],MATCH(OrderLines[[#Headers],[DiscountPct]],Orders[#Headers],0),FALSE)</f>
        <v>0</v>
      </c>
      <c r="K580" t="str" cm="1">
        <f t="array" ref="K580">VLOOKUP(OrderLines[[#This Row],[OrderID]:[OrderID]],Orders[],MATCH(OrderLines[[#Headers],[PaymentType]],Orders[#Headers],0),FALSE)</f>
        <v>UPI</v>
      </c>
      <c r="L580" t="str" cm="1">
        <f t="array" ref="L580">VLOOKUP(OrderLines[[#This Row],[OrderID]:[OrderID]],Orders[],MATCH(OrderLines[[#Headers],[Shift]],Orders[#Headers],0),FALSE)</f>
        <v>Dinner</v>
      </c>
      <c r="M580" s="8">
        <f>(OrderLines[[#This Row],[Qty]]*OrderLines[[#This Row],[UnitPrice]])*(1-OrderLines[[#This Row],[DiscountPct]])</f>
        <v>153.1</v>
      </c>
      <c r="N580" t="str">
        <f>IF(AND(COUNTIFS(OrderLines[OrderID],OrderLines[[#This Row],[OrderID]],OrderLines[Category],"Hot Meal"),COUNTIFS(OrderLines[OrderID],OrderLines[[#This Row],[OrderID]],OrderLines[Category],"Beverage")),"Combo","Single")</f>
        <v>Combo</v>
      </c>
      <c r="O580" s="8" t="str" cm="1">
        <f t="array" ref="O580">IF(SUMPRODUCT(OrderLines[UnitPrice],OrderLines[Qty],OrderLines[DiscountPct],--(OrderLines[OrderID] = OrderLines[[#This Row],[OrderID]]))&gt;40,"High Discount","Ok")</f>
        <v>Ok</v>
      </c>
      <c r="P580">
        <f>OrderLines[[#This Row],[UnitCost]]*OrderLines[[#This Row],[Qty]]</f>
        <v>76.459999999999994</v>
      </c>
      <c r="Q580" s="8">
        <f>OrderLines[[#This Row],[LineNetAmount]]-OrderLines[[#This Row],[Food Cost]]</f>
        <v>76.64</v>
      </c>
    </row>
    <row r="581" spans="1:17" x14ac:dyDescent="0.3">
      <c r="A581" t="s">
        <v>264</v>
      </c>
      <c r="B581" t="s">
        <v>405</v>
      </c>
      <c r="C581">
        <v>2</v>
      </c>
      <c r="D581" cm="1">
        <f t="array" ref="D581">VLOOKUP(OrderLines[[#This Row],[SKU]:[SKU]],Menu[],MATCH(OrderLines[[#Headers],[UnitPrice]],Menu[#Headers],0),FALSE)</f>
        <v>170.83</v>
      </c>
      <c r="E581" cm="1">
        <f t="array" ref="E581">VLOOKUP(OrderLines[[#This Row],[SKU]:[SKU]],Menu[],MATCH(OrderLines[[#Headers],[UnitCost]],Menu[#Headers],0),FALSE)</f>
        <v>74.069999999999993</v>
      </c>
      <c r="F581" t="str" cm="1">
        <f t="array" ref="F581">VLOOKUP(OrderLines[[#This Row],[SKU]:[SKU]],Menu[],MATCH(OrderLines[[#Headers],[Category]],Menu[#Headers],0),FALSE)</f>
        <v>Hot Meal</v>
      </c>
      <c r="G581" t="str" cm="1">
        <f t="array" ref="G581">_xlfn.TEXTJOIN("+",TRUE,_xlfn._xlws.SORT(_xlfn.UNIQUE(_xlfn._xlws.FILTER(OrderLines[Category],OrderLines[OrderID]=OrderLines[[#This Row],[OrderID]]))))</f>
        <v>Dessert+Hot Meal</v>
      </c>
      <c r="H581" s="2" cm="1">
        <f t="array" ref="H581">INT(VLOOKUP(OrderLines[[#This Row],[OrderID]:[OrderID]],Orders[],MATCH(OrderLines[[#Headers],[OrderDateTime]],Orders[#Headers],0),FALSE))</f>
        <v>45861</v>
      </c>
      <c r="I581" t="str" cm="1">
        <f t="array" ref="I581">VLOOKUP(OrderLines[[#This Row],[OrderID]:[OrderID]],Orders[],MATCH(OrderLines[[#Headers],[Branch]],Orders[#Headers],0),FALSE)</f>
        <v>Plant 2 Canteen</v>
      </c>
      <c r="J581" cm="1">
        <f t="array" ref="J581">VLOOKUP(OrderLines[[#This Row],[OrderID]:[OrderID]],Orders[],MATCH(OrderLines[[#Headers],[DiscountPct]],Orders[#Headers],0),FALSE)</f>
        <v>0.04</v>
      </c>
      <c r="K581" t="str" cm="1">
        <f t="array" ref="K581">VLOOKUP(OrderLines[[#This Row],[OrderID]:[OrderID]],Orders[],MATCH(OrderLines[[#Headers],[PaymentType]],Orders[#Headers],0),FALSE)</f>
        <v>UPI</v>
      </c>
      <c r="L581" t="str" cm="1">
        <f t="array" ref="L581">VLOOKUP(OrderLines[[#This Row],[OrderID]:[OrderID]],Orders[],MATCH(OrderLines[[#Headers],[Shift]],Orders[#Headers],0),FALSE)</f>
        <v>Dinner</v>
      </c>
      <c r="M581" s="8">
        <f>(OrderLines[[#This Row],[Qty]]*OrderLines[[#This Row],[UnitPrice]])*(1-OrderLines[[#This Row],[DiscountPct]])</f>
        <v>327.99360000000001</v>
      </c>
      <c r="N581" t="str">
        <f>IF(AND(COUNTIFS(OrderLines[OrderID],OrderLines[[#This Row],[OrderID]],OrderLines[Category],"Hot Meal"),COUNTIFS(OrderLines[OrderID],OrderLines[[#This Row],[OrderID]],OrderLines[Category],"Beverage")),"Combo","Single")</f>
        <v>Single</v>
      </c>
      <c r="O581" s="8" t="str" cm="1">
        <f t="array" ref="O581">IF(SUMPRODUCT(OrderLines[UnitPrice],OrderLines[Qty],OrderLines[DiscountPct],--(OrderLines[OrderID] = OrderLines[[#This Row],[OrderID]]))&gt;40,"High Discount","Ok")</f>
        <v>Ok</v>
      </c>
      <c r="P581">
        <f>OrderLines[[#This Row],[UnitCost]]*OrderLines[[#This Row],[Qty]]</f>
        <v>148.13999999999999</v>
      </c>
      <c r="Q581" s="8">
        <f>OrderLines[[#This Row],[LineNetAmount]]-OrderLines[[#This Row],[Food Cost]]</f>
        <v>179.85360000000003</v>
      </c>
    </row>
    <row r="582" spans="1:17" x14ac:dyDescent="0.3">
      <c r="A582" t="s">
        <v>264</v>
      </c>
      <c r="B582" t="s">
        <v>413</v>
      </c>
      <c r="C582">
        <v>1</v>
      </c>
      <c r="D582" cm="1">
        <f t="array" ref="D582">VLOOKUP(OrderLines[[#This Row],[SKU]:[SKU]],Menu[],MATCH(OrderLines[[#Headers],[UnitPrice]],Menu[#Headers],0),FALSE)</f>
        <v>54.2</v>
      </c>
      <c r="E582" cm="1">
        <f t="array" ref="E582">VLOOKUP(OrderLines[[#This Row],[SKU]:[SKU]],Menu[],MATCH(OrderLines[[#Headers],[UnitCost]],Menu[#Headers],0),FALSE)</f>
        <v>21.95</v>
      </c>
      <c r="F582" t="str" cm="1">
        <f t="array" ref="F582">VLOOKUP(OrderLines[[#This Row],[SKU]:[SKU]],Menu[],MATCH(OrderLines[[#Headers],[Category]],Menu[#Headers],0),FALSE)</f>
        <v>Dessert</v>
      </c>
      <c r="G582" t="str" cm="1">
        <f t="array" ref="G582">_xlfn.TEXTJOIN("+",TRUE,_xlfn._xlws.SORT(_xlfn.UNIQUE(_xlfn._xlws.FILTER(OrderLines[Category],OrderLines[OrderID]=OrderLines[[#This Row],[OrderID]]))))</f>
        <v>Dessert+Hot Meal</v>
      </c>
      <c r="H582" s="2" cm="1">
        <f t="array" ref="H582">INT(VLOOKUP(OrderLines[[#This Row],[OrderID]:[OrderID]],Orders[],MATCH(OrderLines[[#Headers],[OrderDateTime]],Orders[#Headers],0),FALSE))</f>
        <v>45861</v>
      </c>
      <c r="I582" t="str" cm="1">
        <f t="array" ref="I582">VLOOKUP(OrderLines[[#This Row],[OrderID]:[OrderID]],Orders[],MATCH(OrderLines[[#Headers],[Branch]],Orders[#Headers],0),FALSE)</f>
        <v>Plant 2 Canteen</v>
      </c>
      <c r="J582" cm="1">
        <f t="array" ref="J582">VLOOKUP(OrderLines[[#This Row],[OrderID]:[OrderID]],Orders[],MATCH(OrderLines[[#Headers],[DiscountPct]],Orders[#Headers],0),FALSE)</f>
        <v>0.04</v>
      </c>
      <c r="K582" t="str" cm="1">
        <f t="array" ref="K582">VLOOKUP(OrderLines[[#This Row],[OrderID]:[OrderID]],Orders[],MATCH(OrderLines[[#Headers],[PaymentType]],Orders[#Headers],0),FALSE)</f>
        <v>UPI</v>
      </c>
      <c r="L582" t="str" cm="1">
        <f t="array" ref="L582">VLOOKUP(OrderLines[[#This Row],[OrderID]:[OrderID]],Orders[],MATCH(OrderLines[[#Headers],[Shift]],Orders[#Headers],0),FALSE)</f>
        <v>Dinner</v>
      </c>
      <c r="M582" s="8">
        <f>(OrderLines[[#This Row],[Qty]]*OrderLines[[#This Row],[UnitPrice]])*(1-OrderLines[[#This Row],[DiscountPct]])</f>
        <v>52.032000000000004</v>
      </c>
      <c r="N582" t="str">
        <f>IF(AND(COUNTIFS(OrderLines[OrderID],OrderLines[[#This Row],[OrderID]],OrderLines[Category],"Hot Meal"),COUNTIFS(OrderLines[OrderID],OrderLines[[#This Row],[OrderID]],OrderLines[Category],"Beverage")),"Combo","Single")</f>
        <v>Single</v>
      </c>
      <c r="O582" s="8" t="str" cm="1">
        <f t="array" ref="O582">IF(SUMPRODUCT(OrderLines[UnitPrice],OrderLines[Qty],OrderLines[DiscountPct],--(OrderLines[OrderID] = OrderLines[[#This Row],[OrderID]]))&gt;40,"High Discount","Ok")</f>
        <v>Ok</v>
      </c>
      <c r="P582">
        <f>OrderLines[[#This Row],[UnitCost]]*OrderLines[[#This Row],[Qty]]</f>
        <v>21.95</v>
      </c>
      <c r="Q582" s="8">
        <f>OrderLines[[#This Row],[LineNetAmount]]-OrderLines[[#This Row],[Food Cost]]</f>
        <v>30.082000000000004</v>
      </c>
    </row>
    <row r="583" spans="1:17" x14ac:dyDescent="0.3">
      <c r="A583" t="s">
        <v>265</v>
      </c>
      <c r="B583" t="s">
        <v>413</v>
      </c>
      <c r="C583">
        <v>2</v>
      </c>
      <c r="D583" cm="1">
        <f t="array" ref="D583">VLOOKUP(OrderLines[[#This Row],[SKU]:[SKU]],Menu[],MATCH(OrderLines[[#Headers],[UnitPrice]],Menu[#Headers],0),FALSE)</f>
        <v>54.2</v>
      </c>
      <c r="E583" cm="1">
        <f t="array" ref="E583">VLOOKUP(OrderLines[[#This Row],[SKU]:[SKU]],Menu[],MATCH(OrderLines[[#Headers],[UnitCost]],Menu[#Headers],0),FALSE)</f>
        <v>21.95</v>
      </c>
      <c r="F583" t="str" cm="1">
        <f t="array" ref="F583">VLOOKUP(OrderLines[[#This Row],[SKU]:[SKU]],Menu[],MATCH(OrderLines[[#Headers],[Category]],Menu[#Headers],0),FALSE)</f>
        <v>Dessert</v>
      </c>
      <c r="G583" t="str" cm="1">
        <f t="array" ref="G583">_xlfn.TEXTJOIN("+",TRUE,_xlfn._xlws.SORT(_xlfn.UNIQUE(_xlfn._xlws.FILTER(OrderLines[Category],OrderLines[OrderID]=OrderLines[[#This Row],[OrderID]]))))</f>
        <v>Dessert</v>
      </c>
      <c r="H583" s="2" cm="1">
        <f t="array" ref="H583">INT(VLOOKUP(OrderLines[[#This Row],[OrderID]:[OrderID]],Orders[],MATCH(OrderLines[[#Headers],[OrderDateTime]],Orders[#Headers],0),FALSE))</f>
        <v>45866</v>
      </c>
      <c r="I583" t="str" cm="1">
        <f t="array" ref="I583">VLOOKUP(OrderLines[[#This Row],[OrderID]:[OrderID]],Orders[],MATCH(OrderLines[[#Headers],[Branch]],Orders[#Headers],0),FALSE)</f>
        <v>Plant 1 Canteen</v>
      </c>
      <c r="J583" cm="1">
        <f t="array" ref="J583">VLOOKUP(OrderLines[[#This Row],[OrderID]:[OrderID]],Orders[],MATCH(OrderLines[[#Headers],[DiscountPct]],Orders[#Headers],0),FALSE)</f>
        <v>7.0000000000000007E-2</v>
      </c>
      <c r="K583" t="str" cm="1">
        <f t="array" ref="K583">VLOOKUP(OrderLines[[#This Row],[OrderID]:[OrderID]],Orders[],MATCH(OrderLines[[#Headers],[PaymentType]],Orders[#Headers],0),FALSE)</f>
        <v>UPI</v>
      </c>
      <c r="L583" t="str" cm="1">
        <f t="array" ref="L583">VLOOKUP(OrderLines[[#This Row],[OrderID]:[OrderID]],Orders[],MATCH(OrderLines[[#Headers],[Shift]],Orders[#Headers],0),FALSE)</f>
        <v>Breakfast</v>
      </c>
      <c r="M583" s="8">
        <f>(OrderLines[[#This Row],[Qty]]*OrderLines[[#This Row],[UnitPrice]])*(1-OrderLines[[#This Row],[DiscountPct]])</f>
        <v>100.812</v>
      </c>
      <c r="N583" t="str">
        <f>IF(AND(COUNTIFS(OrderLines[OrderID],OrderLines[[#This Row],[OrderID]],OrderLines[Category],"Hot Meal"),COUNTIFS(OrderLines[OrderID],OrderLines[[#This Row],[OrderID]],OrderLines[Category],"Beverage")),"Combo","Single")</f>
        <v>Single</v>
      </c>
      <c r="O583" s="8" t="str" cm="1">
        <f t="array" ref="O583">IF(SUMPRODUCT(OrderLines[UnitPrice],OrderLines[Qty],OrderLines[DiscountPct],--(OrderLines[OrderID] = OrderLines[[#This Row],[OrderID]]))&gt;40,"High Discount","Ok")</f>
        <v>Ok</v>
      </c>
      <c r="P583">
        <f>OrderLines[[#This Row],[UnitCost]]*OrderLines[[#This Row],[Qty]]</f>
        <v>43.9</v>
      </c>
      <c r="Q583" s="8">
        <f>OrderLines[[#This Row],[LineNetAmount]]-OrderLines[[#This Row],[Food Cost]]</f>
        <v>56.911999999999999</v>
      </c>
    </row>
    <row r="584" spans="1:17" x14ac:dyDescent="0.3">
      <c r="A584" t="s">
        <v>266</v>
      </c>
      <c r="B584" t="s">
        <v>407</v>
      </c>
      <c r="C584">
        <v>1</v>
      </c>
      <c r="D584" cm="1">
        <f t="array" ref="D584">VLOOKUP(OrderLines[[#This Row],[SKU]:[SKU]],Menu[],MATCH(OrderLines[[#Headers],[UnitPrice]],Menu[#Headers],0),FALSE)</f>
        <v>246.09</v>
      </c>
      <c r="E584" cm="1">
        <f t="array" ref="E584">VLOOKUP(OrderLines[[#This Row],[SKU]:[SKU]],Menu[],MATCH(OrderLines[[#Headers],[UnitCost]],Menu[#Headers],0),FALSE)</f>
        <v>112.08</v>
      </c>
      <c r="F584" t="str" cm="1">
        <f t="array" ref="F584">VLOOKUP(OrderLines[[#This Row],[SKU]:[SKU]],Menu[],MATCH(OrderLines[[#Headers],[Category]],Menu[#Headers],0),FALSE)</f>
        <v>Hot Meal</v>
      </c>
      <c r="G584" t="str" cm="1">
        <f t="array" ref="G584">_xlfn.TEXTJOIN("+",TRUE,_xlfn._xlws.SORT(_xlfn.UNIQUE(_xlfn._xlws.FILTER(OrderLines[Category],OrderLines[OrderID]=OrderLines[[#This Row],[OrderID]]))))</f>
        <v>Dessert+Hot Meal+Snack</v>
      </c>
      <c r="H584" s="2" cm="1">
        <f t="array" ref="H584">INT(VLOOKUP(OrderLines[[#This Row],[OrderID]:[OrderID]],Orders[],MATCH(OrderLines[[#Headers],[OrderDateTime]],Orders[#Headers],0),FALSE))</f>
        <v>45856</v>
      </c>
      <c r="I584" t="str" cm="1">
        <f t="array" ref="I584">VLOOKUP(OrderLines[[#This Row],[OrderID]:[OrderID]],Orders[],MATCH(OrderLines[[#Headers],[Branch]],Orders[#Headers],0),FALSE)</f>
        <v>Plant 1 Canteen</v>
      </c>
      <c r="J584" cm="1">
        <f t="array" ref="J584">VLOOKUP(OrderLines[[#This Row],[OrderID]:[OrderID]],Orders[],MATCH(OrderLines[[#Headers],[DiscountPct]],Orders[#Headers],0),FALSE)</f>
        <v>0.12</v>
      </c>
      <c r="K584" t="str" cm="1">
        <f t="array" ref="K584">VLOOKUP(OrderLines[[#This Row],[OrderID]:[OrderID]],Orders[],MATCH(OrderLines[[#Headers],[PaymentType]],Orders[#Headers],0),FALSE)</f>
        <v>Cash</v>
      </c>
      <c r="L584" t="str" cm="1">
        <f t="array" ref="L584">VLOOKUP(OrderLines[[#This Row],[OrderID]:[OrderID]],Orders[],MATCH(OrderLines[[#Headers],[Shift]],Orders[#Headers],0),FALSE)</f>
        <v>Breakfast</v>
      </c>
      <c r="M584" s="8">
        <f>(OrderLines[[#This Row],[Qty]]*OrderLines[[#This Row],[UnitPrice]])*(1-OrderLines[[#This Row],[DiscountPct]])</f>
        <v>216.5592</v>
      </c>
      <c r="N584" t="str">
        <f>IF(AND(COUNTIFS(OrderLines[OrderID],OrderLines[[#This Row],[OrderID]],OrderLines[Category],"Hot Meal"),COUNTIFS(OrderLines[OrderID],OrderLines[[#This Row],[OrderID]],OrderLines[Category],"Beverage")),"Combo","Single")</f>
        <v>Single</v>
      </c>
      <c r="O584" s="8" t="str" cm="1">
        <f t="array" ref="O584">IF(SUMPRODUCT(OrderLines[UnitPrice],OrderLines[Qty],OrderLines[DiscountPct],--(OrderLines[OrderID] = OrderLines[[#This Row],[OrderID]]))&gt;40,"High Discount","Ok")</f>
        <v>High Discount</v>
      </c>
      <c r="P584">
        <f>OrderLines[[#This Row],[UnitCost]]*OrderLines[[#This Row],[Qty]]</f>
        <v>112.08</v>
      </c>
      <c r="Q584" s="8">
        <f>OrderLines[[#This Row],[LineNetAmount]]-OrderLines[[#This Row],[Food Cost]]</f>
        <v>104.47920000000001</v>
      </c>
    </row>
    <row r="585" spans="1:17" x14ac:dyDescent="0.3">
      <c r="A585" t="s">
        <v>266</v>
      </c>
      <c r="B585" t="s">
        <v>413</v>
      </c>
      <c r="C585">
        <v>3</v>
      </c>
      <c r="D585" cm="1">
        <f t="array" ref="D585">VLOOKUP(OrderLines[[#This Row],[SKU]:[SKU]],Menu[],MATCH(OrderLines[[#Headers],[UnitPrice]],Menu[#Headers],0),FALSE)</f>
        <v>54.2</v>
      </c>
      <c r="E585" cm="1">
        <f t="array" ref="E585">VLOOKUP(OrderLines[[#This Row],[SKU]:[SKU]],Menu[],MATCH(OrderLines[[#Headers],[UnitCost]],Menu[#Headers],0),FALSE)</f>
        <v>21.95</v>
      </c>
      <c r="F585" t="str" cm="1">
        <f t="array" ref="F585">VLOOKUP(OrderLines[[#This Row],[SKU]:[SKU]],Menu[],MATCH(OrderLines[[#Headers],[Category]],Menu[#Headers],0),FALSE)</f>
        <v>Dessert</v>
      </c>
      <c r="G585" t="str" cm="1">
        <f t="array" ref="G585">_xlfn.TEXTJOIN("+",TRUE,_xlfn._xlws.SORT(_xlfn.UNIQUE(_xlfn._xlws.FILTER(OrderLines[Category],OrderLines[OrderID]=OrderLines[[#This Row],[OrderID]]))))</f>
        <v>Dessert+Hot Meal+Snack</v>
      </c>
      <c r="H585" s="2" cm="1">
        <f t="array" ref="H585">INT(VLOOKUP(OrderLines[[#This Row],[OrderID]:[OrderID]],Orders[],MATCH(OrderLines[[#Headers],[OrderDateTime]],Orders[#Headers],0),FALSE))</f>
        <v>45856</v>
      </c>
      <c r="I585" t="str" cm="1">
        <f t="array" ref="I585">VLOOKUP(OrderLines[[#This Row],[OrderID]:[OrderID]],Orders[],MATCH(OrderLines[[#Headers],[Branch]],Orders[#Headers],0),FALSE)</f>
        <v>Plant 1 Canteen</v>
      </c>
      <c r="J585" cm="1">
        <f t="array" ref="J585">VLOOKUP(OrderLines[[#This Row],[OrderID]:[OrderID]],Orders[],MATCH(OrderLines[[#Headers],[DiscountPct]],Orders[#Headers],0),FALSE)</f>
        <v>0.12</v>
      </c>
      <c r="K585" t="str" cm="1">
        <f t="array" ref="K585">VLOOKUP(OrderLines[[#This Row],[OrderID]:[OrderID]],Orders[],MATCH(OrderLines[[#Headers],[PaymentType]],Orders[#Headers],0),FALSE)</f>
        <v>Cash</v>
      </c>
      <c r="L585" t="str" cm="1">
        <f t="array" ref="L585">VLOOKUP(OrderLines[[#This Row],[OrderID]:[OrderID]],Orders[],MATCH(OrderLines[[#Headers],[Shift]],Orders[#Headers],0),FALSE)</f>
        <v>Breakfast</v>
      </c>
      <c r="M585" s="8">
        <f>(OrderLines[[#This Row],[Qty]]*OrderLines[[#This Row],[UnitPrice]])*(1-OrderLines[[#This Row],[DiscountPct]])</f>
        <v>143.08800000000002</v>
      </c>
      <c r="N585" t="str">
        <f>IF(AND(COUNTIFS(OrderLines[OrderID],OrderLines[[#This Row],[OrderID]],OrderLines[Category],"Hot Meal"),COUNTIFS(OrderLines[OrderID],OrderLines[[#This Row],[OrderID]],OrderLines[Category],"Beverage")),"Combo","Single")</f>
        <v>Single</v>
      </c>
      <c r="O585" s="8" t="str" cm="1">
        <f t="array" ref="O585">IF(SUMPRODUCT(OrderLines[UnitPrice],OrderLines[Qty],OrderLines[DiscountPct],--(OrderLines[OrderID] = OrderLines[[#This Row],[OrderID]]))&gt;40,"High Discount","Ok")</f>
        <v>High Discount</v>
      </c>
      <c r="P585">
        <f>OrderLines[[#This Row],[UnitCost]]*OrderLines[[#This Row],[Qty]]</f>
        <v>65.849999999999994</v>
      </c>
      <c r="Q585" s="8">
        <f>OrderLines[[#This Row],[LineNetAmount]]-OrderLines[[#This Row],[Food Cost]]</f>
        <v>77.238000000000028</v>
      </c>
    </row>
    <row r="586" spans="1:17" x14ac:dyDescent="0.3">
      <c r="A586" t="s">
        <v>266</v>
      </c>
      <c r="B586" t="s">
        <v>408</v>
      </c>
      <c r="C586">
        <v>1</v>
      </c>
      <c r="D586" cm="1">
        <f t="array" ref="D586">VLOOKUP(OrderLines[[#This Row],[SKU]:[SKU]],Menu[],MATCH(OrderLines[[#Headers],[UnitPrice]],Menu[#Headers],0),FALSE)</f>
        <v>70.540000000000006</v>
      </c>
      <c r="E586" cm="1">
        <f t="array" ref="E586">VLOOKUP(OrderLines[[#This Row],[SKU]:[SKU]],Menu[],MATCH(OrderLines[[#Headers],[UnitCost]],Menu[#Headers],0),FALSE)</f>
        <v>35.81</v>
      </c>
      <c r="F586" t="str" cm="1">
        <f t="array" ref="F586">VLOOKUP(OrderLines[[#This Row],[SKU]:[SKU]],Menu[],MATCH(OrderLines[[#Headers],[Category]],Menu[#Headers],0),FALSE)</f>
        <v>Snack</v>
      </c>
      <c r="G586" t="str" cm="1">
        <f t="array" ref="G586">_xlfn.TEXTJOIN("+",TRUE,_xlfn._xlws.SORT(_xlfn.UNIQUE(_xlfn._xlws.FILTER(OrderLines[Category],OrderLines[OrderID]=OrderLines[[#This Row],[OrderID]]))))</f>
        <v>Dessert+Hot Meal+Snack</v>
      </c>
      <c r="H586" s="2" cm="1">
        <f t="array" ref="H586">INT(VLOOKUP(OrderLines[[#This Row],[OrderID]:[OrderID]],Orders[],MATCH(OrderLines[[#Headers],[OrderDateTime]],Orders[#Headers],0),FALSE))</f>
        <v>45856</v>
      </c>
      <c r="I586" t="str" cm="1">
        <f t="array" ref="I586">VLOOKUP(OrderLines[[#This Row],[OrderID]:[OrderID]],Orders[],MATCH(OrderLines[[#Headers],[Branch]],Orders[#Headers],0),FALSE)</f>
        <v>Plant 1 Canteen</v>
      </c>
      <c r="J586" cm="1">
        <f t="array" ref="J586">VLOOKUP(OrderLines[[#This Row],[OrderID]:[OrderID]],Orders[],MATCH(OrderLines[[#Headers],[DiscountPct]],Orders[#Headers],0),FALSE)</f>
        <v>0.12</v>
      </c>
      <c r="K586" t="str" cm="1">
        <f t="array" ref="K586">VLOOKUP(OrderLines[[#This Row],[OrderID]:[OrderID]],Orders[],MATCH(OrderLines[[#Headers],[PaymentType]],Orders[#Headers],0),FALSE)</f>
        <v>Cash</v>
      </c>
      <c r="L586" t="str" cm="1">
        <f t="array" ref="L586">VLOOKUP(OrderLines[[#This Row],[OrderID]:[OrderID]],Orders[],MATCH(OrderLines[[#Headers],[Shift]],Orders[#Headers],0),FALSE)</f>
        <v>Breakfast</v>
      </c>
      <c r="M586" s="8">
        <f>(OrderLines[[#This Row],[Qty]]*OrderLines[[#This Row],[UnitPrice]])*(1-OrderLines[[#This Row],[DiscountPct]])</f>
        <v>62.075200000000002</v>
      </c>
      <c r="N586" t="str">
        <f>IF(AND(COUNTIFS(OrderLines[OrderID],OrderLines[[#This Row],[OrderID]],OrderLines[Category],"Hot Meal"),COUNTIFS(OrderLines[OrderID],OrderLines[[#This Row],[OrderID]],OrderLines[Category],"Beverage")),"Combo","Single")</f>
        <v>Single</v>
      </c>
      <c r="O586" s="8" t="str" cm="1">
        <f t="array" ref="O586">IF(SUMPRODUCT(OrderLines[UnitPrice],OrderLines[Qty],OrderLines[DiscountPct],--(OrderLines[OrderID] = OrderLines[[#This Row],[OrderID]]))&gt;40,"High Discount","Ok")</f>
        <v>High Discount</v>
      </c>
      <c r="P586">
        <f>OrderLines[[#This Row],[UnitCost]]*OrderLines[[#This Row],[Qty]]</f>
        <v>35.81</v>
      </c>
      <c r="Q586" s="8">
        <f>OrderLines[[#This Row],[LineNetAmount]]-OrderLines[[#This Row],[Food Cost]]</f>
        <v>26.2652</v>
      </c>
    </row>
    <row r="587" spans="1:17" x14ac:dyDescent="0.3">
      <c r="A587" t="s">
        <v>266</v>
      </c>
      <c r="B587" t="s">
        <v>406</v>
      </c>
      <c r="C587">
        <v>1</v>
      </c>
      <c r="D587" cm="1">
        <f t="array" ref="D587">VLOOKUP(OrderLines[[#This Row],[SKU]:[SKU]],Menu[],MATCH(OrderLines[[#Headers],[UnitPrice]],Menu[#Headers],0),FALSE)</f>
        <v>38.06</v>
      </c>
      <c r="E587" cm="1">
        <f t="array" ref="E587">VLOOKUP(OrderLines[[#This Row],[SKU]:[SKU]],Menu[],MATCH(OrderLines[[#Headers],[UnitCost]],Menu[#Headers],0),FALSE)</f>
        <v>19.55</v>
      </c>
      <c r="F587" t="str" cm="1">
        <f t="array" ref="F587">VLOOKUP(OrderLines[[#This Row],[SKU]:[SKU]],Menu[],MATCH(OrderLines[[#Headers],[Category]],Menu[#Headers],0),FALSE)</f>
        <v>Snack</v>
      </c>
      <c r="G587" t="str" cm="1">
        <f t="array" ref="G587">_xlfn.TEXTJOIN("+",TRUE,_xlfn._xlws.SORT(_xlfn.UNIQUE(_xlfn._xlws.FILTER(OrderLines[Category],OrderLines[OrderID]=OrderLines[[#This Row],[OrderID]]))))</f>
        <v>Dessert+Hot Meal+Snack</v>
      </c>
      <c r="H587" s="2" cm="1">
        <f t="array" ref="H587">INT(VLOOKUP(OrderLines[[#This Row],[OrderID]:[OrderID]],Orders[],MATCH(OrderLines[[#Headers],[OrderDateTime]],Orders[#Headers],0),FALSE))</f>
        <v>45856</v>
      </c>
      <c r="I587" t="str" cm="1">
        <f t="array" ref="I587">VLOOKUP(OrderLines[[#This Row],[OrderID]:[OrderID]],Orders[],MATCH(OrderLines[[#Headers],[Branch]],Orders[#Headers],0),FALSE)</f>
        <v>Plant 1 Canteen</v>
      </c>
      <c r="J587" cm="1">
        <f t="array" ref="J587">VLOOKUP(OrderLines[[#This Row],[OrderID]:[OrderID]],Orders[],MATCH(OrderLines[[#Headers],[DiscountPct]],Orders[#Headers],0),FALSE)</f>
        <v>0.12</v>
      </c>
      <c r="K587" t="str" cm="1">
        <f t="array" ref="K587">VLOOKUP(OrderLines[[#This Row],[OrderID]:[OrderID]],Orders[],MATCH(OrderLines[[#Headers],[PaymentType]],Orders[#Headers],0),FALSE)</f>
        <v>Cash</v>
      </c>
      <c r="L587" t="str" cm="1">
        <f t="array" ref="L587">VLOOKUP(OrderLines[[#This Row],[OrderID]:[OrderID]],Orders[],MATCH(OrderLines[[#Headers],[Shift]],Orders[#Headers],0),FALSE)</f>
        <v>Breakfast</v>
      </c>
      <c r="M587" s="8">
        <f>(OrderLines[[#This Row],[Qty]]*OrderLines[[#This Row],[UnitPrice]])*(1-OrderLines[[#This Row],[DiscountPct]])</f>
        <v>33.492800000000003</v>
      </c>
      <c r="N587" t="str">
        <f>IF(AND(COUNTIFS(OrderLines[OrderID],OrderLines[[#This Row],[OrderID]],OrderLines[Category],"Hot Meal"),COUNTIFS(OrderLines[OrderID],OrderLines[[#This Row],[OrderID]],OrderLines[Category],"Beverage")),"Combo","Single")</f>
        <v>Single</v>
      </c>
      <c r="O587" s="8" t="str" cm="1">
        <f t="array" ref="O587">IF(SUMPRODUCT(OrderLines[UnitPrice],OrderLines[Qty],OrderLines[DiscountPct],--(OrderLines[OrderID] = OrderLines[[#This Row],[OrderID]]))&gt;40,"High Discount","Ok")</f>
        <v>High Discount</v>
      </c>
      <c r="P587">
        <f>OrderLines[[#This Row],[UnitCost]]*OrderLines[[#This Row],[Qty]]</f>
        <v>19.55</v>
      </c>
      <c r="Q587" s="8">
        <f>OrderLines[[#This Row],[LineNetAmount]]-OrderLines[[#This Row],[Food Cost]]</f>
        <v>13.942800000000002</v>
      </c>
    </row>
    <row r="588" spans="1:17" x14ac:dyDescent="0.3">
      <c r="A588" t="s">
        <v>267</v>
      </c>
      <c r="B588" t="s">
        <v>405</v>
      </c>
      <c r="C588">
        <v>1</v>
      </c>
      <c r="D588" cm="1">
        <f t="array" ref="D588">VLOOKUP(OrderLines[[#This Row],[SKU]:[SKU]],Menu[],MATCH(OrderLines[[#Headers],[UnitPrice]],Menu[#Headers],0),FALSE)</f>
        <v>170.83</v>
      </c>
      <c r="E588" cm="1">
        <f t="array" ref="E588">VLOOKUP(OrderLines[[#This Row],[SKU]:[SKU]],Menu[],MATCH(OrderLines[[#Headers],[UnitCost]],Menu[#Headers],0),FALSE)</f>
        <v>74.069999999999993</v>
      </c>
      <c r="F588" t="str" cm="1">
        <f t="array" ref="F588">VLOOKUP(OrderLines[[#This Row],[SKU]:[SKU]],Menu[],MATCH(OrderLines[[#Headers],[Category]],Menu[#Headers],0),FALSE)</f>
        <v>Hot Meal</v>
      </c>
      <c r="G588" t="str" cm="1">
        <f t="array" ref="G588">_xlfn.TEXTJOIN("+",TRUE,_xlfn._xlws.SORT(_xlfn.UNIQUE(_xlfn._xlws.FILTER(OrderLines[Category],OrderLines[OrderID]=OrderLines[[#This Row],[OrderID]]))))</f>
        <v>Beverage+Hot Meal</v>
      </c>
      <c r="H588" s="2" cm="1">
        <f t="array" ref="H588">INT(VLOOKUP(OrderLines[[#This Row],[OrderID]:[OrderID]],Orders[],MATCH(OrderLines[[#Headers],[OrderDateTime]],Orders[#Headers],0),FALSE))</f>
        <v>45840</v>
      </c>
      <c r="I588" t="str" cm="1">
        <f t="array" ref="I588">VLOOKUP(OrderLines[[#This Row],[OrderID]:[OrderID]],Orders[],MATCH(OrderLines[[#Headers],[Branch]],Orders[#Headers],0),FALSE)</f>
        <v>Plant 2 Canteen</v>
      </c>
      <c r="J588" cm="1">
        <f t="array" ref="J588">VLOOKUP(OrderLines[[#This Row],[OrderID]:[OrderID]],Orders[],MATCH(OrderLines[[#Headers],[DiscountPct]],Orders[#Headers],0),FALSE)</f>
        <v>0</v>
      </c>
      <c r="K588" t="str" cm="1">
        <f t="array" ref="K588">VLOOKUP(OrderLines[[#This Row],[OrderID]:[OrderID]],Orders[],MATCH(OrderLines[[#Headers],[PaymentType]],Orders[#Headers],0),FALSE)</f>
        <v>UPI</v>
      </c>
      <c r="L588" t="str" cm="1">
        <f t="array" ref="L588">VLOOKUP(OrderLines[[#This Row],[OrderID]:[OrderID]],Orders[],MATCH(OrderLines[[#Headers],[Shift]],Orders[#Headers],0),FALSE)</f>
        <v>Dinner</v>
      </c>
      <c r="M588" s="8">
        <f>(OrderLines[[#This Row],[Qty]]*OrderLines[[#This Row],[UnitPrice]])*(1-OrderLines[[#This Row],[DiscountPct]])</f>
        <v>170.83</v>
      </c>
      <c r="N588" t="str">
        <f>IF(AND(COUNTIFS(OrderLines[OrderID],OrderLines[[#This Row],[OrderID]],OrderLines[Category],"Hot Meal"),COUNTIFS(OrderLines[OrderID],OrderLines[[#This Row],[OrderID]],OrderLines[Category],"Beverage")),"Combo","Single")</f>
        <v>Combo</v>
      </c>
      <c r="O588" s="8" t="str" cm="1">
        <f t="array" ref="O588">IF(SUMPRODUCT(OrderLines[UnitPrice],OrderLines[Qty],OrderLines[DiscountPct],--(OrderLines[OrderID] = OrderLines[[#This Row],[OrderID]]))&gt;40,"High Discount","Ok")</f>
        <v>Ok</v>
      </c>
      <c r="P588">
        <f>OrderLines[[#This Row],[UnitCost]]*OrderLines[[#This Row],[Qty]]</f>
        <v>74.069999999999993</v>
      </c>
      <c r="Q588" s="8">
        <f>OrderLines[[#This Row],[LineNetAmount]]-OrderLines[[#This Row],[Food Cost]]</f>
        <v>96.760000000000019</v>
      </c>
    </row>
    <row r="589" spans="1:17" x14ac:dyDescent="0.3">
      <c r="A589" t="s">
        <v>267</v>
      </c>
      <c r="B589" t="s">
        <v>409</v>
      </c>
      <c r="C589">
        <v>1</v>
      </c>
      <c r="D589" cm="1">
        <f t="array" ref="D589">VLOOKUP(OrderLines[[#This Row],[SKU]:[SKU]],Menu[],MATCH(OrderLines[[#Headers],[UnitPrice]],Menu[#Headers],0),FALSE)</f>
        <v>28.43</v>
      </c>
      <c r="E589" cm="1">
        <f t="array" ref="E589">VLOOKUP(OrderLines[[#This Row],[SKU]:[SKU]],Menu[],MATCH(OrderLines[[#Headers],[UnitCost]],Menu[#Headers],0),FALSE)</f>
        <v>13.89</v>
      </c>
      <c r="F589" t="str" cm="1">
        <f t="array" ref="F589">VLOOKUP(OrderLines[[#This Row],[SKU]:[SKU]],Menu[],MATCH(OrderLines[[#Headers],[Category]],Menu[#Headers],0),FALSE)</f>
        <v>Beverage</v>
      </c>
      <c r="G589" t="str" cm="1">
        <f t="array" ref="G589">_xlfn.TEXTJOIN("+",TRUE,_xlfn._xlws.SORT(_xlfn.UNIQUE(_xlfn._xlws.FILTER(OrderLines[Category],OrderLines[OrderID]=OrderLines[[#This Row],[OrderID]]))))</f>
        <v>Beverage+Hot Meal</v>
      </c>
      <c r="H589" s="2" cm="1">
        <f t="array" ref="H589">INT(VLOOKUP(OrderLines[[#This Row],[OrderID]:[OrderID]],Orders[],MATCH(OrderLines[[#Headers],[OrderDateTime]],Orders[#Headers],0),FALSE))</f>
        <v>45840</v>
      </c>
      <c r="I589" t="str" cm="1">
        <f t="array" ref="I589">VLOOKUP(OrderLines[[#This Row],[OrderID]:[OrderID]],Orders[],MATCH(OrderLines[[#Headers],[Branch]],Orders[#Headers],0),FALSE)</f>
        <v>Plant 2 Canteen</v>
      </c>
      <c r="J589" cm="1">
        <f t="array" ref="J589">VLOOKUP(OrderLines[[#This Row],[OrderID]:[OrderID]],Orders[],MATCH(OrderLines[[#Headers],[DiscountPct]],Orders[#Headers],0),FALSE)</f>
        <v>0</v>
      </c>
      <c r="K589" t="str" cm="1">
        <f t="array" ref="K589">VLOOKUP(OrderLines[[#This Row],[OrderID]:[OrderID]],Orders[],MATCH(OrderLines[[#Headers],[PaymentType]],Orders[#Headers],0),FALSE)</f>
        <v>UPI</v>
      </c>
      <c r="L589" t="str" cm="1">
        <f t="array" ref="L589">VLOOKUP(OrderLines[[#This Row],[OrderID]:[OrderID]],Orders[],MATCH(OrderLines[[#Headers],[Shift]],Orders[#Headers],0),FALSE)</f>
        <v>Dinner</v>
      </c>
      <c r="M589" s="8">
        <f>(OrderLines[[#This Row],[Qty]]*OrderLines[[#This Row],[UnitPrice]])*(1-OrderLines[[#This Row],[DiscountPct]])</f>
        <v>28.43</v>
      </c>
      <c r="N589" t="str">
        <f>IF(AND(COUNTIFS(OrderLines[OrderID],OrderLines[[#This Row],[OrderID]],OrderLines[Category],"Hot Meal"),COUNTIFS(OrderLines[OrderID],OrderLines[[#This Row],[OrderID]],OrderLines[Category],"Beverage")),"Combo","Single")</f>
        <v>Combo</v>
      </c>
      <c r="O589" s="8" t="str" cm="1">
        <f t="array" ref="O589">IF(SUMPRODUCT(OrderLines[UnitPrice],OrderLines[Qty],OrderLines[DiscountPct],--(OrderLines[OrderID] = OrderLines[[#This Row],[OrderID]]))&gt;40,"High Discount","Ok")</f>
        <v>Ok</v>
      </c>
      <c r="P589">
        <f>OrderLines[[#This Row],[UnitCost]]*OrderLines[[#This Row],[Qty]]</f>
        <v>13.89</v>
      </c>
      <c r="Q589" s="8">
        <f>OrderLines[[#This Row],[LineNetAmount]]-OrderLines[[#This Row],[Food Cost]]</f>
        <v>14.54</v>
      </c>
    </row>
    <row r="590" spans="1:17" x14ac:dyDescent="0.3">
      <c r="A590" t="s">
        <v>268</v>
      </c>
      <c r="B590" t="s">
        <v>414</v>
      </c>
      <c r="C590">
        <v>1</v>
      </c>
      <c r="D590" cm="1">
        <f t="array" ref="D590">VLOOKUP(OrderLines[[#This Row],[SKU]:[SKU]],Menu[],MATCH(OrderLines[[#Headers],[UnitPrice]],Menu[#Headers],0),FALSE)</f>
        <v>116.8</v>
      </c>
      <c r="E590" cm="1">
        <f t="array" ref="E590">VLOOKUP(OrderLines[[#This Row],[SKU]:[SKU]],Menu[],MATCH(OrderLines[[#Headers],[UnitCost]],Menu[#Headers],0),FALSE)</f>
        <v>48.97</v>
      </c>
      <c r="F590" t="str" cm="1">
        <f t="array" ref="F590">VLOOKUP(OrderLines[[#This Row],[SKU]:[SKU]],Menu[],MATCH(OrderLines[[#Headers],[Category]],Menu[#Headers],0),FALSE)</f>
        <v>Dessert</v>
      </c>
      <c r="G590" t="str" cm="1">
        <f t="array" ref="G590">_xlfn.TEXTJOIN("+",TRUE,_xlfn._xlws.SORT(_xlfn.UNIQUE(_xlfn._xlws.FILTER(OrderLines[Category],OrderLines[OrderID]=OrderLines[[#This Row],[OrderID]]))))</f>
        <v>Beverage+Dessert+Snack</v>
      </c>
      <c r="H590" s="2" cm="1">
        <f t="array" ref="H590">INT(VLOOKUP(OrderLines[[#This Row],[OrderID]:[OrderID]],Orders[],MATCH(OrderLines[[#Headers],[OrderDateTime]],Orders[#Headers],0),FALSE))</f>
        <v>45840</v>
      </c>
      <c r="I590" t="str" cm="1">
        <f t="array" ref="I590">VLOOKUP(OrderLines[[#This Row],[OrderID]:[OrderID]],Orders[],MATCH(OrderLines[[#Headers],[Branch]],Orders[#Headers],0),FALSE)</f>
        <v>Plant 1 Canteen</v>
      </c>
      <c r="J590" cm="1">
        <f t="array" ref="J590">VLOOKUP(OrderLines[[#This Row],[OrderID]:[OrderID]],Orders[],MATCH(OrderLines[[#Headers],[DiscountPct]],Orders[#Headers],0),FALSE)</f>
        <v>0.11</v>
      </c>
      <c r="K590" t="str" cm="1">
        <f t="array" ref="K590">VLOOKUP(OrderLines[[#This Row],[OrderID]:[OrderID]],Orders[],MATCH(OrderLines[[#Headers],[PaymentType]],Orders[#Headers],0),FALSE)</f>
        <v>Cash</v>
      </c>
      <c r="L590" t="str" cm="1">
        <f t="array" ref="L590">VLOOKUP(OrderLines[[#This Row],[OrderID]:[OrderID]],Orders[],MATCH(OrderLines[[#Headers],[Shift]],Orders[#Headers],0),FALSE)</f>
        <v>Dinner</v>
      </c>
      <c r="M590" s="8">
        <f>(OrderLines[[#This Row],[Qty]]*OrderLines[[#This Row],[UnitPrice]])*(1-OrderLines[[#This Row],[DiscountPct]])</f>
        <v>103.952</v>
      </c>
      <c r="N590" t="str">
        <f>IF(AND(COUNTIFS(OrderLines[OrderID],OrderLines[[#This Row],[OrderID]],OrderLines[Category],"Hot Meal"),COUNTIFS(OrderLines[OrderID],OrderLines[[#This Row],[OrderID]],OrderLines[Category],"Beverage")),"Combo","Single")</f>
        <v>Single</v>
      </c>
      <c r="O590" s="8" t="str" cm="1">
        <f t="array" ref="O590">IF(SUMPRODUCT(OrderLines[UnitPrice],OrderLines[Qty],OrderLines[DiscountPct],--(OrderLines[OrderID] = OrderLines[[#This Row],[OrderID]]))&gt;40,"High Discount","Ok")</f>
        <v>High Discount</v>
      </c>
      <c r="P590">
        <f>OrderLines[[#This Row],[UnitCost]]*OrderLines[[#This Row],[Qty]]</f>
        <v>48.97</v>
      </c>
      <c r="Q590" s="8">
        <f>OrderLines[[#This Row],[LineNetAmount]]-OrderLines[[#This Row],[Food Cost]]</f>
        <v>54.981999999999999</v>
      </c>
    </row>
    <row r="591" spans="1:17" x14ac:dyDescent="0.3">
      <c r="A591" t="s">
        <v>268</v>
      </c>
      <c r="B591" t="s">
        <v>401</v>
      </c>
      <c r="C591">
        <v>2</v>
      </c>
      <c r="D591" cm="1">
        <f t="array" ref="D591">VLOOKUP(OrderLines[[#This Row],[SKU]:[SKU]],Menu[],MATCH(OrderLines[[#Headers],[UnitPrice]],Menu[#Headers],0),FALSE)</f>
        <v>52.45</v>
      </c>
      <c r="E591" cm="1">
        <f t="array" ref="E591">VLOOKUP(OrderLines[[#This Row],[SKU]:[SKU]],Menu[],MATCH(OrderLines[[#Headers],[UnitCost]],Menu[#Headers],0),FALSE)</f>
        <v>25.8</v>
      </c>
      <c r="F591" t="str" cm="1">
        <f t="array" ref="F591">VLOOKUP(OrderLines[[#This Row],[SKU]:[SKU]],Menu[],MATCH(OrderLines[[#Headers],[Category]],Menu[#Headers],0),FALSE)</f>
        <v>Snack</v>
      </c>
      <c r="G591" t="str" cm="1">
        <f t="array" ref="G591">_xlfn.TEXTJOIN("+",TRUE,_xlfn._xlws.SORT(_xlfn.UNIQUE(_xlfn._xlws.FILTER(OrderLines[Category],OrderLines[OrderID]=OrderLines[[#This Row],[OrderID]]))))</f>
        <v>Beverage+Dessert+Snack</v>
      </c>
      <c r="H591" s="2" cm="1">
        <f t="array" ref="H591">INT(VLOOKUP(OrderLines[[#This Row],[OrderID]:[OrderID]],Orders[],MATCH(OrderLines[[#Headers],[OrderDateTime]],Orders[#Headers],0),FALSE))</f>
        <v>45840</v>
      </c>
      <c r="I591" t="str" cm="1">
        <f t="array" ref="I591">VLOOKUP(OrderLines[[#This Row],[OrderID]:[OrderID]],Orders[],MATCH(OrderLines[[#Headers],[Branch]],Orders[#Headers],0),FALSE)</f>
        <v>Plant 1 Canteen</v>
      </c>
      <c r="J591" cm="1">
        <f t="array" ref="J591">VLOOKUP(OrderLines[[#This Row],[OrderID]:[OrderID]],Orders[],MATCH(OrderLines[[#Headers],[DiscountPct]],Orders[#Headers],0),FALSE)</f>
        <v>0.11</v>
      </c>
      <c r="K591" t="str" cm="1">
        <f t="array" ref="K591">VLOOKUP(OrderLines[[#This Row],[OrderID]:[OrderID]],Orders[],MATCH(OrderLines[[#Headers],[PaymentType]],Orders[#Headers],0),FALSE)</f>
        <v>Cash</v>
      </c>
      <c r="L591" t="str" cm="1">
        <f t="array" ref="L591">VLOOKUP(OrderLines[[#This Row],[OrderID]:[OrderID]],Orders[],MATCH(OrderLines[[#Headers],[Shift]],Orders[#Headers],0),FALSE)</f>
        <v>Dinner</v>
      </c>
      <c r="M591" s="8">
        <f>(OrderLines[[#This Row],[Qty]]*OrderLines[[#This Row],[UnitPrice]])*(1-OrderLines[[#This Row],[DiscountPct]])</f>
        <v>93.361000000000004</v>
      </c>
      <c r="N591" t="str">
        <f>IF(AND(COUNTIFS(OrderLines[OrderID],OrderLines[[#This Row],[OrderID]],OrderLines[Category],"Hot Meal"),COUNTIFS(OrderLines[OrderID],OrderLines[[#This Row],[OrderID]],OrderLines[Category],"Beverage")),"Combo","Single")</f>
        <v>Single</v>
      </c>
      <c r="O591" s="8" t="str" cm="1">
        <f t="array" ref="O591">IF(SUMPRODUCT(OrderLines[UnitPrice],OrderLines[Qty],OrderLines[DiscountPct],--(OrderLines[OrderID] = OrderLines[[#This Row],[OrderID]]))&gt;40,"High Discount","Ok")</f>
        <v>High Discount</v>
      </c>
      <c r="P591">
        <f>OrderLines[[#This Row],[UnitCost]]*OrderLines[[#This Row],[Qty]]</f>
        <v>51.6</v>
      </c>
      <c r="Q591" s="8">
        <f>OrderLines[[#This Row],[LineNetAmount]]-OrderLines[[#This Row],[Food Cost]]</f>
        <v>41.761000000000003</v>
      </c>
    </row>
    <row r="592" spans="1:17" x14ac:dyDescent="0.3">
      <c r="A592" t="s">
        <v>268</v>
      </c>
      <c r="B592" t="s">
        <v>404</v>
      </c>
      <c r="C592">
        <v>2</v>
      </c>
      <c r="D592" cm="1">
        <f t="array" ref="D592">VLOOKUP(OrderLines[[#This Row],[SKU]:[SKU]],Menu[],MATCH(OrderLines[[#Headers],[UnitPrice]],Menu[#Headers],0),FALSE)</f>
        <v>32.979999999999997</v>
      </c>
      <c r="E592" cm="1">
        <f t="array" ref="E592">VLOOKUP(OrderLines[[#This Row],[SKU]:[SKU]],Menu[],MATCH(OrderLines[[#Headers],[UnitCost]],Menu[#Headers],0),FALSE)</f>
        <v>11.84</v>
      </c>
      <c r="F592" t="str" cm="1">
        <f t="array" ref="F592">VLOOKUP(OrderLines[[#This Row],[SKU]:[SKU]],Menu[],MATCH(OrderLines[[#Headers],[Category]],Menu[#Headers],0),FALSE)</f>
        <v>Beverage</v>
      </c>
      <c r="G592" t="str" cm="1">
        <f t="array" ref="G592">_xlfn.TEXTJOIN("+",TRUE,_xlfn._xlws.SORT(_xlfn.UNIQUE(_xlfn._xlws.FILTER(OrderLines[Category],OrderLines[OrderID]=OrderLines[[#This Row],[OrderID]]))))</f>
        <v>Beverage+Dessert+Snack</v>
      </c>
      <c r="H592" s="2" cm="1">
        <f t="array" ref="H592">INT(VLOOKUP(OrderLines[[#This Row],[OrderID]:[OrderID]],Orders[],MATCH(OrderLines[[#Headers],[OrderDateTime]],Orders[#Headers],0),FALSE))</f>
        <v>45840</v>
      </c>
      <c r="I592" t="str" cm="1">
        <f t="array" ref="I592">VLOOKUP(OrderLines[[#This Row],[OrderID]:[OrderID]],Orders[],MATCH(OrderLines[[#Headers],[Branch]],Orders[#Headers],0),FALSE)</f>
        <v>Plant 1 Canteen</v>
      </c>
      <c r="J592" cm="1">
        <f t="array" ref="J592">VLOOKUP(OrderLines[[#This Row],[OrderID]:[OrderID]],Orders[],MATCH(OrderLines[[#Headers],[DiscountPct]],Orders[#Headers],0),FALSE)</f>
        <v>0.11</v>
      </c>
      <c r="K592" t="str" cm="1">
        <f t="array" ref="K592">VLOOKUP(OrderLines[[#This Row],[OrderID]:[OrderID]],Orders[],MATCH(OrderLines[[#Headers],[PaymentType]],Orders[#Headers],0),FALSE)</f>
        <v>Cash</v>
      </c>
      <c r="L592" t="str" cm="1">
        <f t="array" ref="L592">VLOOKUP(OrderLines[[#This Row],[OrderID]:[OrderID]],Orders[],MATCH(OrderLines[[#Headers],[Shift]],Orders[#Headers],0),FALSE)</f>
        <v>Dinner</v>
      </c>
      <c r="M592" s="8">
        <f>(OrderLines[[#This Row],[Qty]]*OrderLines[[#This Row],[UnitPrice]])*(1-OrderLines[[#This Row],[DiscountPct]])</f>
        <v>58.704399999999993</v>
      </c>
      <c r="N592" t="str">
        <f>IF(AND(COUNTIFS(OrderLines[OrderID],OrderLines[[#This Row],[OrderID]],OrderLines[Category],"Hot Meal"),COUNTIFS(OrderLines[OrderID],OrderLines[[#This Row],[OrderID]],OrderLines[Category],"Beverage")),"Combo","Single")</f>
        <v>Single</v>
      </c>
      <c r="O592" s="8" t="str" cm="1">
        <f t="array" ref="O592">IF(SUMPRODUCT(OrderLines[UnitPrice],OrderLines[Qty],OrderLines[DiscountPct],--(OrderLines[OrderID] = OrderLines[[#This Row],[OrderID]]))&gt;40,"High Discount","Ok")</f>
        <v>High Discount</v>
      </c>
      <c r="P592">
        <f>OrderLines[[#This Row],[UnitCost]]*OrderLines[[#This Row],[Qty]]</f>
        <v>23.68</v>
      </c>
      <c r="Q592" s="8">
        <f>OrderLines[[#This Row],[LineNetAmount]]-OrderLines[[#This Row],[Food Cost]]</f>
        <v>35.024399999999993</v>
      </c>
    </row>
    <row r="593" spans="1:17" x14ac:dyDescent="0.3">
      <c r="A593" t="s">
        <v>268</v>
      </c>
      <c r="B593" t="s">
        <v>403</v>
      </c>
      <c r="C593">
        <v>3</v>
      </c>
      <c r="D593" cm="1">
        <f t="array" ref="D593">VLOOKUP(OrderLines[[#This Row],[SKU]:[SKU]],Menu[],MATCH(OrderLines[[#Headers],[UnitPrice]],Menu[#Headers],0),FALSE)</f>
        <v>76.55</v>
      </c>
      <c r="E593" cm="1">
        <f t="array" ref="E593">VLOOKUP(OrderLines[[#This Row],[SKU]:[SKU]],Menu[],MATCH(OrderLines[[#Headers],[UnitCost]],Menu[#Headers],0),FALSE)</f>
        <v>38.229999999999997</v>
      </c>
      <c r="F593" t="str" cm="1">
        <f t="array" ref="F593">VLOOKUP(OrderLines[[#This Row],[SKU]:[SKU]],Menu[],MATCH(OrderLines[[#Headers],[Category]],Menu[#Headers],0),FALSE)</f>
        <v>Dessert</v>
      </c>
      <c r="G593" t="str" cm="1">
        <f t="array" ref="G593">_xlfn.TEXTJOIN("+",TRUE,_xlfn._xlws.SORT(_xlfn.UNIQUE(_xlfn._xlws.FILTER(OrderLines[Category],OrderLines[OrderID]=OrderLines[[#This Row],[OrderID]]))))</f>
        <v>Beverage+Dessert+Snack</v>
      </c>
      <c r="H593" s="2" cm="1">
        <f t="array" ref="H593">INT(VLOOKUP(OrderLines[[#This Row],[OrderID]:[OrderID]],Orders[],MATCH(OrderLines[[#Headers],[OrderDateTime]],Orders[#Headers],0),FALSE))</f>
        <v>45840</v>
      </c>
      <c r="I593" t="str" cm="1">
        <f t="array" ref="I593">VLOOKUP(OrderLines[[#This Row],[OrderID]:[OrderID]],Orders[],MATCH(OrderLines[[#Headers],[Branch]],Orders[#Headers],0),FALSE)</f>
        <v>Plant 1 Canteen</v>
      </c>
      <c r="J593" cm="1">
        <f t="array" ref="J593">VLOOKUP(OrderLines[[#This Row],[OrderID]:[OrderID]],Orders[],MATCH(OrderLines[[#Headers],[DiscountPct]],Orders[#Headers],0),FALSE)</f>
        <v>0.11</v>
      </c>
      <c r="K593" t="str" cm="1">
        <f t="array" ref="K593">VLOOKUP(OrderLines[[#This Row],[OrderID]:[OrderID]],Orders[],MATCH(OrderLines[[#Headers],[PaymentType]],Orders[#Headers],0),FALSE)</f>
        <v>Cash</v>
      </c>
      <c r="L593" t="str" cm="1">
        <f t="array" ref="L593">VLOOKUP(OrderLines[[#This Row],[OrderID]:[OrderID]],Orders[],MATCH(OrderLines[[#Headers],[Shift]],Orders[#Headers],0),FALSE)</f>
        <v>Dinner</v>
      </c>
      <c r="M593" s="8">
        <f>(OrderLines[[#This Row],[Qty]]*OrderLines[[#This Row],[UnitPrice]])*(1-OrderLines[[#This Row],[DiscountPct]])</f>
        <v>204.38849999999999</v>
      </c>
      <c r="N593" t="str">
        <f>IF(AND(COUNTIFS(OrderLines[OrderID],OrderLines[[#This Row],[OrderID]],OrderLines[Category],"Hot Meal"),COUNTIFS(OrderLines[OrderID],OrderLines[[#This Row],[OrderID]],OrderLines[Category],"Beverage")),"Combo","Single")</f>
        <v>Single</v>
      </c>
      <c r="O593" s="8" t="str" cm="1">
        <f t="array" ref="O593">IF(SUMPRODUCT(OrderLines[UnitPrice],OrderLines[Qty],OrderLines[DiscountPct],--(OrderLines[OrderID] = OrderLines[[#This Row],[OrderID]]))&gt;40,"High Discount","Ok")</f>
        <v>High Discount</v>
      </c>
      <c r="P593">
        <f>OrderLines[[#This Row],[UnitCost]]*OrderLines[[#This Row],[Qty]]</f>
        <v>114.69</v>
      </c>
      <c r="Q593" s="8">
        <f>OrderLines[[#This Row],[LineNetAmount]]-OrderLines[[#This Row],[Food Cost]]</f>
        <v>89.698499999999996</v>
      </c>
    </row>
    <row r="594" spans="1:17" x14ac:dyDescent="0.3">
      <c r="A594" t="s">
        <v>269</v>
      </c>
      <c r="B594" t="s">
        <v>411</v>
      </c>
      <c r="C594">
        <v>1</v>
      </c>
      <c r="D594" cm="1">
        <f t="array" ref="D594">VLOOKUP(OrderLines[[#This Row],[SKU]:[SKU]],Menu[],MATCH(OrderLines[[#Headers],[UnitPrice]],Menu[#Headers],0),FALSE)</f>
        <v>22.2</v>
      </c>
      <c r="E594" cm="1">
        <f t="array" ref="E594">VLOOKUP(OrderLines[[#This Row],[SKU]:[SKU]],Menu[],MATCH(OrderLines[[#Headers],[UnitCost]],Menu[#Headers],0),FALSE)</f>
        <v>9.3800000000000008</v>
      </c>
      <c r="F594" t="str" cm="1">
        <f t="array" ref="F594">VLOOKUP(OrderLines[[#This Row],[SKU]:[SKU]],Menu[],MATCH(OrderLines[[#Headers],[Category]],Menu[#Headers],0),FALSE)</f>
        <v>Beverage</v>
      </c>
      <c r="G594" t="str" cm="1">
        <f t="array" ref="G594">_xlfn.TEXTJOIN("+",TRUE,_xlfn._xlws.SORT(_xlfn.UNIQUE(_xlfn._xlws.FILTER(OrderLines[Category],OrderLines[OrderID]=OrderLines[[#This Row],[OrderID]]))))</f>
        <v>Beverage+Hot Meal</v>
      </c>
      <c r="H594" s="2" cm="1">
        <f t="array" ref="H594">INT(VLOOKUP(OrderLines[[#This Row],[OrderID]:[OrderID]],Orders[],MATCH(OrderLines[[#Headers],[OrderDateTime]],Orders[#Headers],0),FALSE))</f>
        <v>45880</v>
      </c>
      <c r="I594" t="str" cm="1">
        <f t="array" ref="I594">VLOOKUP(OrderLines[[#This Row],[OrderID]:[OrderID]],Orders[],MATCH(OrderLines[[#Headers],[Branch]],Orders[#Headers],0),FALSE)</f>
        <v>Head Office Café</v>
      </c>
      <c r="J594" cm="1">
        <f t="array" ref="J594">VLOOKUP(OrderLines[[#This Row],[OrderID]:[OrderID]],Orders[],MATCH(OrderLines[[#Headers],[DiscountPct]],Orders[#Headers],0),FALSE)</f>
        <v>0.06</v>
      </c>
      <c r="K594" t="str" cm="1">
        <f t="array" ref="K594">VLOOKUP(OrderLines[[#This Row],[OrderID]:[OrderID]],Orders[],MATCH(OrderLines[[#Headers],[PaymentType]],Orders[#Headers],0),FALSE)</f>
        <v>UPI</v>
      </c>
      <c r="L594" t="str" cm="1">
        <f t="array" ref="L594">VLOOKUP(OrderLines[[#This Row],[OrderID]:[OrderID]],Orders[],MATCH(OrderLines[[#Headers],[Shift]],Orders[#Headers],0),FALSE)</f>
        <v>Breakfast</v>
      </c>
      <c r="M594" s="8">
        <f>(OrderLines[[#This Row],[Qty]]*OrderLines[[#This Row],[UnitPrice]])*(1-OrderLines[[#This Row],[DiscountPct]])</f>
        <v>20.867999999999999</v>
      </c>
      <c r="N594" t="str">
        <f>IF(AND(COUNTIFS(OrderLines[OrderID],OrderLines[[#This Row],[OrderID]],OrderLines[Category],"Hot Meal"),COUNTIFS(OrderLines[OrderID],OrderLines[[#This Row],[OrderID]],OrderLines[Category],"Beverage")),"Combo","Single")</f>
        <v>Combo</v>
      </c>
      <c r="O594" s="8" t="str" cm="1">
        <f t="array" ref="O594">IF(SUMPRODUCT(OrderLines[UnitPrice],OrderLines[Qty],OrderLines[DiscountPct],--(OrderLines[OrderID] = OrderLines[[#This Row],[OrderID]]))&gt;40,"High Discount","Ok")</f>
        <v>Ok</v>
      </c>
      <c r="P594">
        <f>OrderLines[[#This Row],[UnitCost]]*OrderLines[[#This Row],[Qty]]</f>
        <v>9.3800000000000008</v>
      </c>
      <c r="Q594" s="8">
        <f>OrderLines[[#This Row],[LineNetAmount]]-OrderLines[[#This Row],[Food Cost]]</f>
        <v>11.487999999999998</v>
      </c>
    </row>
    <row r="595" spans="1:17" x14ac:dyDescent="0.3">
      <c r="A595" t="s">
        <v>269</v>
      </c>
      <c r="B595" t="s">
        <v>407</v>
      </c>
      <c r="C595">
        <v>2</v>
      </c>
      <c r="D595" cm="1">
        <f t="array" ref="D595">VLOOKUP(OrderLines[[#This Row],[SKU]:[SKU]],Menu[],MATCH(OrderLines[[#Headers],[UnitPrice]],Menu[#Headers],0),FALSE)</f>
        <v>246.09</v>
      </c>
      <c r="E595" cm="1">
        <f t="array" ref="E595">VLOOKUP(OrderLines[[#This Row],[SKU]:[SKU]],Menu[],MATCH(OrderLines[[#Headers],[UnitCost]],Menu[#Headers],0),FALSE)</f>
        <v>112.08</v>
      </c>
      <c r="F595" t="str" cm="1">
        <f t="array" ref="F595">VLOOKUP(OrderLines[[#This Row],[SKU]:[SKU]],Menu[],MATCH(OrderLines[[#Headers],[Category]],Menu[#Headers],0),FALSE)</f>
        <v>Hot Meal</v>
      </c>
      <c r="G595" t="str" cm="1">
        <f t="array" ref="G595">_xlfn.TEXTJOIN("+",TRUE,_xlfn._xlws.SORT(_xlfn.UNIQUE(_xlfn._xlws.FILTER(OrderLines[Category],OrderLines[OrderID]=OrderLines[[#This Row],[OrderID]]))))</f>
        <v>Beverage+Hot Meal</v>
      </c>
      <c r="H595" s="2" cm="1">
        <f t="array" ref="H595">INT(VLOOKUP(OrderLines[[#This Row],[OrderID]:[OrderID]],Orders[],MATCH(OrderLines[[#Headers],[OrderDateTime]],Orders[#Headers],0),FALSE))</f>
        <v>45880</v>
      </c>
      <c r="I595" t="str" cm="1">
        <f t="array" ref="I595">VLOOKUP(OrderLines[[#This Row],[OrderID]:[OrderID]],Orders[],MATCH(OrderLines[[#Headers],[Branch]],Orders[#Headers],0),FALSE)</f>
        <v>Head Office Café</v>
      </c>
      <c r="J595" cm="1">
        <f t="array" ref="J595">VLOOKUP(OrderLines[[#This Row],[OrderID]:[OrderID]],Orders[],MATCH(OrderLines[[#Headers],[DiscountPct]],Orders[#Headers],0),FALSE)</f>
        <v>0.06</v>
      </c>
      <c r="K595" t="str" cm="1">
        <f t="array" ref="K595">VLOOKUP(OrderLines[[#This Row],[OrderID]:[OrderID]],Orders[],MATCH(OrderLines[[#Headers],[PaymentType]],Orders[#Headers],0),FALSE)</f>
        <v>UPI</v>
      </c>
      <c r="L595" t="str" cm="1">
        <f t="array" ref="L595">VLOOKUP(OrderLines[[#This Row],[OrderID]:[OrderID]],Orders[],MATCH(OrderLines[[#Headers],[Shift]],Orders[#Headers],0),FALSE)</f>
        <v>Breakfast</v>
      </c>
      <c r="M595" s="8">
        <f>(OrderLines[[#This Row],[Qty]]*OrderLines[[#This Row],[UnitPrice]])*(1-OrderLines[[#This Row],[DiscountPct]])</f>
        <v>462.64920000000001</v>
      </c>
      <c r="N595" t="str">
        <f>IF(AND(COUNTIFS(OrderLines[OrderID],OrderLines[[#This Row],[OrderID]],OrderLines[Category],"Hot Meal"),COUNTIFS(OrderLines[OrderID],OrderLines[[#This Row],[OrderID]],OrderLines[Category],"Beverage")),"Combo","Single")</f>
        <v>Combo</v>
      </c>
      <c r="O595" s="8" t="str" cm="1">
        <f t="array" ref="O595">IF(SUMPRODUCT(OrderLines[UnitPrice],OrderLines[Qty],OrderLines[DiscountPct],--(OrderLines[OrderID] = OrderLines[[#This Row],[OrderID]]))&gt;40,"High Discount","Ok")</f>
        <v>Ok</v>
      </c>
      <c r="P595">
        <f>OrderLines[[#This Row],[UnitCost]]*OrderLines[[#This Row],[Qty]]</f>
        <v>224.16</v>
      </c>
      <c r="Q595" s="8">
        <f>OrderLines[[#This Row],[LineNetAmount]]-OrderLines[[#This Row],[Food Cost]]</f>
        <v>238.48920000000001</v>
      </c>
    </row>
    <row r="596" spans="1:17" x14ac:dyDescent="0.3">
      <c r="A596" t="s">
        <v>270</v>
      </c>
      <c r="B596" t="s">
        <v>419</v>
      </c>
      <c r="C596">
        <v>2</v>
      </c>
      <c r="D596" cm="1">
        <f t="array" ref="D596">VLOOKUP(OrderLines[[#This Row],[SKU]:[SKU]],Menu[],MATCH(OrderLines[[#Headers],[UnitPrice]],Menu[#Headers],0),FALSE)</f>
        <v>50.19</v>
      </c>
      <c r="E596" cm="1">
        <f t="array" ref="E596">VLOOKUP(OrderLines[[#This Row],[SKU]:[SKU]],Menu[],MATCH(OrderLines[[#Headers],[UnitCost]],Menu[#Headers],0),FALSE)</f>
        <v>22.61</v>
      </c>
      <c r="F596" t="str" cm="1">
        <f t="array" ref="F596">VLOOKUP(OrderLines[[#This Row],[SKU]:[SKU]],Menu[],MATCH(OrderLines[[#Headers],[Category]],Menu[#Headers],0),FALSE)</f>
        <v>Snack</v>
      </c>
      <c r="G596" t="str" cm="1">
        <f t="array" ref="G596">_xlfn.TEXTJOIN("+",TRUE,_xlfn._xlws.SORT(_xlfn.UNIQUE(_xlfn._xlws.FILTER(OrderLines[Category],OrderLines[OrderID]=OrderLines[[#This Row],[OrderID]]))))</f>
        <v>Beverage+Snack</v>
      </c>
      <c r="H596" s="2" cm="1">
        <f t="array" ref="H596">INT(VLOOKUP(OrderLines[[#This Row],[OrderID]:[OrderID]],Orders[],MATCH(OrderLines[[#Headers],[OrderDateTime]],Orders[#Headers],0),FALSE))</f>
        <v>45885</v>
      </c>
      <c r="I596" t="str" cm="1">
        <f t="array" ref="I596">VLOOKUP(OrderLines[[#This Row],[OrderID]:[OrderID]],Orders[],MATCH(OrderLines[[#Headers],[Branch]],Orders[#Headers],0),FALSE)</f>
        <v>Plant 2 Canteen</v>
      </c>
      <c r="J596" cm="1">
        <f t="array" ref="J596">VLOOKUP(OrderLines[[#This Row],[OrderID]:[OrderID]],Orders[],MATCH(OrderLines[[#Headers],[DiscountPct]],Orders[#Headers],0),FALSE)</f>
        <v>0.02</v>
      </c>
      <c r="K596" t="str" cm="1">
        <f t="array" ref="K596">VLOOKUP(OrderLines[[#This Row],[OrderID]:[OrderID]],Orders[],MATCH(OrderLines[[#Headers],[PaymentType]],Orders[#Headers],0),FALSE)</f>
        <v>UPI</v>
      </c>
      <c r="L596" t="str" cm="1">
        <f t="array" ref="L596">VLOOKUP(OrderLines[[#This Row],[OrderID]:[OrderID]],Orders[],MATCH(OrderLines[[#Headers],[Shift]],Orders[#Headers],0),FALSE)</f>
        <v>Lunch</v>
      </c>
      <c r="M596" s="8">
        <f>(OrderLines[[#This Row],[Qty]]*OrderLines[[#This Row],[UnitPrice]])*(1-OrderLines[[#This Row],[DiscountPct]])</f>
        <v>98.372399999999999</v>
      </c>
      <c r="N596" t="str">
        <f>IF(AND(COUNTIFS(OrderLines[OrderID],OrderLines[[#This Row],[OrderID]],OrderLines[Category],"Hot Meal"),COUNTIFS(OrderLines[OrderID],OrderLines[[#This Row],[OrderID]],OrderLines[Category],"Beverage")),"Combo","Single")</f>
        <v>Single</v>
      </c>
      <c r="O596" s="8" t="str" cm="1">
        <f t="array" ref="O596">IF(SUMPRODUCT(OrderLines[UnitPrice],OrderLines[Qty],OrderLines[DiscountPct],--(OrderLines[OrderID] = OrderLines[[#This Row],[OrderID]]))&gt;40,"High Discount","Ok")</f>
        <v>Ok</v>
      </c>
      <c r="P596">
        <f>OrderLines[[#This Row],[UnitCost]]*OrderLines[[#This Row],[Qty]]</f>
        <v>45.22</v>
      </c>
      <c r="Q596" s="8">
        <f>OrderLines[[#This Row],[LineNetAmount]]-OrderLines[[#This Row],[Food Cost]]</f>
        <v>53.1524</v>
      </c>
    </row>
    <row r="597" spans="1:17" x14ac:dyDescent="0.3">
      <c r="A597" t="s">
        <v>270</v>
      </c>
      <c r="B597" t="s">
        <v>402</v>
      </c>
      <c r="C597">
        <v>1</v>
      </c>
      <c r="D597" cm="1">
        <f t="array" ref="D597">VLOOKUP(OrderLines[[#This Row],[SKU]:[SKU]],Menu[],MATCH(OrderLines[[#Headers],[UnitPrice]],Menu[#Headers],0),FALSE)</f>
        <v>30.34</v>
      </c>
      <c r="E597" cm="1">
        <f t="array" ref="E597">VLOOKUP(OrderLines[[#This Row],[SKU]:[SKU]],Menu[],MATCH(OrderLines[[#Headers],[UnitCost]],Menu[#Headers],0),FALSE)</f>
        <v>14.18</v>
      </c>
      <c r="F597" t="str" cm="1">
        <f t="array" ref="F597">VLOOKUP(OrderLines[[#This Row],[SKU]:[SKU]],Menu[],MATCH(OrderLines[[#Headers],[Category]],Menu[#Headers],0),FALSE)</f>
        <v>Beverage</v>
      </c>
      <c r="G597" t="str" cm="1">
        <f t="array" ref="G597">_xlfn.TEXTJOIN("+",TRUE,_xlfn._xlws.SORT(_xlfn.UNIQUE(_xlfn._xlws.FILTER(OrderLines[Category],OrderLines[OrderID]=OrderLines[[#This Row],[OrderID]]))))</f>
        <v>Beverage+Snack</v>
      </c>
      <c r="H597" s="2" cm="1">
        <f t="array" ref="H597">INT(VLOOKUP(OrderLines[[#This Row],[OrderID]:[OrderID]],Orders[],MATCH(OrderLines[[#Headers],[OrderDateTime]],Orders[#Headers],0),FALSE))</f>
        <v>45885</v>
      </c>
      <c r="I597" t="str" cm="1">
        <f t="array" ref="I597">VLOOKUP(OrderLines[[#This Row],[OrderID]:[OrderID]],Orders[],MATCH(OrderLines[[#Headers],[Branch]],Orders[#Headers],0),FALSE)</f>
        <v>Plant 2 Canteen</v>
      </c>
      <c r="J597" cm="1">
        <f t="array" ref="J597">VLOOKUP(OrderLines[[#This Row],[OrderID]:[OrderID]],Orders[],MATCH(OrderLines[[#Headers],[DiscountPct]],Orders[#Headers],0),FALSE)</f>
        <v>0.02</v>
      </c>
      <c r="K597" t="str" cm="1">
        <f t="array" ref="K597">VLOOKUP(OrderLines[[#This Row],[OrderID]:[OrderID]],Orders[],MATCH(OrderLines[[#Headers],[PaymentType]],Orders[#Headers],0),FALSE)</f>
        <v>UPI</v>
      </c>
      <c r="L597" t="str" cm="1">
        <f t="array" ref="L597">VLOOKUP(OrderLines[[#This Row],[OrderID]:[OrderID]],Orders[],MATCH(OrderLines[[#Headers],[Shift]],Orders[#Headers],0),FALSE)</f>
        <v>Lunch</v>
      </c>
      <c r="M597" s="8">
        <f>(OrderLines[[#This Row],[Qty]]*OrderLines[[#This Row],[UnitPrice]])*(1-OrderLines[[#This Row],[DiscountPct]])</f>
        <v>29.7332</v>
      </c>
      <c r="N597" t="str">
        <f>IF(AND(COUNTIFS(OrderLines[OrderID],OrderLines[[#This Row],[OrderID]],OrderLines[Category],"Hot Meal"),COUNTIFS(OrderLines[OrderID],OrderLines[[#This Row],[OrderID]],OrderLines[Category],"Beverage")),"Combo","Single")</f>
        <v>Single</v>
      </c>
      <c r="O597" s="8" t="str" cm="1">
        <f t="array" ref="O597">IF(SUMPRODUCT(OrderLines[UnitPrice],OrderLines[Qty],OrderLines[DiscountPct],--(OrderLines[OrderID] = OrderLines[[#This Row],[OrderID]]))&gt;40,"High Discount","Ok")</f>
        <v>Ok</v>
      </c>
      <c r="P597">
        <f>OrderLines[[#This Row],[UnitCost]]*OrderLines[[#This Row],[Qty]]</f>
        <v>14.18</v>
      </c>
      <c r="Q597" s="8">
        <f>OrderLines[[#This Row],[LineNetAmount]]-OrderLines[[#This Row],[Food Cost]]</f>
        <v>15.5532</v>
      </c>
    </row>
    <row r="598" spans="1:17" x14ac:dyDescent="0.3">
      <c r="A598" t="s">
        <v>271</v>
      </c>
      <c r="B598" t="s">
        <v>418</v>
      </c>
      <c r="C598">
        <v>1</v>
      </c>
      <c r="D598" cm="1">
        <f t="array" ref="D598">VLOOKUP(OrderLines[[#This Row],[SKU]:[SKU]],Menu[],MATCH(OrderLines[[#Headers],[UnitPrice]],Menu[#Headers],0),FALSE)</f>
        <v>39.950000000000003</v>
      </c>
      <c r="E598" cm="1">
        <f t="array" ref="E598">VLOOKUP(OrderLines[[#This Row],[SKU]:[SKU]],Menu[],MATCH(OrderLines[[#Headers],[UnitCost]],Menu[#Headers],0),FALSE)</f>
        <v>15.51</v>
      </c>
      <c r="F598" t="str" cm="1">
        <f t="array" ref="F598">VLOOKUP(OrderLines[[#This Row],[SKU]:[SKU]],Menu[],MATCH(OrderLines[[#Headers],[Category]],Menu[#Headers],0),FALSE)</f>
        <v>Snack</v>
      </c>
      <c r="G598" t="str" cm="1">
        <f t="array" ref="G598">_xlfn.TEXTJOIN("+",TRUE,_xlfn._xlws.SORT(_xlfn.UNIQUE(_xlfn._xlws.FILTER(OrderLines[Category],OrderLines[OrderID]=OrderLines[[#This Row],[OrderID]]))))</f>
        <v>Snack</v>
      </c>
      <c r="H598" s="2" cm="1">
        <f t="array" ref="H598">INT(VLOOKUP(OrderLines[[#This Row],[OrderID]:[OrderID]],Orders[],MATCH(OrderLines[[#Headers],[OrderDateTime]],Orders[#Headers],0),FALSE))</f>
        <v>45883</v>
      </c>
      <c r="I598" t="str" cm="1">
        <f t="array" ref="I598">VLOOKUP(OrderLines[[#This Row],[OrderID]:[OrderID]],Orders[],MATCH(OrderLines[[#Headers],[Branch]],Orders[#Headers],0),FALSE)</f>
        <v>Head Office Café</v>
      </c>
      <c r="J598" cm="1">
        <f t="array" ref="J598">VLOOKUP(OrderLines[[#This Row],[OrderID]:[OrderID]],Orders[],MATCH(OrderLines[[#Headers],[DiscountPct]],Orders[#Headers],0),FALSE)</f>
        <v>0.08</v>
      </c>
      <c r="K598" t="str" cm="1">
        <f t="array" ref="K598">VLOOKUP(OrderLines[[#This Row],[OrderID]:[OrderID]],Orders[],MATCH(OrderLines[[#Headers],[PaymentType]],Orders[#Headers],0),FALSE)</f>
        <v>UPI</v>
      </c>
      <c r="L598" t="str" cm="1">
        <f t="array" ref="L598">VLOOKUP(OrderLines[[#This Row],[OrderID]:[OrderID]],Orders[],MATCH(OrderLines[[#Headers],[Shift]],Orders[#Headers],0),FALSE)</f>
        <v>Breakfast</v>
      </c>
      <c r="M598" s="8">
        <f>(OrderLines[[#This Row],[Qty]]*OrderLines[[#This Row],[UnitPrice]])*(1-OrderLines[[#This Row],[DiscountPct]])</f>
        <v>36.754000000000005</v>
      </c>
      <c r="N598" t="str">
        <f>IF(AND(COUNTIFS(OrderLines[OrderID],OrderLines[[#This Row],[OrderID]],OrderLines[Category],"Hot Meal"),COUNTIFS(OrderLines[OrderID],OrderLines[[#This Row],[OrderID]],OrderLines[Category],"Beverage")),"Combo","Single")</f>
        <v>Single</v>
      </c>
      <c r="O598" s="8" t="str" cm="1">
        <f t="array" ref="O598">IF(SUMPRODUCT(OrderLines[UnitPrice],OrderLines[Qty],OrderLines[DiscountPct],--(OrderLines[OrderID] = OrderLines[[#This Row],[OrderID]]))&gt;40,"High Discount","Ok")</f>
        <v>Ok</v>
      </c>
      <c r="P598">
        <f>OrderLines[[#This Row],[UnitCost]]*OrderLines[[#This Row],[Qty]]</f>
        <v>15.51</v>
      </c>
      <c r="Q598" s="8">
        <f>OrderLines[[#This Row],[LineNetAmount]]-OrderLines[[#This Row],[Food Cost]]</f>
        <v>21.244000000000007</v>
      </c>
    </row>
    <row r="599" spans="1:17" x14ac:dyDescent="0.3">
      <c r="A599" t="s">
        <v>272</v>
      </c>
      <c r="B599" t="s">
        <v>417</v>
      </c>
      <c r="C599">
        <v>1</v>
      </c>
      <c r="D599" cm="1">
        <f t="array" ref="D599">VLOOKUP(OrderLines[[#This Row],[SKU]:[SKU]],Menu[],MATCH(OrderLines[[#Headers],[UnitPrice]],Menu[#Headers],0),FALSE)</f>
        <v>146.4</v>
      </c>
      <c r="E599" cm="1">
        <f t="array" ref="E599">VLOOKUP(OrderLines[[#This Row],[SKU]:[SKU]],Menu[],MATCH(OrderLines[[#Headers],[UnitCost]],Menu[#Headers],0),FALSE)</f>
        <v>80.92</v>
      </c>
      <c r="F599" t="str" cm="1">
        <f t="array" ref="F599">VLOOKUP(OrderLines[[#This Row],[SKU]:[SKU]],Menu[],MATCH(OrderLines[[#Headers],[Category]],Menu[#Headers],0),FALSE)</f>
        <v>Hot Meal</v>
      </c>
      <c r="G599" t="str" cm="1">
        <f t="array" ref="G599">_xlfn.TEXTJOIN("+",TRUE,_xlfn._xlws.SORT(_xlfn.UNIQUE(_xlfn._xlws.FILTER(OrderLines[Category],OrderLines[OrderID]=OrderLines[[#This Row],[OrderID]]))))</f>
        <v>Hot Meal</v>
      </c>
      <c r="H599" s="2" cm="1">
        <f t="array" ref="H599">INT(VLOOKUP(OrderLines[[#This Row],[OrderID]:[OrderID]],Orders[],MATCH(OrderLines[[#Headers],[OrderDateTime]],Orders[#Headers],0),FALSE))</f>
        <v>45889</v>
      </c>
      <c r="I599" t="str" cm="1">
        <f t="array" ref="I599">VLOOKUP(OrderLines[[#This Row],[OrderID]:[OrderID]],Orders[],MATCH(OrderLines[[#Headers],[Branch]],Orders[#Headers],0),FALSE)</f>
        <v>Plant 2 Canteen</v>
      </c>
      <c r="J599" cm="1">
        <f t="array" ref="J599">VLOOKUP(OrderLines[[#This Row],[OrderID]:[OrderID]],Orders[],MATCH(OrderLines[[#Headers],[DiscountPct]],Orders[#Headers],0),FALSE)</f>
        <v>7.0000000000000007E-2</v>
      </c>
      <c r="K599" t="str" cm="1">
        <f t="array" ref="K599">VLOOKUP(OrderLines[[#This Row],[OrderID]:[OrderID]],Orders[],MATCH(OrderLines[[#Headers],[PaymentType]],Orders[#Headers],0),FALSE)</f>
        <v>UPI</v>
      </c>
      <c r="L599" t="str" cm="1">
        <f t="array" ref="L599">VLOOKUP(OrderLines[[#This Row],[OrderID]:[OrderID]],Orders[],MATCH(OrderLines[[#Headers],[Shift]],Orders[#Headers],0),FALSE)</f>
        <v>Dinner</v>
      </c>
      <c r="M599" s="8">
        <f>(OrderLines[[#This Row],[Qty]]*OrderLines[[#This Row],[UnitPrice]])*(1-OrderLines[[#This Row],[DiscountPct]])</f>
        <v>136.15199999999999</v>
      </c>
      <c r="N599" t="str">
        <f>IF(AND(COUNTIFS(OrderLines[OrderID],OrderLines[[#This Row],[OrderID]],OrderLines[Category],"Hot Meal"),COUNTIFS(OrderLines[OrderID],OrderLines[[#This Row],[OrderID]],OrderLines[Category],"Beverage")),"Combo","Single")</f>
        <v>Single</v>
      </c>
      <c r="O599" s="8" t="str" cm="1">
        <f t="array" ref="O599">IF(SUMPRODUCT(OrderLines[UnitPrice],OrderLines[Qty],OrderLines[DiscountPct],--(OrderLines[OrderID] = OrderLines[[#This Row],[OrderID]]))&gt;40,"High Discount","Ok")</f>
        <v>Ok</v>
      </c>
      <c r="P599">
        <f>OrderLines[[#This Row],[UnitCost]]*OrderLines[[#This Row],[Qty]]</f>
        <v>80.92</v>
      </c>
      <c r="Q599" s="8">
        <f>OrderLines[[#This Row],[LineNetAmount]]-OrderLines[[#This Row],[Food Cost]]</f>
        <v>55.231999999999985</v>
      </c>
    </row>
    <row r="600" spans="1:17" x14ac:dyDescent="0.3">
      <c r="A600" t="s">
        <v>273</v>
      </c>
      <c r="B600" t="s">
        <v>408</v>
      </c>
      <c r="C600">
        <v>2</v>
      </c>
      <c r="D600" cm="1">
        <f t="array" ref="D600">VLOOKUP(OrderLines[[#This Row],[SKU]:[SKU]],Menu[],MATCH(OrderLines[[#Headers],[UnitPrice]],Menu[#Headers],0),FALSE)</f>
        <v>70.540000000000006</v>
      </c>
      <c r="E600" cm="1">
        <f t="array" ref="E600">VLOOKUP(OrderLines[[#This Row],[SKU]:[SKU]],Menu[],MATCH(OrderLines[[#Headers],[UnitCost]],Menu[#Headers],0),FALSE)</f>
        <v>35.81</v>
      </c>
      <c r="F600" t="str" cm="1">
        <f t="array" ref="F600">VLOOKUP(OrderLines[[#This Row],[SKU]:[SKU]],Menu[],MATCH(OrderLines[[#Headers],[Category]],Menu[#Headers],0),FALSE)</f>
        <v>Snack</v>
      </c>
      <c r="G600" t="str" cm="1">
        <f t="array" ref="G600">_xlfn.TEXTJOIN("+",TRUE,_xlfn._xlws.SORT(_xlfn.UNIQUE(_xlfn._xlws.FILTER(OrderLines[Category],OrderLines[OrderID]=OrderLines[[#This Row],[OrderID]]))))</f>
        <v>Dessert+Snack</v>
      </c>
      <c r="H600" s="2" cm="1">
        <f t="array" ref="H600">INT(VLOOKUP(OrderLines[[#This Row],[OrderID]:[OrderID]],Orders[],MATCH(OrderLines[[#Headers],[OrderDateTime]],Orders[#Headers],0),FALSE))</f>
        <v>45845</v>
      </c>
      <c r="I600" t="str" cm="1">
        <f t="array" ref="I600">VLOOKUP(OrderLines[[#This Row],[OrderID]:[OrderID]],Orders[],MATCH(OrderLines[[#Headers],[Branch]],Orders[#Headers],0),FALSE)</f>
        <v>Plant 2 Canteen</v>
      </c>
      <c r="J600" cm="1">
        <f t="array" ref="J600">VLOOKUP(OrderLines[[#This Row],[OrderID]:[OrderID]],Orders[],MATCH(OrderLines[[#Headers],[DiscountPct]],Orders[#Headers],0),FALSE)</f>
        <v>0.04</v>
      </c>
      <c r="K600" t="str" cm="1">
        <f t="array" ref="K600">VLOOKUP(OrderLines[[#This Row],[OrderID]:[OrderID]],Orders[],MATCH(OrderLines[[#Headers],[PaymentType]],Orders[#Headers],0),FALSE)</f>
        <v>Card</v>
      </c>
      <c r="L600" t="str" cm="1">
        <f t="array" ref="L600">VLOOKUP(OrderLines[[#This Row],[OrderID]:[OrderID]],Orders[],MATCH(OrderLines[[#Headers],[Shift]],Orders[#Headers],0),FALSE)</f>
        <v>Breakfast</v>
      </c>
      <c r="M600" s="8">
        <f>(OrderLines[[#This Row],[Qty]]*OrderLines[[#This Row],[UnitPrice]])*(1-OrderLines[[#This Row],[DiscountPct]])</f>
        <v>135.43680000000001</v>
      </c>
      <c r="N600" t="str">
        <f>IF(AND(COUNTIFS(OrderLines[OrderID],OrderLines[[#This Row],[OrderID]],OrderLines[Category],"Hot Meal"),COUNTIFS(OrderLines[OrderID],OrderLines[[#This Row],[OrderID]],OrderLines[Category],"Beverage")),"Combo","Single")</f>
        <v>Single</v>
      </c>
      <c r="O600" s="8" t="str" cm="1">
        <f t="array" ref="O600">IF(SUMPRODUCT(OrderLines[UnitPrice],OrderLines[Qty],OrderLines[DiscountPct],--(OrderLines[OrderID] = OrderLines[[#This Row],[OrderID]]))&gt;40,"High Discount","Ok")</f>
        <v>Ok</v>
      </c>
      <c r="P600">
        <f>OrderLines[[#This Row],[UnitCost]]*OrderLines[[#This Row],[Qty]]</f>
        <v>71.62</v>
      </c>
      <c r="Q600" s="8">
        <f>OrderLines[[#This Row],[LineNetAmount]]-OrderLines[[#This Row],[Food Cost]]</f>
        <v>63.816800000000001</v>
      </c>
    </row>
    <row r="601" spans="1:17" x14ac:dyDescent="0.3">
      <c r="A601" t="s">
        <v>273</v>
      </c>
      <c r="B601" t="s">
        <v>412</v>
      </c>
      <c r="C601">
        <v>1</v>
      </c>
      <c r="D601" cm="1">
        <f t="array" ref="D601">VLOOKUP(OrderLines[[#This Row],[SKU]:[SKU]],Menu[],MATCH(OrderLines[[#Headers],[UnitPrice]],Menu[#Headers],0),FALSE)</f>
        <v>57.07</v>
      </c>
      <c r="E601" cm="1">
        <f t="array" ref="E601">VLOOKUP(OrderLines[[#This Row],[SKU]:[SKU]],Menu[],MATCH(OrderLines[[#Headers],[UnitCost]],Menu[#Headers],0),FALSE)</f>
        <v>29.14</v>
      </c>
      <c r="F601" t="str" cm="1">
        <f t="array" ref="F601">VLOOKUP(OrderLines[[#This Row],[SKU]:[SKU]],Menu[],MATCH(OrderLines[[#Headers],[Category]],Menu[#Headers],0),FALSE)</f>
        <v>Dessert</v>
      </c>
      <c r="G601" t="str" cm="1">
        <f t="array" ref="G601">_xlfn.TEXTJOIN("+",TRUE,_xlfn._xlws.SORT(_xlfn.UNIQUE(_xlfn._xlws.FILTER(OrderLines[Category],OrderLines[OrderID]=OrderLines[[#This Row],[OrderID]]))))</f>
        <v>Dessert+Snack</v>
      </c>
      <c r="H601" s="2" cm="1">
        <f t="array" ref="H601">INT(VLOOKUP(OrderLines[[#This Row],[OrderID]:[OrderID]],Orders[],MATCH(OrderLines[[#Headers],[OrderDateTime]],Orders[#Headers],0),FALSE))</f>
        <v>45845</v>
      </c>
      <c r="I601" t="str" cm="1">
        <f t="array" ref="I601">VLOOKUP(OrderLines[[#This Row],[OrderID]:[OrderID]],Orders[],MATCH(OrderLines[[#Headers],[Branch]],Orders[#Headers],0),FALSE)</f>
        <v>Plant 2 Canteen</v>
      </c>
      <c r="J601" cm="1">
        <f t="array" ref="J601">VLOOKUP(OrderLines[[#This Row],[OrderID]:[OrderID]],Orders[],MATCH(OrderLines[[#Headers],[DiscountPct]],Orders[#Headers],0),FALSE)</f>
        <v>0.04</v>
      </c>
      <c r="K601" t="str" cm="1">
        <f t="array" ref="K601">VLOOKUP(OrderLines[[#This Row],[OrderID]:[OrderID]],Orders[],MATCH(OrderLines[[#Headers],[PaymentType]],Orders[#Headers],0),FALSE)</f>
        <v>Card</v>
      </c>
      <c r="L601" t="str" cm="1">
        <f t="array" ref="L601">VLOOKUP(OrderLines[[#This Row],[OrderID]:[OrderID]],Orders[],MATCH(OrderLines[[#Headers],[Shift]],Orders[#Headers],0),FALSE)</f>
        <v>Breakfast</v>
      </c>
      <c r="M601" s="8">
        <f>(OrderLines[[#This Row],[Qty]]*OrderLines[[#This Row],[UnitPrice]])*(1-OrderLines[[#This Row],[DiscountPct]])</f>
        <v>54.787199999999999</v>
      </c>
      <c r="N601" t="str">
        <f>IF(AND(COUNTIFS(OrderLines[OrderID],OrderLines[[#This Row],[OrderID]],OrderLines[Category],"Hot Meal"),COUNTIFS(OrderLines[OrderID],OrderLines[[#This Row],[OrderID]],OrderLines[Category],"Beverage")),"Combo","Single")</f>
        <v>Single</v>
      </c>
      <c r="O601" s="8" t="str" cm="1">
        <f t="array" ref="O601">IF(SUMPRODUCT(OrderLines[UnitPrice],OrderLines[Qty],OrderLines[DiscountPct],--(OrderLines[OrderID] = OrderLines[[#This Row],[OrderID]]))&gt;40,"High Discount","Ok")</f>
        <v>Ok</v>
      </c>
      <c r="P601">
        <f>OrderLines[[#This Row],[UnitCost]]*OrderLines[[#This Row],[Qty]]</f>
        <v>29.14</v>
      </c>
      <c r="Q601" s="8">
        <f>OrderLines[[#This Row],[LineNetAmount]]-OrderLines[[#This Row],[Food Cost]]</f>
        <v>25.647199999999998</v>
      </c>
    </row>
    <row r="602" spans="1:17" x14ac:dyDescent="0.3">
      <c r="A602" t="s">
        <v>274</v>
      </c>
      <c r="B602" t="s">
        <v>418</v>
      </c>
      <c r="C602">
        <v>2</v>
      </c>
      <c r="D602" cm="1">
        <f t="array" ref="D602">VLOOKUP(OrderLines[[#This Row],[SKU]:[SKU]],Menu[],MATCH(OrderLines[[#Headers],[UnitPrice]],Menu[#Headers],0),FALSE)</f>
        <v>39.950000000000003</v>
      </c>
      <c r="E602" cm="1">
        <f t="array" ref="E602">VLOOKUP(OrderLines[[#This Row],[SKU]:[SKU]],Menu[],MATCH(OrderLines[[#Headers],[UnitCost]],Menu[#Headers],0),FALSE)</f>
        <v>15.51</v>
      </c>
      <c r="F602" t="str" cm="1">
        <f t="array" ref="F602">VLOOKUP(OrderLines[[#This Row],[SKU]:[SKU]],Menu[],MATCH(OrderLines[[#Headers],[Category]],Menu[#Headers],0),FALSE)</f>
        <v>Snack</v>
      </c>
      <c r="G602" t="str" cm="1">
        <f t="array" ref="G602">_xlfn.TEXTJOIN("+",TRUE,_xlfn._xlws.SORT(_xlfn.UNIQUE(_xlfn._xlws.FILTER(OrderLines[Category],OrderLines[OrderID]=OrderLines[[#This Row],[OrderID]]))))</f>
        <v>Snack</v>
      </c>
      <c r="H602" s="2" cm="1">
        <f t="array" ref="H602">INT(VLOOKUP(OrderLines[[#This Row],[OrderID]:[OrderID]],Orders[],MATCH(OrderLines[[#Headers],[OrderDateTime]],Orders[#Headers],0),FALSE))</f>
        <v>45886</v>
      </c>
      <c r="I602" t="str" cm="1">
        <f t="array" ref="I602">VLOOKUP(OrderLines[[#This Row],[OrderID]:[OrderID]],Orders[],MATCH(OrderLines[[#Headers],[Branch]],Orders[#Headers],0),FALSE)</f>
        <v>Head Office Café</v>
      </c>
      <c r="J602" cm="1">
        <f t="array" ref="J602">VLOOKUP(OrderLines[[#This Row],[OrderID]:[OrderID]],Orders[],MATCH(OrderLines[[#Headers],[DiscountPct]],Orders[#Headers],0),FALSE)</f>
        <v>0.06</v>
      </c>
      <c r="K602" t="str" cm="1">
        <f t="array" ref="K602">VLOOKUP(OrderLines[[#This Row],[OrderID]:[OrderID]],Orders[],MATCH(OrderLines[[#Headers],[PaymentType]],Orders[#Headers],0),FALSE)</f>
        <v>Cash</v>
      </c>
      <c r="L602" t="str" cm="1">
        <f t="array" ref="L602">VLOOKUP(OrderLines[[#This Row],[OrderID]:[OrderID]],Orders[],MATCH(OrderLines[[#Headers],[Shift]],Orders[#Headers],0),FALSE)</f>
        <v>Dinner</v>
      </c>
      <c r="M602" s="8">
        <f>(OrderLines[[#This Row],[Qty]]*OrderLines[[#This Row],[UnitPrice]])*(1-OrderLines[[#This Row],[DiscountPct]])</f>
        <v>75.105999999999995</v>
      </c>
      <c r="N602" t="str">
        <f>IF(AND(COUNTIFS(OrderLines[OrderID],OrderLines[[#This Row],[OrderID]],OrderLines[Category],"Hot Meal"),COUNTIFS(OrderLines[OrderID],OrderLines[[#This Row],[OrderID]],OrderLines[Category],"Beverage")),"Combo","Single")</f>
        <v>Single</v>
      </c>
      <c r="O602" s="8" t="str" cm="1">
        <f t="array" ref="O602">IF(SUMPRODUCT(OrderLines[UnitPrice],OrderLines[Qty],OrderLines[DiscountPct],--(OrderLines[OrderID] = OrderLines[[#This Row],[OrderID]]))&gt;40,"High Discount","Ok")</f>
        <v>Ok</v>
      </c>
      <c r="P602">
        <f>OrderLines[[#This Row],[UnitCost]]*OrderLines[[#This Row],[Qty]]</f>
        <v>31.02</v>
      </c>
      <c r="Q602" s="8">
        <f>OrderLines[[#This Row],[LineNetAmount]]-OrderLines[[#This Row],[Food Cost]]</f>
        <v>44.085999999999999</v>
      </c>
    </row>
    <row r="603" spans="1:17" x14ac:dyDescent="0.3">
      <c r="A603" t="s">
        <v>275</v>
      </c>
      <c r="B603" t="s">
        <v>403</v>
      </c>
      <c r="C603">
        <v>2</v>
      </c>
      <c r="D603" cm="1">
        <f t="array" ref="D603">VLOOKUP(OrderLines[[#This Row],[SKU]:[SKU]],Menu[],MATCH(OrderLines[[#Headers],[UnitPrice]],Menu[#Headers],0),FALSE)</f>
        <v>76.55</v>
      </c>
      <c r="E603" cm="1">
        <f t="array" ref="E603">VLOOKUP(OrderLines[[#This Row],[SKU]:[SKU]],Menu[],MATCH(OrderLines[[#Headers],[UnitCost]],Menu[#Headers],0),FALSE)</f>
        <v>38.229999999999997</v>
      </c>
      <c r="F603" t="str" cm="1">
        <f t="array" ref="F603">VLOOKUP(OrderLines[[#This Row],[SKU]:[SKU]],Menu[],MATCH(OrderLines[[#Headers],[Category]],Menu[#Headers],0),FALSE)</f>
        <v>Dessert</v>
      </c>
      <c r="G603" t="str" cm="1">
        <f t="array" ref="G603">_xlfn.TEXTJOIN("+",TRUE,_xlfn._xlws.SORT(_xlfn.UNIQUE(_xlfn._xlws.FILTER(OrderLines[Category],OrderLines[OrderID]=OrderLines[[#This Row],[OrderID]]))))</f>
        <v>Beverage+Dessert+Snack</v>
      </c>
      <c r="H603" s="2" cm="1">
        <f t="array" ref="H603">INT(VLOOKUP(OrderLines[[#This Row],[OrderID]:[OrderID]],Orders[],MATCH(OrderLines[[#Headers],[OrderDateTime]],Orders[#Headers],0),FALSE))</f>
        <v>45870</v>
      </c>
      <c r="I603" t="str" cm="1">
        <f t="array" ref="I603">VLOOKUP(OrderLines[[#This Row],[OrderID]:[OrderID]],Orders[],MATCH(OrderLines[[#Headers],[Branch]],Orders[#Headers],0),FALSE)</f>
        <v>Head Office Café</v>
      </c>
      <c r="J603" cm="1">
        <f t="array" ref="J603">VLOOKUP(OrderLines[[#This Row],[OrderID]:[OrderID]],Orders[],MATCH(OrderLines[[#Headers],[DiscountPct]],Orders[#Headers],0),FALSE)</f>
        <v>0.04</v>
      </c>
      <c r="K603" t="str" cm="1">
        <f t="array" ref="K603">VLOOKUP(OrderLines[[#This Row],[OrderID]:[OrderID]],Orders[],MATCH(OrderLines[[#Headers],[PaymentType]],Orders[#Headers],0),FALSE)</f>
        <v>Cash</v>
      </c>
      <c r="L603" t="str" cm="1">
        <f t="array" ref="L603">VLOOKUP(OrderLines[[#This Row],[OrderID]:[OrderID]],Orders[],MATCH(OrderLines[[#Headers],[Shift]],Orders[#Headers],0),FALSE)</f>
        <v>Lunch</v>
      </c>
      <c r="M603" s="8">
        <f>(OrderLines[[#This Row],[Qty]]*OrderLines[[#This Row],[UnitPrice]])*(1-OrderLines[[#This Row],[DiscountPct]])</f>
        <v>146.976</v>
      </c>
      <c r="N603" t="str">
        <f>IF(AND(COUNTIFS(OrderLines[OrderID],OrderLines[[#This Row],[OrderID]],OrderLines[Category],"Hot Meal"),COUNTIFS(OrderLines[OrderID],OrderLines[[#This Row],[OrderID]],OrderLines[Category],"Beverage")),"Combo","Single")</f>
        <v>Single</v>
      </c>
      <c r="O603" s="8" t="str" cm="1">
        <f t="array" ref="O603">IF(SUMPRODUCT(OrderLines[UnitPrice],OrderLines[Qty],OrderLines[DiscountPct],--(OrderLines[OrderID] = OrderLines[[#This Row],[OrderID]]))&gt;40,"High Discount","Ok")</f>
        <v>Ok</v>
      </c>
      <c r="P603">
        <f>OrderLines[[#This Row],[UnitCost]]*OrderLines[[#This Row],[Qty]]</f>
        <v>76.459999999999994</v>
      </c>
      <c r="Q603" s="8">
        <f>OrderLines[[#This Row],[LineNetAmount]]-OrderLines[[#This Row],[Food Cost]]</f>
        <v>70.516000000000005</v>
      </c>
    </row>
    <row r="604" spans="1:17" x14ac:dyDescent="0.3">
      <c r="A604" t="s">
        <v>275</v>
      </c>
      <c r="B604" t="s">
        <v>411</v>
      </c>
      <c r="C604">
        <v>1</v>
      </c>
      <c r="D604" cm="1">
        <f t="array" ref="D604">VLOOKUP(OrderLines[[#This Row],[SKU]:[SKU]],Menu[],MATCH(OrderLines[[#Headers],[UnitPrice]],Menu[#Headers],0),FALSE)</f>
        <v>22.2</v>
      </c>
      <c r="E604" cm="1">
        <f t="array" ref="E604">VLOOKUP(OrderLines[[#This Row],[SKU]:[SKU]],Menu[],MATCH(OrderLines[[#Headers],[UnitCost]],Menu[#Headers],0),FALSE)</f>
        <v>9.3800000000000008</v>
      </c>
      <c r="F604" t="str" cm="1">
        <f t="array" ref="F604">VLOOKUP(OrderLines[[#This Row],[SKU]:[SKU]],Menu[],MATCH(OrderLines[[#Headers],[Category]],Menu[#Headers],0),FALSE)</f>
        <v>Beverage</v>
      </c>
      <c r="G604" t="str" cm="1">
        <f t="array" ref="G604">_xlfn.TEXTJOIN("+",TRUE,_xlfn._xlws.SORT(_xlfn.UNIQUE(_xlfn._xlws.FILTER(OrderLines[Category],OrderLines[OrderID]=OrderLines[[#This Row],[OrderID]]))))</f>
        <v>Beverage+Dessert+Snack</v>
      </c>
      <c r="H604" s="2" cm="1">
        <f t="array" ref="H604">INT(VLOOKUP(OrderLines[[#This Row],[OrderID]:[OrderID]],Orders[],MATCH(OrderLines[[#Headers],[OrderDateTime]],Orders[#Headers],0),FALSE))</f>
        <v>45870</v>
      </c>
      <c r="I604" t="str" cm="1">
        <f t="array" ref="I604">VLOOKUP(OrderLines[[#This Row],[OrderID]:[OrderID]],Orders[],MATCH(OrderLines[[#Headers],[Branch]],Orders[#Headers],0),FALSE)</f>
        <v>Head Office Café</v>
      </c>
      <c r="J604" cm="1">
        <f t="array" ref="J604">VLOOKUP(OrderLines[[#This Row],[OrderID]:[OrderID]],Orders[],MATCH(OrderLines[[#Headers],[DiscountPct]],Orders[#Headers],0),FALSE)</f>
        <v>0.04</v>
      </c>
      <c r="K604" t="str" cm="1">
        <f t="array" ref="K604">VLOOKUP(OrderLines[[#This Row],[OrderID]:[OrderID]],Orders[],MATCH(OrderLines[[#Headers],[PaymentType]],Orders[#Headers],0),FALSE)</f>
        <v>Cash</v>
      </c>
      <c r="L604" t="str" cm="1">
        <f t="array" ref="L604">VLOOKUP(OrderLines[[#This Row],[OrderID]:[OrderID]],Orders[],MATCH(OrderLines[[#Headers],[Shift]],Orders[#Headers],0),FALSE)</f>
        <v>Lunch</v>
      </c>
      <c r="M604" s="8">
        <f>(OrderLines[[#This Row],[Qty]]*OrderLines[[#This Row],[UnitPrice]])*(1-OrderLines[[#This Row],[DiscountPct]])</f>
        <v>21.311999999999998</v>
      </c>
      <c r="N604" t="str">
        <f>IF(AND(COUNTIFS(OrderLines[OrderID],OrderLines[[#This Row],[OrderID]],OrderLines[Category],"Hot Meal"),COUNTIFS(OrderLines[OrderID],OrderLines[[#This Row],[OrderID]],OrderLines[Category],"Beverage")),"Combo","Single")</f>
        <v>Single</v>
      </c>
      <c r="O604" s="8" t="str" cm="1">
        <f t="array" ref="O604">IF(SUMPRODUCT(OrderLines[UnitPrice],OrderLines[Qty],OrderLines[DiscountPct],--(OrderLines[OrderID] = OrderLines[[#This Row],[OrderID]]))&gt;40,"High Discount","Ok")</f>
        <v>Ok</v>
      </c>
      <c r="P604">
        <f>OrderLines[[#This Row],[UnitCost]]*OrderLines[[#This Row],[Qty]]</f>
        <v>9.3800000000000008</v>
      </c>
      <c r="Q604" s="8">
        <f>OrderLines[[#This Row],[LineNetAmount]]-OrderLines[[#This Row],[Food Cost]]</f>
        <v>11.931999999999997</v>
      </c>
    </row>
    <row r="605" spans="1:17" x14ac:dyDescent="0.3">
      <c r="A605" t="s">
        <v>275</v>
      </c>
      <c r="B605" t="s">
        <v>408</v>
      </c>
      <c r="C605">
        <v>2</v>
      </c>
      <c r="D605" cm="1">
        <f t="array" ref="D605">VLOOKUP(OrderLines[[#This Row],[SKU]:[SKU]],Menu[],MATCH(OrderLines[[#Headers],[UnitPrice]],Menu[#Headers],0),FALSE)</f>
        <v>70.540000000000006</v>
      </c>
      <c r="E605" cm="1">
        <f t="array" ref="E605">VLOOKUP(OrderLines[[#This Row],[SKU]:[SKU]],Menu[],MATCH(OrderLines[[#Headers],[UnitCost]],Menu[#Headers],0),FALSE)</f>
        <v>35.81</v>
      </c>
      <c r="F605" t="str" cm="1">
        <f t="array" ref="F605">VLOOKUP(OrderLines[[#This Row],[SKU]:[SKU]],Menu[],MATCH(OrderLines[[#Headers],[Category]],Menu[#Headers],0),FALSE)</f>
        <v>Snack</v>
      </c>
      <c r="G605" t="str" cm="1">
        <f t="array" ref="G605">_xlfn.TEXTJOIN("+",TRUE,_xlfn._xlws.SORT(_xlfn.UNIQUE(_xlfn._xlws.FILTER(OrderLines[Category],OrderLines[OrderID]=OrderLines[[#This Row],[OrderID]]))))</f>
        <v>Beverage+Dessert+Snack</v>
      </c>
      <c r="H605" s="2" cm="1">
        <f t="array" ref="H605">INT(VLOOKUP(OrderLines[[#This Row],[OrderID]:[OrderID]],Orders[],MATCH(OrderLines[[#Headers],[OrderDateTime]],Orders[#Headers],0),FALSE))</f>
        <v>45870</v>
      </c>
      <c r="I605" t="str" cm="1">
        <f t="array" ref="I605">VLOOKUP(OrderLines[[#This Row],[OrderID]:[OrderID]],Orders[],MATCH(OrderLines[[#Headers],[Branch]],Orders[#Headers],0),FALSE)</f>
        <v>Head Office Café</v>
      </c>
      <c r="J605" cm="1">
        <f t="array" ref="J605">VLOOKUP(OrderLines[[#This Row],[OrderID]:[OrderID]],Orders[],MATCH(OrderLines[[#Headers],[DiscountPct]],Orders[#Headers],0),FALSE)</f>
        <v>0.04</v>
      </c>
      <c r="K605" t="str" cm="1">
        <f t="array" ref="K605">VLOOKUP(OrderLines[[#This Row],[OrderID]:[OrderID]],Orders[],MATCH(OrderLines[[#Headers],[PaymentType]],Orders[#Headers],0),FALSE)</f>
        <v>Cash</v>
      </c>
      <c r="L605" t="str" cm="1">
        <f t="array" ref="L605">VLOOKUP(OrderLines[[#This Row],[OrderID]:[OrderID]],Orders[],MATCH(OrderLines[[#Headers],[Shift]],Orders[#Headers],0),FALSE)</f>
        <v>Lunch</v>
      </c>
      <c r="M605" s="8">
        <f>(OrderLines[[#This Row],[Qty]]*OrderLines[[#This Row],[UnitPrice]])*(1-OrderLines[[#This Row],[DiscountPct]])</f>
        <v>135.43680000000001</v>
      </c>
      <c r="N605" t="str">
        <f>IF(AND(COUNTIFS(OrderLines[OrderID],OrderLines[[#This Row],[OrderID]],OrderLines[Category],"Hot Meal"),COUNTIFS(OrderLines[OrderID],OrderLines[[#This Row],[OrderID]],OrderLines[Category],"Beverage")),"Combo","Single")</f>
        <v>Single</v>
      </c>
      <c r="O605" s="8" t="str" cm="1">
        <f t="array" ref="O605">IF(SUMPRODUCT(OrderLines[UnitPrice],OrderLines[Qty],OrderLines[DiscountPct],--(OrderLines[OrderID] = OrderLines[[#This Row],[OrderID]]))&gt;40,"High Discount","Ok")</f>
        <v>Ok</v>
      </c>
      <c r="P605">
        <f>OrderLines[[#This Row],[UnitCost]]*OrderLines[[#This Row],[Qty]]</f>
        <v>71.62</v>
      </c>
      <c r="Q605" s="8">
        <f>OrderLines[[#This Row],[LineNetAmount]]-OrderLines[[#This Row],[Food Cost]]</f>
        <v>63.816800000000001</v>
      </c>
    </row>
    <row r="606" spans="1:17" x14ac:dyDescent="0.3">
      <c r="A606" t="s">
        <v>275</v>
      </c>
      <c r="B606" t="s">
        <v>409</v>
      </c>
      <c r="C606">
        <v>2</v>
      </c>
      <c r="D606" cm="1">
        <f t="array" ref="D606">VLOOKUP(OrderLines[[#This Row],[SKU]:[SKU]],Menu[],MATCH(OrderLines[[#Headers],[UnitPrice]],Menu[#Headers],0),FALSE)</f>
        <v>28.43</v>
      </c>
      <c r="E606" cm="1">
        <f t="array" ref="E606">VLOOKUP(OrderLines[[#This Row],[SKU]:[SKU]],Menu[],MATCH(OrderLines[[#Headers],[UnitCost]],Menu[#Headers],0),FALSE)</f>
        <v>13.89</v>
      </c>
      <c r="F606" t="str" cm="1">
        <f t="array" ref="F606">VLOOKUP(OrderLines[[#This Row],[SKU]:[SKU]],Menu[],MATCH(OrderLines[[#Headers],[Category]],Menu[#Headers],0),FALSE)</f>
        <v>Beverage</v>
      </c>
      <c r="G606" t="str" cm="1">
        <f t="array" ref="G606">_xlfn.TEXTJOIN("+",TRUE,_xlfn._xlws.SORT(_xlfn.UNIQUE(_xlfn._xlws.FILTER(OrderLines[Category],OrderLines[OrderID]=OrderLines[[#This Row],[OrderID]]))))</f>
        <v>Beverage+Dessert+Snack</v>
      </c>
      <c r="H606" s="2" cm="1">
        <f t="array" ref="H606">INT(VLOOKUP(OrderLines[[#This Row],[OrderID]:[OrderID]],Orders[],MATCH(OrderLines[[#Headers],[OrderDateTime]],Orders[#Headers],0),FALSE))</f>
        <v>45870</v>
      </c>
      <c r="I606" t="str" cm="1">
        <f t="array" ref="I606">VLOOKUP(OrderLines[[#This Row],[OrderID]:[OrderID]],Orders[],MATCH(OrderLines[[#Headers],[Branch]],Orders[#Headers],0),FALSE)</f>
        <v>Head Office Café</v>
      </c>
      <c r="J606" cm="1">
        <f t="array" ref="J606">VLOOKUP(OrderLines[[#This Row],[OrderID]:[OrderID]],Orders[],MATCH(OrderLines[[#Headers],[DiscountPct]],Orders[#Headers],0),FALSE)</f>
        <v>0.04</v>
      </c>
      <c r="K606" t="str" cm="1">
        <f t="array" ref="K606">VLOOKUP(OrderLines[[#This Row],[OrderID]:[OrderID]],Orders[],MATCH(OrderLines[[#Headers],[PaymentType]],Orders[#Headers],0),FALSE)</f>
        <v>Cash</v>
      </c>
      <c r="L606" t="str" cm="1">
        <f t="array" ref="L606">VLOOKUP(OrderLines[[#This Row],[OrderID]:[OrderID]],Orders[],MATCH(OrderLines[[#Headers],[Shift]],Orders[#Headers],0),FALSE)</f>
        <v>Lunch</v>
      </c>
      <c r="M606" s="8">
        <f>(OrderLines[[#This Row],[Qty]]*OrderLines[[#This Row],[UnitPrice]])*(1-OrderLines[[#This Row],[DiscountPct]])</f>
        <v>54.585599999999999</v>
      </c>
      <c r="N606" t="str">
        <f>IF(AND(COUNTIFS(OrderLines[OrderID],OrderLines[[#This Row],[OrderID]],OrderLines[Category],"Hot Meal"),COUNTIFS(OrderLines[OrderID],OrderLines[[#This Row],[OrderID]],OrderLines[Category],"Beverage")),"Combo","Single")</f>
        <v>Single</v>
      </c>
      <c r="O606" s="8" t="str" cm="1">
        <f t="array" ref="O606">IF(SUMPRODUCT(OrderLines[UnitPrice],OrderLines[Qty],OrderLines[DiscountPct],--(OrderLines[OrderID] = OrderLines[[#This Row],[OrderID]]))&gt;40,"High Discount","Ok")</f>
        <v>Ok</v>
      </c>
      <c r="P606">
        <f>OrderLines[[#This Row],[UnitCost]]*OrderLines[[#This Row],[Qty]]</f>
        <v>27.78</v>
      </c>
      <c r="Q606" s="8">
        <f>OrderLines[[#This Row],[LineNetAmount]]-OrderLines[[#This Row],[Food Cost]]</f>
        <v>26.805599999999998</v>
      </c>
    </row>
    <row r="607" spans="1:17" x14ac:dyDescent="0.3">
      <c r="A607" t="s">
        <v>276</v>
      </c>
      <c r="B607" t="s">
        <v>410</v>
      </c>
      <c r="C607">
        <v>3</v>
      </c>
      <c r="D607" cm="1">
        <f t="array" ref="D607">VLOOKUP(OrderLines[[#This Row],[SKU]:[SKU]],Menu[],MATCH(OrderLines[[#Headers],[UnitPrice]],Menu[#Headers],0),FALSE)</f>
        <v>20.11</v>
      </c>
      <c r="E607" cm="1">
        <f t="array" ref="E607">VLOOKUP(OrderLines[[#This Row],[SKU]:[SKU]],Menu[],MATCH(OrderLines[[#Headers],[UnitCost]],Menu[#Headers],0),FALSE)</f>
        <v>8</v>
      </c>
      <c r="F607" t="str" cm="1">
        <f t="array" ref="F607">VLOOKUP(OrderLines[[#This Row],[SKU]:[SKU]],Menu[],MATCH(OrderLines[[#Headers],[Category]],Menu[#Headers],0),FALSE)</f>
        <v>Beverage</v>
      </c>
      <c r="G607" t="str" cm="1">
        <f t="array" ref="G607">_xlfn.TEXTJOIN("+",TRUE,_xlfn._xlws.SORT(_xlfn.UNIQUE(_xlfn._xlws.FILTER(OrderLines[Category],OrderLines[OrderID]=OrderLines[[#This Row],[OrderID]]))))</f>
        <v>Beverage+Dessert+Hot Meal</v>
      </c>
      <c r="H607" s="2" cm="1">
        <f t="array" ref="H607">INT(VLOOKUP(OrderLines[[#This Row],[OrderID]:[OrderID]],Orders[],MATCH(OrderLines[[#Headers],[OrderDateTime]],Orders[#Headers],0),FALSE))</f>
        <v>45865</v>
      </c>
      <c r="I607" t="str" cm="1">
        <f t="array" ref="I607">VLOOKUP(OrderLines[[#This Row],[OrderID]:[OrderID]],Orders[],MATCH(OrderLines[[#Headers],[Branch]],Orders[#Headers],0),FALSE)</f>
        <v>Head Office Café</v>
      </c>
      <c r="J607" cm="1">
        <f t="array" ref="J607">VLOOKUP(OrderLines[[#This Row],[OrderID]:[OrderID]],Orders[],MATCH(OrderLines[[#Headers],[DiscountPct]],Orders[#Headers],0),FALSE)</f>
        <v>0.06</v>
      </c>
      <c r="K607" t="str" cm="1">
        <f t="array" ref="K607">VLOOKUP(OrderLines[[#This Row],[OrderID]:[OrderID]],Orders[],MATCH(OrderLines[[#Headers],[PaymentType]],Orders[#Headers],0),FALSE)</f>
        <v>UPI</v>
      </c>
      <c r="L607" t="str" cm="1">
        <f t="array" ref="L607">VLOOKUP(OrderLines[[#This Row],[OrderID]:[OrderID]],Orders[],MATCH(OrderLines[[#Headers],[Shift]],Orders[#Headers],0),FALSE)</f>
        <v>Dinner</v>
      </c>
      <c r="M607" s="8">
        <f>(OrderLines[[#This Row],[Qty]]*OrderLines[[#This Row],[UnitPrice]])*(1-OrderLines[[#This Row],[DiscountPct]])</f>
        <v>56.710199999999993</v>
      </c>
      <c r="N607" t="str">
        <f>IF(AND(COUNTIFS(OrderLines[OrderID],OrderLines[[#This Row],[OrderID]],OrderLines[Category],"Hot Meal"),COUNTIFS(OrderLines[OrderID],OrderLines[[#This Row],[OrderID]],OrderLines[Category],"Beverage")),"Combo","Single")</f>
        <v>Combo</v>
      </c>
      <c r="O607" s="8" t="str" cm="1">
        <f t="array" ref="O607">IF(SUMPRODUCT(OrderLines[UnitPrice],OrderLines[Qty],OrderLines[DiscountPct],--(OrderLines[OrderID] = OrderLines[[#This Row],[OrderID]]))&gt;40,"High Discount","Ok")</f>
        <v>Ok</v>
      </c>
      <c r="P607">
        <f>OrderLines[[#This Row],[UnitCost]]*OrderLines[[#This Row],[Qty]]</f>
        <v>24</v>
      </c>
      <c r="Q607" s="8">
        <f>OrderLines[[#This Row],[LineNetAmount]]-OrderLines[[#This Row],[Food Cost]]</f>
        <v>32.710199999999993</v>
      </c>
    </row>
    <row r="608" spans="1:17" x14ac:dyDescent="0.3">
      <c r="A608" t="s">
        <v>276</v>
      </c>
      <c r="B608" t="s">
        <v>403</v>
      </c>
      <c r="C608">
        <v>1</v>
      </c>
      <c r="D608" cm="1">
        <f t="array" ref="D608">VLOOKUP(OrderLines[[#This Row],[SKU]:[SKU]],Menu[],MATCH(OrderLines[[#Headers],[UnitPrice]],Menu[#Headers],0),FALSE)</f>
        <v>76.55</v>
      </c>
      <c r="E608" cm="1">
        <f t="array" ref="E608">VLOOKUP(OrderLines[[#This Row],[SKU]:[SKU]],Menu[],MATCH(OrderLines[[#Headers],[UnitCost]],Menu[#Headers],0),FALSE)</f>
        <v>38.229999999999997</v>
      </c>
      <c r="F608" t="str" cm="1">
        <f t="array" ref="F608">VLOOKUP(OrderLines[[#This Row],[SKU]:[SKU]],Menu[],MATCH(OrderLines[[#Headers],[Category]],Menu[#Headers],0),FALSE)</f>
        <v>Dessert</v>
      </c>
      <c r="G608" t="str" cm="1">
        <f t="array" ref="G608">_xlfn.TEXTJOIN("+",TRUE,_xlfn._xlws.SORT(_xlfn.UNIQUE(_xlfn._xlws.FILTER(OrderLines[Category],OrderLines[OrderID]=OrderLines[[#This Row],[OrderID]]))))</f>
        <v>Beverage+Dessert+Hot Meal</v>
      </c>
      <c r="H608" s="2" cm="1">
        <f t="array" ref="H608">INT(VLOOKUP(OrderLines[[#This Row],[OrderID]:[OrderID]],Orders[],MATCH(OrderLines[[#Headers],[OrderDateTime]],Orders[#Headers],0),FALSE))</f>
        <v>45865</v>
      </c>
      <c r="I608" t="str" cm="1">
        <f t="array" ref="I608">VLOOKUP(OrderLines[[#This Row],[OrderID]:[OrderID]],Orders[],MATCH(OrderLines[[#Headers],[Branch]],Orders[#Headers],0),FALSE)</f>
        <v>Head Office Café</v>
      </c>
      <c r="J608" cm="1">
        <f t="array" ref="J608">VLOOKUP(OrderLines[[#This Row],[OrderID]:[OrderID]],Orders[],MATCH(OrderLines[[#Headers],[DiscountPct]],Orders[#Headers],0),FALSE)</f>
        <v>0.06</v>
      </c>
      <c r="K608" t="str" cm="1">
        <f t="array" ref="K608">VLOOKUP(OrderLines[[#This Row],[OrderID]:[OrderID]],Orders[],MATCH(OrderLines[[#Headers],[PaymentType]],Orders[#Headers],0),FALSE)</f>
        <v>UPI</v>
      </c>
      <c r="L608" t="str" cm="1">
        <f t="array" ref="L608">VLOOKUP(OrderLines[[#This Row],[OrderID]:[OrderID]],Orders[],MATCH(OrderLines[[#Headers],[Shift]],Orders[#Headers],0),FALSE)</f>
        <v>Dinner</v>
      </c>
      <c r="M608" s="8">
        <f>(OrderLines[[#This Row],[Qty]]*OrderLines[[#This Row],[UnitPrice]])*(1-OrderLines[[#This Row],[DiscountPct]])</f>
        <v>71.956999999999994</v>
      </c>
      <c r="N608" t="str">
        <f>IF(AND(COUNTIFS(OrderLines[OrderID],OrderLines[[#This Row],[OrderID]],OrderLines[Category],"Hot Meal"),COUNTIFS(OrderLines[OrderID],OrderLines[[#This Row],[OrderID]],OrderLines[Category],"Beverage")),"Combo","Single")</f>
        <v>Combo</v>
      </c>
      <c r="O608" s="8" t="str" cm="1">
        <f t="array" ref="O608">IF(SUMPRODUCT(OrderLines[UnitPrice],OrderLines[Qty],OrderLines[DiscountPct],--(OrderLines[OrderID] = OrderLines[[#This Row],[OrderID]]))&gt;40,"High Discount","Ok")</f>
        <v>Ok</v>
      </c>
      <c r="P608">
        <f>OrderLines[[#This Row],[UnitCost]]*OrderLines[[#This Row],[Qty]]</f>
        <v>38.229999999999997</v>
      </c>
      <c r="Q608" s="8">
        <f>OrderLines[[#This Row],[LineNetAmount]]-OrderLines[[#This Row],[Food Cost]]</f>
        <v>33.726999999999997</v>
      </c>
    </row>
    <row r="609" spans="1:17" x14ac:dyDescent="0.3">
      <c r="A609" t="s">
        <v>276</v>
      </c>
      <c r="B609" t="s">
        <v>417</v>
      </c>
      <c r="C609">
        <v>2</v>
      </c>
      <c r="D609" cm="1">
        <f t="array" ref="D609">VLOOKUP(OrderLines[[#This Row],[SKU]:[SKU]],Menu[],MATCH(OrderLines[[#Headers],[UnitPrice]],Menu[#Headers],0),FALSE)</f>
        <v>146.4</v>
      </c>
      <c r="E609" cm="1">
        <f t="array" ref="E609">VLOOKUP(OrderLines[[#This Row],[SKU]:[SKU]],Menu[],MATCH(OrderLines[[#Headers],[UnitCost]],Menu[#Headers],0),FALSE)</f>
        <v>80.92</v>
      </c>
      <c r="F609" t="str" cm="1">
        <f t="array" ref="F609">VLOOKUP(OrderLines[[#This Row],[SKU]:[SKU]],Menu[],MATCH(OrderLines[[#Headers],[Category]],Menu[#Headers],0),FALSE)</f>
        <v>Hot Meal</v>
      </c>
      <c r="G609" t="str" cm="1">
        <f t="array" ref="G609">_xlfn.TEXTJOIN("+",TRUE,_xlfn._xlws.SORT(_xlfn.UNIQUE(_xlfn._xlws.FILTER(OrderLines[Category],OrderLines[OrderID]=OrderLines[[#This Row],[OrderID]]))))</f>
        <v>Beverage+Dessert+Hot Meal</v>
      </c>
      <c r="H609" s="2" cm="1">
        <f t="array" ref="H609">INT(VLOOKUP(OrderLines[[#This Row],[OrderID]:[OrderID]],Orders[],MATCH(OrderLines[[#Headers],[OrderDateTime]],Orders[#Headers],0),FALSE))</f>
        <v>45865</v>
      </c>
      <c r="I609" t="str" cm="1">
        <f t="array" ref="I609">VLOOKUP(OrderLines[[#This Row],[OrderID]:[OrderID]],Orders[],MATCH(OrderLines[[#Headers],[Branch]],Orders[#Headers],0),FALSE)</f>
        <v>Head Office Café</v>
      </c>
      <c r="J609" cm="1">
        <f t="array" ref="J609">VLOOKUP(OrderLines[[#This Row],[OrderID]:[OrderID]],Orders[],MATCH(OrderLines[[#Headers],[DiscountPct]],Orders[#Headers],0),FALSE)</f>
        <v>0.06</v>
      </c>
      <c r="K609" t="str" cm="1">
        <f t="array" ref="K609">VLOOKUP(OrderLines[[#This Row],[OrderID]:[OrderID]],Orders[],MATCH(OrderLines[[#Headers],[PaymentType]],Orders[#Headers],0),FALSE)</f>
        <v>UPI</v>
      </c>
      <c r="L609" t="str" cm="1">
        <f t="array" ref="L609">VLOOKUP(OrderLines[[#This Row],[OrderID]:[OrderID]],Orders[],MATCH(OrderLines[[#Headers],[Shift]],Orders[#Headers],0),FALSE)</f>
        <v>Dinner</v>
      </c>
      <c r="M609" s="8">
        <f>(OrderLines[[#This Row],[Qty]]*OrderLines[[#This Row],[UnitPrice]])*(1-OrderLines[[#This Row],[DiscountPct]])</f>
        <v>275.23199999999997</v>
      </c>
      <c r="N609" t="str">
        <f>IF(AND(COUNTIFS(OrderLines[OrderID],OrderLines[[#This Row],[OrderID]],OrderLines[Category],"Hot Meal"),COUNTIFS(OrderLines[OrderID],OrderLines[[#This Row],[OrderID]],OrderLines[Category],"Beverage")),"Combo","Single")</f>
        <v>Combo</v>
      </c>
      <c r="O609" s="8" t="str" cm="1">
        <f t="array" ref="O609">IF(SUMPRODUCT(OrderLines[UnitPrice],OrderLines[Qty],OrderLines[DiscountPct],--(OrderLines[OrderID] = OrderLines[[#This Row],[OrderID]]))&gt;40,"High Discount","Ok")</f>
        <v>Ok</v>
      </c>
      <c r="P609">
        <f>OrderLines[[#This Row],[UnitCost]]*OrderLines[[#This Row],[Qty]]</f>
        <v>161.84</v>
      </c>
      <c r="Q609" s="8">
        <f>OrderLines[[#This Row],[LineNetAmount]]-OrderLines[[#This Row],[Food Cost]]</f>
        <v>113.39199999999997</v>
      </c>
    </row>
    <row r="610" spans="1:17" x14ac:dyDescent="0.3">
      <c r="A610" t="s">
        <v>277</v>
      </c>
      <c r="B610" t="s">
        <v>408</v>
      </c>
      <c r="C610">
        <v>3</v>
      </c>
      <c r="D610" cm="1">
        <f t="array" ref="D610">VLOOKUP(OrderLines[[#This Row],[SKU]:[SKU]],Menu[],MATCH(OrderLines[[#Headers],[UnitPrice]],Menu[#Headers],0),FALSE)</f>
        <v>70.540000000000006</v>
      </c>
      <c r="E610" cm="1">
        <f t="array" ref="E610">VLOOKUP(OrderLines[[#This Row],[SKU]:[SKU]],Menu[],MATCH(OrderLines[[#Headers],[UnitCost]],Menu[#Headers],0),FALSE)</f>
        <v>35.81</v>
      </c>
      <c r="F610" t="str" cm="1">
        <f t="array" ref="F610">VLOOKUP(OrderLines[[#This Row],[SKU]:[SKU]],Menu[],MATCH(OrderLines[[#Headers],[Category]],Menu[#Headers],0),FALSE)</f>
        <v>Snack</v>
      </c>
      <c r="G610" t="str" cm="1">
        <f t="array" ref="G610">_xlfn.TEXTJOIN("+",TRUE,_xlfn._xlws.SORT(_xlfn.UNIQUE(_xlfn._xlws.FILTER(OrderLines[Category],OrderLines[OrderID]=OrderLines[[#This Row],[OrderID]]))))</f>
        <v>Dessert+Hot Meal+Snack</v>
      </c>
      <c r="H610" s="2" cm="1">
        <f t="array" ref="H610">INT(VLOOKUP(OrderLines[[#This Row],[OrderID]:[OrderID]],Orders[],MATCH(OrderLines[[#Headers],[OrderDateTime]],Orders[#Headers],0),FALSE))</f>
        <v>45870</v>
      </c>
      <c r="I610" t="str" cm="1">
        <f t="array" ref="I610">VLOOKUP(OrderLines[[#This Row],[OrderID]:[OrderID]],Orders[],MATCH(OrderLines[[#Headers],[Branch]],Orders[#Headers],0),FALSE)</f>
        <v>Plant 2 Canteen</v>
      </c>
      <c r="J610" cm="1">
        <f t="array" ref="J610">VLOOKUP(OrderLines[[#This Row],[OrderID]:[OrderID]],Orders[],MATCH(OrderLines[[#Headers],[DiscountPct]],Orders[#Headers],0),FALSE)</f>
        <v>0.09</v>
      </c>
      <c r="K610" t="str" cm="1">
        <f t="array" ref="K610">VLOOKUP(OrderLines[[#This Row],[OrderID]:[OrderID]],Orders[],MATCH(OrderLines[[#Headers],[PaymentType]],Orders[#Headers],0),FALSE)</f>
        <v>UPI</v>
      </c>
      <c r="L610" t="str" cm="1">
        <f t="array" ref="L610">VLOOKUP(OrderLines[[#This Row],[OrderID]:[OrderID]],Orders[],MATCH(OrderLines[[#Headers],[Shift]],Orders[#Headers],0),FALSE)</f>
        <v>Dinner</v>
      </c>
      <c r="M610" s="8">
        <f>(OrderLines[[#This Row],[Qty]]*OrderLines[[#This Row],[UnitPrice]])*(1-OrderLines[[#This Row],[DiscountPct]])</f>
        <v>192.57420000000002</v>
      </c>
      <c r="N610" t="str">
        <f>IF(AND(COUNTIFS(OrderLines[OrderID],OrderLines[[#This Row],[OrderID]],OrderLines[Category],"Hot Meal"),COUNTIFS(OrderLines[OrderID],OrderLines[[#This Row],[OrderID]],OrderLines[Category],"Beverage")),"Combo","Single")</f>
        <v>Single</v>
      </c>
      <c r="O610" s="8" t="str" cm="1">
        <f t="array" ref="O610">IF(SUMPRODUCT(OrderLines[UnitPrice],OrderLines[Qty],OrderLines[DiscountPct],--(OrderLines[OrderID] = OrderLines[[#This Row],[OrderID]]))&gt;40,"High Discount","Ok")</f>
        <v>High Discount</v>
      </c>
      <c r="P610">
        <f>OrderLines[[#This Row],[UnitCost]]*OrderLines[[#This Row],[Qty]]</f>
        <v>107.43</v>
      </c>
      <c r="Q610" s="8">
        <f>OrderLines[[#This Row],[LineNetAmount]]-OrderLines[[#This Row],[Food Cost]]</f>
        <v>85.144200000000012</v>
      </c>
    </row>
    <row r="611" spans="1:17" x14ac:dyDescent="0.3">
      <c r="A611" t="s">
        <v>277</v>
      </c>
      <c r="B611" t="s">
        <v>405</v>
      </c>
      <c r="C611">
        <v>2</v>
      </c>
      <c r="D611" cm="1">
        <f t="array" ref="D611">VLOOKUP(OrderLines[[#This Row],[SKU]:[SKU]],Menu[],MATCH(OrderLines[[#Headers],[UnitPrice]],Menu[#Headers],0),FALSE)</f>
        <v>170.83</v>
      </c>
      <c r="E611" cm="1">
        <f t="array" ref="E611">VLOOKUP(OrderLines[[#This Row],[SKU]:[SKU]],Menu[],MATCH(OrderLines[[#Headers],[UnitCost]],Menu[#Headers],0),FALSE)</f>
        <v>74.069999999999993</v>
      </c>
      <c r="F611" t="str" cm="1">
        <f t="array" ref="F611">VLOOKUP(OrderLines[[#This Row],[SKU]:[SKU]],Menu[],MATCH(OrderLines[[#Headers],[Category]],Menu[#Headers],0),FALSE)</f>
        <v>Hot Meal</v>
      </c>
      <c r="G611" t="str" cm="1">
        <f t="array" ref="G611">_xlfn.TEXTJOIN("+",TRUE,_xlfn._xlws.SORT(_xlfn.UNIQUE(_xlfn._xlws.FILTER(OrderLines[Category],OrderLines[OrderID]=OrderLines[[#This Row],[OrderID]]))))</f>
        <v>Dessert+Hot Meal+Snack</v>
      </c>
      <c r="H611" s="2" cm="1">
        <f t="array" ref="H611">INT(VLOOKUP(OrderLines[[#This Row],[OrderID]:[OrderID]],Orders[],MATCH(OrderLines[[#Headers],[OrderDateTime]],Orders[#Headers],0),FALSE))</f>
        <v>45870</v>
      </c>
      <c r="I611" t="str" cm="1">
        <f t="array" ref="I611">VLOOKUP(OrderLines[[#This Row],[OrderID]:[OrderID]],Orders[],MATCH(OrderLines[[#Headers],[Branch]],Orders[#Headers],0),FALSE)</f>
        <v>Plant 2 Canteen</v>
      </c>
      <c r="J611" cm="1">
        <f t="array" ref="J611">VLOOKUP(OrderLines[[#This Row],[OrderID]:[OrderID]],Orders[],MATCH(OrderLines[[#Headers],[DiscountPct]],Orders[#Headers],0),FALSE)</f>
        <v>0.09</v>
      </c>
      <c r="K611" t="str" cm="1">
        <f t="array" ref="K611">VLOOKUP(OrderLines[[#This Row],[OrderID]:[OrderID]],Orders[],MATCH(OrderLines[[#Headers],[PaymentType]],Orders[#Headers],0),FALSE)</f>
        <v>UPI</v>
      </c>
      <c r="L611" t="str" cm="1">
        <f t="array" ref="L611">VLOOKUP(OrderLines[[#This Row],[OrderID]:[OrderID]],Orders[],MATCH(OrderLines[[#Headers],[Shift]],Orders[#Headers],0),FALSE)</f>
        <v>Dinner</v>
      </c>
      <c r="M611" s="8">
        <f>(OrderLines[[#This Row],[Qty]]*OrderLines[[#This Row],[UnitPrice]])*(1-OrderLines[[#This Row],[DiscountPct]])</f>
        <v>310.91060000000004</v>
      </c>
      <c r="N611" t="str">
        <f>IF(AND(COUNTIFS(OrderLines[OrderID],OrderLines[[#This Row],[OrderID]],OrderLines[Category],"Hot Meal"),COUNTIFS(OrderLines[OrderID],OrderLines[[#This Row],[OrderID]],OrderLines[Category],"Beverage")),"Combo","Single")</f>
        <v>Single</v>
      </c>
      <c r="O611" s="8" t="str" cm="1">
        <f t="array" ref="O611">IF(SUMPRODUCT(OrderLines[UnitPrice],OrderLines[Qty],OrderLines[DiscountPct],--(OrderLines[OrderID] = OrderLines[[#This Row],[OrderID]]))&gt;40,"High Discount","Ok")</f>
        <v>High Discount</v>
      </c>
      <c r="P611">
        <f>OrderLines[[#This Row],[UnitCost]]*OrderLines[[#This Row],[Qty]]</f>
        <v>148.13999999999999</v>
      </c>
      <c r="Q611" s="8">
        <f>OrderLines[[#This Row],[LineNetAmount]]-OrderLines[[#This Row],[Food Cost]]</f>
        <v>162.77060000000006</v>
      </c>
    </row>
    <row r="612" spans="1:17" x14ac:dyDescent="0.3">
      <c r="A612" t="s">
        <v>277</v>
      </c>
      <c r="B612" t="s">
        <v>403</v>
      </c>
      <c r="C612">
        <v>3</v>
      </c>
      <c r="D612" cm="1">
        <f t="array" ref="D612">VLOOKUP(OrderLines[[#This Row],[SKU]:[SKU]],Menu[],MATCH(OrderLines[[#Headers],[UnitPrice]],Menu[#Headers],0),FALSE)</f>
        <v>76.55</v>
      </c>
      <c r="E612" cm="1">
        <f t="array" ref="E612">VLOOKUP(OrderLines[[#This Row],[SKU]:[SKU]],Menu[],MATCH(OrderLines[[#Headers],[UnitCost]],Menu[#Headers],0),FALSE)</f>
        <v>38.229999999999997</v>
      </c>
      <c r="F612" t="str" cm="1">
        <f t="array" ref="F612">VLOOKUP(OrderLines[[#This Row],[SKU]:[SKU]],Menu[],MATCH(OrderLines[[#Headers],[Category]],Menu[#Headers],0),FALSE)</f>
        <v>Dessert</v>
      </c>
      <c r="G612" t="str" cm="1">
        <f t="array" ref="G612">_xlfn.TEXTJOIN("+",TRUE,_xlfn._xlws.SORT(_xlfn.UNIQUE(_xlfn._xlws.FILTER(OrderLines[Category],OrderLines[OrderID]=OrderLines[[#This Row],[OrderID]]))))</f>
        <v>Dessert+Hot Meal+Snack</v>
      </c>
      <c r="H612" s="2" cm="1">
        <f t="array" ref="H612">INT(VLOOKUP(OrderLines[[#This Row],[OrderID]:[OrderID]],Orders[],MATCH(OrderLines[[#Headers],[OrderDateTime]],Orders[#Headers],0),FALSE))</f>
        <v>45870</v>
      </c>
      <c r="I612" t="str" cm="1">
        <f t="array" ref="I612">VLOOKUP(OrderLines[[#This Row],[OrderID]:[OrderID]],Orders[],MATCH(OrderLines[[#Headers],[Branch]],Orders[#Headers],0),FALSE)</f>
        <v>Plant 2 Canteen</v>
      </c>
      <c r="J612" cm="1">
        <f t="array" ref="J612">VLOOKUP(OrderLines[[#This Row],[OrderID]:[OrderID]],Orders[],MATCH(OrderLines[[#Headers],[DiscountPct]],Orders[#Headers],0),FALSE)</f>
        <v>0.09</v>
      </c>
      <c r="K612" t="str" cm="1">
        <f t="array" ref="K612">VLOOKUP(OrderLines[[#This Row],[OrderID]:[OrderID]],Orders[],MATCH(OrderLines[[#Headers],[PaymentType]],Orders[#Headers],0),FALSE)</f>
        <v>UPI</v>
      </c>
      <c r="L612" t="str" cm="1">
        <f t="array" ref="L612">VLOOKUP(OrderLines[[#This Row],[OrderID]:[OrderID]],Orders[],MATCH(OrderLines[[#Headers],[Shift]],Orders[#Headers],0),FALSE)</f>
        <v>Dinner</v>
      </c>
      <c r="M612" s="8">
        <f>(OrderLines[[#This Row],[Qty]]*OrderLines[[#This Row],[UnitPrice]])*(1-OrderLines[[#This Row],[DiscountPct]])</f>
        <v>208.98149999999998</v>
      </c>
      <c r="N612" t="str">
        <f>IF(AND(COUNTIFS(OrderLines[OrderID],OrderLines[[#This Row],[OrderID]],OrderLines[Category],"Hot Meal"),COUNTIFS(OrderLines[OrderID],OrderLines[[#This Row],[OrderID]],OrderLines[Category],"Beverage")),"Combo","Single")</f>
        <v>Single</v>
      </c>
      <c r="O612" s="8" t="str" cm="1">
        <f t="array" ref="O612">IF(SUMPRODUCT(OrderLines[UnitPrice],OrderLines[Qty],OrderLines[DiscountPct],--(OrderLines[OrderID] = OrderLines[[#This Row],[OrderID]]))&gt;40,"High Discount","Ok")</f>
        <v>High Discount</v>
      </c>
      <c r="P612">
        <f>OrderLines[[#This Row],[UnitCost]]*OrderLines[[#This Row],[Qty]]</f>
        <v>114.69</v>
      </c>
      <c r="Q612" s="8">
        <f>OrderLines[[#This Row],[LineNetAmount]]-OrderLines[[#This Row],[Food Cost]]</f>
        <v>94.291499999999985</v>
      </c>
    </row>
    <row r="613" spans="1:17" x14ac:dyDescent="0.3">
      <c r="A613" t="s">
        <v>277</v>
      </c>
      <c r="B613" t="s">
        <v>415</v>
      </c>
      <c r="C613">
        <v>2</v>
      </c>
      <c r="D613" cm="1">
        <f t="array" ref="D613">VLOOKUP(OrderLines[[#This Row],[SKU]:[SKU]],Menu[],MATCH(OrderLines[[#Headers],[UnitPrice]],Menu[#Headers],0),FALSE)</f>
        <v>256.91000000000003</v>
      </c>
      <c r="E613" cm="1">
        <f t="array" ref="E613">VLOOKUP(OrderLines[[#This Row],[SKU]:[SKU]],Menu[],MATCH(OrderLines[[#Headers],[UnitCost]],Menu[#Headers],0),FALSE)</f>
        <v>121.24</v>
      </c>
      <c r="F613" t="str" cm="1">
        <f t="array" ref="F613">VLOOKUP(OrderLines[[#This Row],[SKU]:[SKU]],Menu[],MATCH(OrderLines[[#Headers],[Category]],Menu[#Headers],0),FALSE)</f>
        <v>Hot Meal</v>
      </c>
      <c r="G613" t="str" cm="1">
        <f t="array" ref="G613">_xlfn.TEXTJOIN("+",TRUE,_xlfn._xlws.SORT(_xlfn.UNIQUE(_xlfn._xlws.FILTER(OrderLines[Category],OrderLines[OrderID]=OrderLines[[#This Row],[OrderID]]))))</f>
        <v>Dessert+Hot Meal+Snack</v>
      </c>
      <c r="H613" s="2" cm="1">
        <f t="array" ref="H613">INT(VLOOKUP(OrderLines[[#This Row],[OrderID]:[OrderID]],Orders[],MATCH(OrderLines[[#Headers],[OrderDateTime]],Orders[#Headers],0),FALSE))</f>
        <v>45870</v>
      </c>
      <c r="I613" t="str" cm="1">
        <f t="array" ref="I613">VLOOKUP(OrderLines[[#This Row],[OrderID]:[OrderID]],Orders[],MATCH(OrderLines[[#Headers],[Branch]],Orders[#Headers],0),FALSE)</f>
        <v>Plant 2 Canteen</v>
      </c>
      <c r="J613" cm="1">
        <f t="array" ref="J613">VLOOKUP(OrderLines[[#This Row],[OrderID]:[OrderID]],Orders[],MATCH(OrderLines[[#Headers],[DiscountPct]],Orders[#Headers],0),FALSE)</f>
        <v>0.09</v>
      </c>
      <c r="K613" t="str" cm="1">
        <f t="array" ref="K613">VLOOKUP(OrderLines[[#This Row],[OrderID]:[OrderID]],Orders[],MATCH(OrderLines[[#Headers],[PaymentType]],Orders[#Headers],0),FALSE)</f>
        <v>UPI</v>
      </c>
      <c r="L613" t="str" cm="1">
        <f t="array" ref="L613">VLOOKUP(OrderLines[[#This Row],[OrderID]:[OrderID]],Orders[],MATCH(OrderLines[[#Headers],[Shift]],Orders[#Headers],0),FALSE)</f>
        <v>Dinner</v>
      </c>
      <c r="M613" s="8">
        <f>(OrderLines[[#This Row],[Qty]]*OrderLines[[#This Row],[UnitPrice]])*(1-OrderLines[[#This Row],[DiscountPct]])</f>
        <v>467.57620000000009</v>
      </c>
      <c r="N613" t="str">
        <f>IF(AND(COUNTIFS(OrderLines[OrderID],OrderLines[[#This Row],[OrderID]],OrderLines[Category],"Hot Meal"),COUNTIFS(OrderLines[OrderID],OrderLines[[#This Row],[OrderID]],OrderLines[Category],"Beverage")),"Combo","Single")</f>
        <v>Single</v>
      </c>
      <c r="O613" s="8" t="str" cm="1">
        <f t="array" ref="O613">IF(SUMPRODUCT(OrderLines[UnitPrice],OrderLines[Qty],OrderLines[DiscountPct],--(OrderLines[OrderID] = OrderLines[[#This Row],[OrderID]]))&gt;40,"High Discount","Ok")</f>
        <v>High Discount</v>
      </c>
      <c r="P613">
        <f>OrderLines[[#This Row],[UnitCost]]*OrderLines[[#This Row],[Qty]]</f>
        <v>242.48</v>
      </c>
      <c r="Q613" s="8">
        <f>OrderLines[[#This Row],[LineNetAmount]]-OrderLines[[#This Row],[Food Cost]]</f>
        <v>225.0962000000001</v>
      </c>
    </row>
    <row r="614" spans="1:17" x14ac:dyDescent="0.3">
      <c r="A614" t="s">
        <v>278</v>
      </c>
      <c r="B614" t="s">
        <v>402</v>
      </c>
      <c r="C614">
        <v>1</v>
      </c>
      <c r="D614" cm="1">
        <f t="array" ref="D614">VLOOKUP(OrderLines[[#This Row],[SKU]:[SKU]],Menu[],MATCH(OrderLines[[#Headers],[UnitPrice]],Menu[#Headers],0),FALSE)</f>
        <v>30.34</v>
      </c>
      <c r="E614" cm="1">
        <f t="array" ref="E614">VLOOKUP(OrderLines[[#This Row],[SKU]:[SKU]],Menu[],MATCH(OrderLines[[#Headers],[UnitCost]],Menu[#Headers],0),FALSE)</f>
        <v>14.18</v>
      </c>
      <c r="F614" t="str" cm="1">
        <f t="array" ref="F614">VLOOKUP(OrderLines[[#This Row],[SKU]:[SKU]],Menu[],MATCH(OrderLines[[#Headers],[Category]],Menu[#Headers],0),FALSE)</f>
        <v>Beverage</v>
      </c>
      <c r="G614" t="str" cm="1">
        <f t="array" ref="G614">_xlfn.TEXTJOIN("+",TRUE,_xlfn._xlws.SORT(_xlfn.UNIQUE(_xlfn._xlws.FILTER(OrderLines[Category],OrderLines[OrderID]=OrderLines[[#This Row],[OrderID]]))))</f>
        <v>Beverage+Dessert</v>
      </c>
      <c r="H614" s="2" cm="1">
        <f t="array" ref="H614">INT(VLOOKUP(OrderLines[[#This Row],[OrderID]:[OrderID]],Orders[],MATCH(OrderLines[[#Headers],[OrderDateTime]],Orders[#Headers],0),FALSE))</f>
        <v>45883</v>
      </c>
      <c r="I614" t="str" cm="1">
        <f t="array" ref="I614">VLOOKUP(OrderLines[[#This Row],[OrderID]:[OrderID]],Orders[],MATCH(OrderLines[[#Headers],[Branch]],Orders[#Headers],0),FALSE)</f>
        <v>Head Office Café</v>
      </c>
      <c r="J614" cm="1">
        <f t="array" ref="J614">VLOOKUP(OrderLines[[#This Row],[OrderID]:[OrderID]],Orders[],MATCH(OrderLines[[#Headers],[DiscountPct]],Orders[#Headers],0),FALSE)</f>
        <v>0.12</v>
      </c>
      <c r="K614" t="str" cm="1">
        <f t="array" ref="K614">VLOOKUP(OrderLines[[#This Row],[OrderID]:[OrderID]],Orders[],MATCH(OrderLines[[#Headers],[PaymentType]],Orders[#Headers],0),FALSE)</f>
        <v>Card</v>
      </c>
      <c r="L614" t="str" cm="1">
        <f t="array" ref="L614">VLOOKUP(OrderLines[[#This Row],[OrderID]:[OrderID]],Orders[],MATCH(OrderLines[[#Headers],[Shift]],Orders[#Headers],0),FALSE)</f>
        <v>Breakfast</v>
      </c>
      <c r="M614" s="8">
        <f>(OrderLines[[#This Row],[Qty]]*OrderLines[[#This Row],[UnitPrice]])*(1-OrderLines[[#This Row],[DiscountPct]])</f>
        <v>26.699200000000001</v>
      </c>
      <c r="N614" t="str">
        <f>IF(AND(COUNTIFS(OrderLines[OrderID],OrderLines[[#This Row],[OrderID]],OrderLines[Category],"Hot Meal"),COUNTIFS(OrderLines[OrderID],OrderLines[[#This Row],[OrderID]],OrderLines[Category],"Beverage")),"Combo","Single")</f>
        <v>Single</v>
      </c>
      <c r="O614" s="8" t="str" cm="1">
        <f t="array" ref="O614">IF(SUMPRODUCT(OrderLines[UnitPrice],OrderLines[Qty],OrderLines[DiscountPct],--(OrderLines[OrderID] = OrderLines[[#This Row],[OrderID]]))&gt;40,"High Discount","Ok")</f>
        <v>Ok</v>
      </c>
      <c r="P614">
        <f>OrderLines[[#This Row],[UnitCost]]*OrderLines[[#This Row],[Qty]]</f>
        <v>14.18</v>
      </c>
      <c r="Q614" s="8">
        <f>OrderLines[[#This Row],[LineNetAmount]]-OrderLines[[#This Row],[Food Cost]]</f>
        <v>12.519200000000001</v>
      </c>
    </row>
    <row r="615" spans="1:17" x14ac:dyDescent="0.3">
      <c r="A615" t="s">
        <v>278</v>
      </c>
      <c r="B615" t="s">
        <v>414</v>
      </c>
      <c r="C615">
        <v>1</v>
      </c>
      <c r="D615" cm="1">
        <f t="array" ref="D615">VLOOKUP(OrderLines[[#This Row],[SKU]:[SKU]],Menu[],MATCH(OrderLines[[#Headers],[UnitPrice]],Menu[#Headers],0),FALSE)</f>
        <v>116.8</v>
      </c>
      <c r="E615" cm="1">
        <f t="array" ref="E615">VLOOKUP(OrderLines[[#This Row],[SKU]:[SKU]],Menu[],MATCH(OrderLines[[#Headers],[UnitCost]],Menu[#Headers],0),FALSE)</f>
        <v>48.97</v>
      </c>
      <c r="F615" t="str" cm="1">
        <f t="array" ref="F615">VLOOKUP(OrderLines[[#This Row],[SKU]:[SKU]],Menu[],MATCH(OrderLines[[#Headers],[Category]],Menu[#Headers],0),FALSE)</f>
        <v>Dessert</v>
      </c>
      <c r="G615" t="str" cm="1">
        <f t="array" ref="G615">_xlfn.TEXTJOIN("+",TRUE,_xlfn._xlws.SORT(_xlfn.UNIQUE(_xlfn._xlws.FILTER(OrderLines[Category],OrderLines[OrderID]=OrderLines[[#This Row],[OrderID]]))))</f>
        <v>Beverage+Dessert</v>
      </c>
      <c r="H615" s="2" cm="1">
        <f t="array" ref="H615">INT(VLOOKUP(OrderLines[[#This Row],[OrderID]:[OrderID]],Orders[],MATCH(OrderLines[[#Headers],[OrderDateTime]],Orders[#Headers],0),FALSE))</f>
        <v>45883</v>
      </c>
      <c r="I615" t="str" cm="1">
        <f t="array" ref="I615">VLOOKUP(OrderLines[[#This Row],[OrderID]:[OrderID]],Orders[],MATCH(OrderLines[[#Headers],[Branch]],Orders[#Headers],0),FALSE)</f>
        <v>Head Office Café</v>
      </c>
      <c r="J615" cm="1">
        <f t="array" ref="J615">VLOOKUP(OrderLines[[#This Row],[OrderID]:[OrderID]],Orders[],MATCH(OrderLines[[#Headers],[DiscountPct]],Orders[#Headers],0),FALSE)</f>
        <v>0.12</v>
      </c>
      <c r="K615" t="str" cm="1">
        <f t="array" ref="K615">VLOOKUP(OrderLines[[#This Row],[OrderID]:[OrderID]],Orders[],MATCH(OrderLines[[#Headers],[PaymentType]],Orders[#Headers],0),FALSE)</f>
        <v>Card</v>
      </c>
      <c r="L615" t="str" cm="1">
        <f t="array" ref="L615">VLOOKUP(OrderLines[[#This Row],[OrderID]:[OrderID]],Orders[],MATCH(OrderLines[[#Headers],[Shift]],Orders[#Headers],0),FALSE)</f>
        <v>Breakfast</v>
      </c>
      <c r="M615" s="8">
        <f>(OrderLines[[#This Row],[Qty]]*OrderLines[[#This Row],[UnitPrice]])*(1-OrderLines[[#This Row],[DiscountPct]])</f>
        <v>102.78399999999999</v>
      </c>
      <c r="N615" t="str">
        <f>IF(AND(COUNTIFS(OrderLines[OrderID],OrderLines[[#This Row],[OrderID]],OrderLines[Category],"Hot Meal"),COUNTIFS(OrderLines[OrderID],OrderLines[[#This Row],[OrderID]],OrderLines[Category],"Beverage")),"Combo","Single")</f>
        <v>Single</v>
      </c>
      <c r="O615" s="8" t="str" cm="1">
        <f t="array" ref="O615">IF(SUMPRODUCT(OrderLines[UnitPrice],OrderLines[Qty],OrderLines[DiscountPct],--(OrderLines[OrderID] = OrderLines[[#This Row],[OrderID]]))&gt;40,"High Discount","Ok")</f>
        <v>Ok</v>
      </c>
      <c r="P615">
        <f>OrderLines[[#This Row],[UnitCost]]*OrderLines[[#This Row],[Qty]]</f>
        <v>48.97</v>
      </c>
      <c r="Q615" s="8">
        <f>OrderLines[[#This Row],[LineNetAmount]]-OrderLines[[#This Row],[Food Cost]]</f>
        <v>53.813999999999993</v>
      </c>
    </row>
    <row r="616" spans="1:17" x14ac:dyDescent="0.3">
      <c r="A616" t="s">
        <v>279</v>
      </c>
      <c r="B616" t="s">
        <v>406</v>
      </c>
      <c r="C616">
        <v>1</v>
      </c>
      <c r="D616" cm="1">
        <f t="array" ref="D616">VLOOKUP(OrderLines[[#This Row],[SKU]:[SKU]],Menu[],MATCH(OrderLines[[#Headers],[UnitPrice]],Menu[#Headers],0),FALSE)</f>
        <v>38.06</v>
      </c>
      <c r="E616" cm="1">
        <f t="array" ref="E616">VLOOKUP(OrderLines[[#This Row],[SKU]:[SKU]],Menu[],MATCH(OrderLines[[#Headers],[UnitCost]],Menu[#Headers],0),FALSE)</f>
        <v>19.55</v>
      </c>
      <c r="F616" t="str" cm="1">
        <f t="array" ref="F616">VLOOKUP(OrderLines[[#This Row],[SKU]:[SKU]],Menu[],MATCH(OrderLines[[#Headers],[Category]],Menu[#Headers],0),FALSE)</f>
        <v>Snack</v>
      </c>
      <c r="G616" t="str" cm="1">
        <f t="array" ref="G616">_xlfn.TEXTJOIN("+",TRUE,_xlfn._xlws.SORT(_xlfn.UNIQUE(_xlfn._xlws.FILTER(OrderLines[Category],OrderLines[OrderID]=OrderLines[[#This Row],[OrderID]]))))</f>
        <v>Hot Meal+Snack</v>
      </c>
      <c r="H616" s="2" cm="1">
        <f t="array" ref="H616">INT(VLOOKUP(OrderLines[[#This Row],[OrderID]:[OrderID]],Orders[],MATCH(OrderLines[[#Headers],[OrderDateTime]],Orders[#Headers],0),FALSE))</f>
        <v>45850</v>
      </c>
      <c r="I616" t="str" cm="1">
        <f t="array" ref="I616">VLOOKUP(OrderLines[[#This Row],[OrderID]:[OrderID]],Orders[],MATCH(OrderLines[[#Headers],[Branch]],Orders[#Headers],0),FALSE)</f>
        <v>Head Office Café</v>
      </c>
      <c r="J616" cm="1">
        <f t="array" ref="J616">VLOOKUP(OrderLines[[#This Row],[OrderID]:[OrderID]],Orders[],MATCH(OrderLines[[#Headers],[DiscountPct]],Orders[#Headers],0),FALSE)</f>
        <v>0.01</v>
      </c>
      <c r="K616" t="str" cm="1">
        <f t="array" ref="K616">VLOOKUP(OrderLines[[#This Row],[OrderID]:[OrderID]],Orders[],MATCH(OrderLines[[#Headers],[PaymentType]],Orders[#Headers],0),FALSE)</f>
        <v>UPI</v>
      </c>
      <c r="L616" t="str" cm="1">
        <f t="array" ref="L616">VLOOKUP(OrderLines[[#This Row],[OrderID]:[OrderID]],Orders[],MATCH(OrderLines[[#Headers],[Shift]],Orders[#Headers],0),FALSE)</f>
        <v>Breakfast</v>
      </c>
      <c r="M616" s="8">
        <f>(OrderLines[[#This Row],[Qty]]*OrderLines[[#This Row],[UnitPrice]])*(1-OrderLines[[#This Row],[DiscountPct]])</f>
        <v>37.679400000000001</v>
      </c>
      <c r="N616" t="str">
        <f>IF(AND(COUNTIFS(OrderLines[OrderID],OrderLines[[#This Row],[OrderID]],OrderLines[Category],"Hot Meal"),COUNTIFS(OrderLines[OrderID],OrderLines[[#This Row],[OrderID]],OrderLines[Category],"Beverage")),"Combo","Single")</f>
        <v>Single</v>
      </c>
      <c r="O616" s="8" t="str" cm="1">
        <f t="array" ref="O616">IF(SUMPRODUCT(OrderLines[UnitPrice],OrderLines[Qty],OrderLines[DiscountPct],--(OrderLines[OrderID] = OrderLines[[#This Row],[OrderID]]))&gt;40,"High Discount","Ok")</f>
        <v>Ok</v>
      </c>
      <c r="P616">
        <f>OrderLines[[#This Row],[UnitCost]]*OrderLines[[#This Row],[Qty]]</f>
        <v>19.55</v>
      </c>
      <c r="Q616" s="8">
        <f>OrderLines[[#This Row],[LineNetAmount]]-OrderLines[[#This Row],[Food Cost]]</f>
        <v>18.1294</v>
      </c>
    </row>
    <row r="617" spans="1:17" x14ac:dyDescent="0.3">
      <c r="A617" t="s">
        <v>279</v>
      </c>
      <c r="B617" t="s">
        <v>415</v>
      </c>
      <c r="C617">
        <v>2</v>
      </c>
      <c r="D617" cm="1">
        <f t="array" ref="D617">VLOOKUP(OrderLines[[#This Row],[SKU]:[SKU]],Menu[],MATCH(OrderLines[[#Headers],[UnitPrice]],Menu[#Headers],0),FALSE)</f>
        <v>256.91000000000003</v>
      </c>
      <c r="E617" cm="1">
        <f t="array" ref="E617">VLOOKUP(OrderLines[[#This Row],[SKU]:[SKU]],Menu[],MATCH(OrderLines[[#Headers],[UnitCost]],Menu[#Headers],0),FALSE)</f>
        <v>121.24</v>
      </c>
      <c r="F617" t="str" cm="1">
        <f t="array" ref="F617">VLOOKUP(OrderLines[[#This Row],[SKU]:[SKU]],Menu[],MATCH(OrderLines[[#Headers],[Category]],Menu[#Headers],0),FALSE)</f>
        <v>Hot Meal</v>
      </c>
      <c r="G617" t="str" cm="1">
        <f t="array" ref="G617">_xlfn.TEXTJOIN("+",TRUE,_xlfn._xlws.SORT(_xlfn.UNIQUE(_xlfn._xlws.FILTER(OrderLines[Category],OrderLines[OrderID]=OrderLines[[#This Row],[OrderID]]))))</f>
        <v>Hot Meal+Snack</v>
      </c>
      <c r="H617" s="2" cm="1">
        <f t="array" ref="H617">INT(VLOOKUP(OrderLines[[#This Row],[OrderID]:[OrderID]],Orders[],MATCH(OrderLines[[#Headers],[OrderDateTime]],Orders[#Headers],0),FALSE))</f>
        <v>45850</v>
      </c>
      <c r="I617" t="str" cm="1">
        <f t="array" ref="I617">VLOOKUP(OrderLines[[#This Row],[OrderID]:[OrderID]],Orders[],MATCH(OrderLines[[#Headers],[Branch]],Orders[#Headers],0),FALSE)</f>
        <v>Head Office Café</v>
      </c>
      <c r="J617" cm="1">
        <f t="array" ref="J617">VLOOKUP(OrderLines[[#This Row],[OrderID]:[OrderID]],Orders[],MATCH(OrderLines[[#Headers],[DiscountPct]],Orders[#Headers],0),FALSE)</f>
        <v>0.01</v>
      </c>
      <c r="K617" t="str" cm="1">
        <f t="array" ref="K617">VLOOKUP(OrderLines[[#This Row],[OrderID]:[OrderID]],Orders[],MATCH(OrderLines[[#Headers],[PaymentType]],Orders[#Headers],0),FALSE)</f>
        <v>UPI</v>
      </c>
      <c r="L617" t="str" cm="1">
        <f t="array" ref="L617">VLOOKUP(OrderLines[[#This Row],[OrderID]:[OrderID]],Orders[],MATCH(OrderLines[[#Headers],[Shift]],Orders[#Headers],0),FALSE)</f>
        <v>Breakfast</v>
      </c>
      <c r="M617" s="8">
        <f>(OrderLines[[#This Row],[Qty]]*OrderLines[[#This Row],[UnitPrice]])*(1-OrderLines[[#This Row],[DiscountPct]])</f>
        <v>508.68180000000007</v>
      </c>
      <c r="N617" t="str">
        <f>IF(AND(COUNTIFS(OrderLines[OrderID],OrderLines[[#This Row],[OrderID]],OrderLines[Category],"Hot Meal"),COUNTIFS(OrderLines[OrderID],OrderLines[[#This Row],[OrderID]],OrderLines[Category],"Beverage")),"Combo","Single")</f>
        <v>Single</v>
      </c>
      <c r="O617" s="8" t="str" cm="1">
        <f t="array" ref="O617">IF(SUMPRODUCT(OrderLines[UnitPrice],OrderLines[Qty],OrderLines[DiscountPct],--(OrderLines[OrderID] = OrderLines[[#This Row],[OrderID]]))&gt;40,"High Discount","Ok")</f>
        <v>Ok</v>
      </c>
      <c r="P617">
        <f>OrderLines[[#This Row],[UnitCost]]*OrderLines[[#This Row],[Qty]]</f>
        <v>242.48</v>
      </c>
      <c r="Q617" s="8">
        <f>OrderLines[[#This Row],[LineNetAmount]]-OrderLines[[#This Row],[Food Cost]]</f>
        <v>266.20180000000005</v>
      </c>
    </row>
    <row r="618" spans="1:17" x14ac:dyDescent="0.3">
      <c r="A618" t="s">
        <v>279</v>
      </c>
      <c r="B618" t="s">
        <v>418</v>
      </c>
      <c r="C618">
        <v>2</v>
      </c>
      <c r="D618" cm="1">
        <f t="array" ref="D618">VLOOKUP(OrderLines[[#This Row],[SKU]:[SKU]],Menu[],MATCH(OrderLines[[#Headers],[UnitPrice]],Menu[#Headers],0),FALSE)</f>
        <v>39.950000000000003</v>
      </c>
      <c r="E618" cm="1">
        <f t="array" ref="E618">VLOOKUP(OrderLines[[#This Row],[SKU]:[SKU]],Menu[],MATCH(OrderLines[[#Headers],[UnitCost]],Menu[#Headers],0),FALSE)</f>
        <v>15.51</v>
      </c>
      <c r="F618" t="str" cm="1">
        <f t="array" ref="F618">VLOOKUP(OrderLines[[#This Row],[SKU]:[SKU]],Menu[],MATCH(OrderLines[[#Headers],[Category]],Menu[#Headers],0),FALSE)</f>
        <v>Snack</v>
      </c>
      <c r="G618" t="str" cm="1">
        <f t="array" ref="G618">_xlfn.TEXTJOIN("+",TRUE,_xlfn._xlws.SORT(_xlfn.UNIQUE(_xlfn._xlws.FILTER(OrderLines[Category],OrderLines[OrderID]=OrderLines[[#This Row],[OrderID]]))))</f>
        <v>Hot Meal+Snack</v>
      </c>
      <c r="H618" s="2" cm="1">
        <f t="array" ref="H618">INT(VLOOKUP(OrderLines[[#This Row],[OrderID]:[OrderID]],Orders[],MATCH(OrderLines[[#Headers],[OrderDateTime]],Orders[#Headers],0),FALSE))</f>
        <v>45850</v>
      </c>
      <c r="I618" t="str" cm="1">
        <f t="array" ref="I618">VLOOKUP(OrderLines[[#This Row],[OrderID]:[OrderID]],Orders[],MATCH(OrderLines[[#Headers],[Branch]],Orders[#Headers],0),FALSE)</f>
        <v>Head Office Café</v>
      </c>
      <c r="J618" cm="1">
        <f t="array" ref="J618">VLOOKUP(OrderLines[[#This Row],[OrderID]:[OrderID]],Orders[],MATCH(OrderLines[[#Headers],[DiscountPct]],Orders[#Headers],0),FALSE)</f>
        <v>0.01</v>
      </c>
      <c r="K618" t="str" cm="1">
        <f t="array" ref="K618">VLOOKUP(OrderLines[[#This Row],[OrderID]:[OrderID]],Orders[],MATCH(OrderLines[[#Headers],[PaymentType]],Orders[#Headers],0),FALSE)</f>
        <v>UPI</v>
      </c>
      <c r="L618" t="str" cm="1">
        <f t="array" ref="L618">VLOOKUP(OrderLines[[#This Row],[OrderID]:[OrderID]],Orders[],MATCH(OrderLines[[#Headers],[Shift]],Orders[#Headers],0),FALSE)</f>
        <v>Breakfast</v>
      </c>
      <c r="M618" s="8">
        <f>(OrderLines[[#This Row],[Qty]]*OrderLines[[#This Row],[UnitPrice]])*(1-OrderLines[[#This Row],[DiscountPct]])</f>
        <v>79.100999999999999</v>
      </c>
      <c r="N618" t="str">
        <f>IF(AND(COUNTIFS(OrderLines[OrderID],OrderLines[[#This Row],[OrderID]],OrderLines[Category],"Hot Meal"),COUNTIFS(OrderLines[OrderID],OrderLines[[#This Row],[OrderID]],OrderLines[Category],"Beverage")),"Combo","Single")</f>
        <v>Single</v>
      </c>
      <c r="O618" s="8" t="str" cm="1">
        <f t="array" ref="O618">IF(SUMPRODUCT(OrderLines[UnitPrice],OrderLines[Qty],OrderLines[DiscountPct],--(OrderLines[OrderID] = OrderLines[[#This Row],[OrderID]]))&gt;40,"High Discount","Ok")</f>
        <v>Ok</v>
      </c>
      <c r="P618">
        <f>OrderLines[[#This Row],[UnitCost]]*OrderLines[[#This Row],[Qty]]</f>
        <v>31.02</v>
      </c>
      <c r="Q618" s="8">
        <f>OrderLines[[#This Row],[LineNetAmount]]-OrderLines[[#This Row],[Food Cost]]</f>
        <v>48.081000000000003</v>
      </c>
    </row>
    <row r="619" spans="1:17" x14ac:dyDescent="0.3">
      <c r="A619" t="s">
        <v>279</v>
      </c>
      <c r="B619" t="s">
        <v>407</v>
      </c>
      <c r="C619">
        <v>2</v>
      </c>
      <c r="D619" cm="1">
        <f t="array" ref="D619">VLOOKUP(OrderLines[[#This Row],[SKU]:[SKU]],Menu[],MATCH(OrderLines[[#Headers],[UnitPrice]],Menu[#Headers],0),FALSE)</f>
        <v>246.09</v>
      </c>
      <c r="E619" cm="1">
        <f t="array" ref="E619">VLOOKUP(OrderLines[[#This Row],[SKU]:[SKU]],Menu[],MATCH(OrderLines[[#Headers],[UnitCost]],Menu[#Headers],0),FALSE)</f>
        <v>112.08</v>
      </c>
      <c r="F619" t="str" cm="1">
        <f t="array" ref="F619">VLOOKUP(OrderLines[[#This Row],[SKU]:[SKU]],Menu[],MATCH(OrderLines[[#Headers],[Category]],Menu[#Headers],0),FALSE)</f>
        <v>Hot Meal</v>
      </c>
      <c r="G619" t="str" cm="1">
        <f t="array" ref="G619">_xlfn.TEXTJOIN("+",TRUE,_xlfn._xlws.SORT(_xlfn.UNIQUE(_xlfn._xlws.FILTER(OrderLines[Category],OrderLines[OrderID]=OrderLines[[#This Row],[OrderID]]))))</f>
        <v>Hot Meal+Snack</v>
      </c>
      <c r="H619" s="2" cm="1">
        <f t="array" ref="H619">INT(VLOOKUP(OrderLines[[#This Row],[OrderID]:[OrderID]],Orders[],MATCH(OrderLines[[#Headers],[OrderDateTime]],Orders[#Headers],0),FALSE))</f>
        <v>45850</v>
      </c>
      <c r="I619" t="str" cm="1">
        <f t="array" ref="I619">VLOOKUP(OrderLines[[#This Row],[OrderID]:[OrderID]],Orders[],MATCH(OrderLines[[#Headers],[Branch]],Orders[#Headers],0),FALSE)</f>
        <v>Head Office Café</v>
      </c>
      <c r="J619" cm="1">
        <f t="array" ref="J619">VLOOKUP(OrderLines[[#This Row],[OrderID]:[OrderID]],Orders[],MATCH(OrderLines[[#Headers],[DiscountPct]],Orders[#Headers],0),FALSE)</f>
        <v>0.01</v>
      </c>
      <c r="K619" t="str" cm="1">
        <f t="array" ref="K619">VLOOKUP(OrderLines[[#This Row],[OrderID]:[OrderID]],Orders[],MATCH(OrderLines[[#Headers],[PaymentType]],Orders[#Headers],0),FALSE)</f>
        <v>UPI</v>
      </c>
      <c r="L619" t="str" cm="1">
        <f t="array" ref="L619">VLOOKUP(OrderLines[[#This Row],[OrderID]:[OrderID]],Orders[],MATCH(OrderLines[[#Headers],[Shift]],Orders[#Headers],0),FALSE)</f>
        <v>Breakfast</v>
      </c>
      <c r="M619" s="8">
        <f>(OrderLines[[#This Row],[Qty]]*OrderLines[[#This Row],[UnitPrice]])*(1-OrderLines[[#This Row],[DiscountPct]])</f>
        <v>487.25819999999999</v>
      </c>
      <c r="N619" t="str">
        <f>IF(AND(COUNTIFS(OrderLines[OrderID],OrderLines[[#This Row],[OrderID]],OrderLines[Category],"Hot Meal"),COUNTIFS(OrderLines[OrderID],OrderLines[[#This Row],[OrderID]],OrderLines[Category],"Beverage")),"Combo","Single")</f>
        <v>Single</v>
      </c>
      <c r="O619" s="8" t="str" cm="1">
        <f t="array" ref="O619">IF(SUMPRODUCT(OrderLines[UnitPrice],OrderLines[Qty],OrderLines[DiscountPct],--(OrderLines[OrderID] = OrderLines[[#This Row],[OrderID]]))&gt;40,"High Discount","Ok")</f>
        <v>Ok</v>
      </c>
      <c r="P619">
        <f>OrderLines[[#This Row],[UnitCost]]*OrderLines[[#This Row],[Qty]]</f>
        <v>224.16</v>
      </c>
      <c r="Q619" s="8">
        <f>OrderLines[[#This Row],[LineNetAmount]]-OrderLines[[#This Row],[Food Cost]]</f>
        <v>263.09820000000002</v>
      </c>
    </row>
    <row r="620" spans="1:17" x14ac:dyDescent="0.3">
      <c r="A620" t="s">
        <v>280</v>
      </c>
      <c r="B620" t="s">
        <v>412</v>
      </c>
      <c r="C620">
        <v>2</v>
      </c>
      <c r="D620" cm="1">
        <f t="array" ref="D620">VLOOKUP(OrderLines[[#This Row],[SKU]:[SKU]],Menu[],MATCH(OrderLines[[#Headers],[UnitPrice]],Menu[#Headers],0),FALSE)</f>
        <v>57.07</v>
      </c>
      <c r="E620" cm="1">
        <f t="array" ref="E620">VLOOKUP(OrderLines[[#This Row],[SKU]:[SKU]],Menu[],MATCH(OrderLines[[#Headers],[UnitCost]],Menu[#Headers],0),FALSE)</f>
        <v>29.14</v>
      </c>
      <c r="F620" t="str" cm="1">
        <f t="array" ref="F620">VLOOKUP(OrderLines[[#This Row],[SKU]:[SKU]],Menu[],MATCH(OrderLines[[#Headers],[Category]],Menu[#Headers],0),FALSE)</f>
        <v>Dessert</v>
      </c>
      <c r="G620" t="str" cm="1">
        <f t="array" ref="G620">_xlfn.TEXTJOIN("+",TRUE,_xlfn._xlws.SORT(_xlfn.UNIQUE(_xlfn._xlws.FILTER(OrderLines[Category],OrderLines[OrderID]=OrderLines[[#This Row],[OrderID]]))))</f>
        <v>Dessert</v>
      </c>
      <c r="H620" s="2" cm="1">
        <f t="array" ref="H620">INT(VLOOKUP(OrderLines[[#This Row],[OrderID]:[OrderID]],Orders[],MATCH(OrderLines[[#Headers],[OrderDateTime]],Orders[#Headers],0),FALSE))</f>
        <v>45881</v>
      </c>
      <c r="I620" t="str" cm="1">
        <f t="array" ref="I620">VLOOKUP(OrderLines[[#This Row],[OrderID]:[OrderID]],Orders[],MATCH(OrderLines[[#Headers],[Branch]],Orders[#Headers],0),FALSE)</f>
        <v>Plant 2 Canteen</v>
      </c>
      <c r="J620" cm="1">
        <f t="array" ref="J620">VLOOKUP(OrderLines[[#This Row],[OrderID]:[OrderID]],Orders[],MATCH(OrderLines[[#Headers],[DiscountPct]],Orders[#Headers],0),FALSE)</f>
        <v>0.15</v>
      </c>
      <c r="K620" t="str" cm="1">
        <f t="array" ref="K620">VLOOKUP(OrderLines[[#This Row],[OrderID]:[OrderID]],Orders[],MATCH(OrderLines[[#Headers],[PaymentType]],Orders[#Headers],0),FALSE)</f>
        <v>Card</v>
      </c>
      <c r="L620" t="str" cm="1">
        <f t="array" ref="L620">VLOOKUP(OrderLines[[#This Row],[OrderID]:[OrderID]],Orders[],MATCH(OrderLines[[#Headers],[Shift]],Orders[#Headers],0),FALSE)</f>
        <v>Breakfast</v>
      </c>
      <c r="M620" s="8">
        <f>(OrderLines[[#This Row],[Qty]]*OrderLines[[#This Row],[UnitPrice]])*(1-OrderLines[[#This Row],[DiscountPct]])</f>
        <v>97.018999999999991</v>
      </c>
      <c r="N620" t="str">
        <f>IF(AND(COUNTIFS(OrderLines[OrderID],OrderLines[[#This Row],[OrderID]],OrderLines[Category],"Hot Meal"),COUNTIFS(OrderLines[OrderID],OrderLines[[#This Row],[OrderID]],OrderLines[Category],"Beverage")),"Combo","Single")</f>
        <v>Single</v>
      </c>
      <c r="O620" s="8" t="str" cm="1">
        <f t="array" ref="O620">IF(SUMPRODUCT(OrderLines[UnitPrice],OrderLines[Qty],OrderLines[DiscountPct],--(OrderLines[OrderID] = OrderLines[[#This Row],[OrderID]]))&gt;40,"High Discount","Ok")</f>
        <v>Ok</v>
      </c>
      <c r="P620">
        <f>OrderLines[[#This Row],[UnitCost]]*OrderLines[[#This Row],[Qty]]</f>
        <v>58.28</v>
      </c>
      <c r="Q620" s="8">
        <f>OrderLines[[#This Row],[LineNetAmount]]-OrderLines[[#This Row],[Food Cost]]</f>
        <v>38.73899999999999</v>
      </c>
    </row>
    <row r="621" spans="1:17" x14ac:dyDescent="0.3">
      <c r="A621" t="s">
        <v>280</v>
      </c>
      <c r="B621" t="s">
        <v>414</v>
      </c>
      <c r="C621">
        <v>1</v>
      </c>
      <c r="D621" cm="1">
        <f t="array" ref="D621">VLOOKUP(OrderLines[[#This Row],[SKU]:[SKU]],Menu[],MATCH(OrderLines[[#Headers],[UnitPrice]],Menu[#Headers],0),FALSE)</f>
        <v>116.8</v>
      </c>
      <c r="E621" cm="1">
        <f t="array" ref="E621">VLOOKUP(OrderLines[[#This Row],[SKU]:[SKU]],Menu[],MATCH(OrderLines[[#Headers],[UnitCost]],Menu[#Headers],0),FALSE)</f>
        <v>48.97</v>
      </c>
      <c r="F621" t="str" cm="1">
        <f t="array" ref="F621">VLOOKUP(OrderLines[[#This Row],[SKU]:[SKU]],Menu[],MATCH(OrderLines[[#Headers],[Category]],Menu[#Headers],0),FALSE)</f>
        <v>Dessert</v>
      </c>
      <c r="G621" t="str" cm="1">
        <f t="array" ref="G621">_xlfn.TEXTJOIN("+",TRUE,_xlfn._xlws.SORT(_xlfn.UNIQUE(_xlfn._xlws.FILTER(OrderLines[Category],OrderLines[OrderID]=OrderLines[[#This Row],[OrderID]]))))</f>
        <v>Dessert</v>
      </c>
      <c r="H621" s="2" cm="1">
        <f t="array" ref="H621">INT(VLOOKUP(OrderLines[[#This Row],[OrderID]:[OrderID]],Orders[],MATCH(OrderLines[[#Headers],[OrderDateTime]],Orders[#Headers],0),FALSE))</f>
        <v>45881</v>
      </c>
      <c r="I621" t="str" cm="1">
        <f t="array" ref="I621">VLOOKUP(OrderLines[[#This Row],[OrderID]:[OrderID]],Orders[],MATCH(OrderLines[[#Headers],[Branch]],Orders[#Headers],0),FALSE)</f>
        <v>Plant 2 Canteen</v>
      </c>
      <c r="J621" cm="1">
        <f t="array" ref="J621">VLOOKUP(OrderLines[[#This Row],[OrderID]:[OrderID]],Orders[],MATCH(OrderLines[[#Headers],[DiscountPct]],Orders[#Headers],0),FALSE)</f>
        <v>0.15</v>
      </c>
      <c r="K621" t="str" cm="1">
        <f t="array" ref="K621">VLOOKUP(OrderLines[[#This Row],[OrderID]:[OrderID]],Orders[],MATCH(OrderLines[[#Headers],[PaymentType]],Orders[#Headers],0),FALSE)</f>
        <v>Card</v>
      </c>
      <c r="L621" t="str" cm="1">
        <f t="array" ref="L621">VLOOKUP(OrderLines[[#This Row],[OrderID]:[OrderID]],Orders[],MATCH(OrderLines[[#Headers],[Shift]],Orders[#Headers],0),FALSE)</f>
        <v>Breakfast</v>
      </c>
      <c r="M621" s="8">
        <f>(OrderLines[[#This Row],[Qty]]*OrderLines[[#This Row],[UnitPrice]])*(1-OrderLines[[#This Row],[DiscountPct]])</f>
        <v>99.28</v>
      </c>
      <c r="N621" t="str">
        <f>IF(AND(COUNTIFS(OrderLines[OrderID],OrderLines[[#This Row],[OrderID]],OrderLines[Category],"Hot Meal"),COUNTIFS(OrderLines[OrderID],OrderLines[[#This Row],[OrderID]],OrderLines[Category],"Beverage")),"Combo","Single")</f>
        <v>Single</v>
      </c>
      <c r="O621" s="8" t="str" cm="1">
        <f t="array" ref="O621">IF(SUMPRODUCT(OrderLines[UnitPrice],OrderLines[Qty],OrderLines[DiscountPct],--(OrderLines[OrderID] = OrderLines[[#This Row],[OrderID]]))&gt;40,"High Discount","Ok")</f>
        <v>Ok</v>
      </c>
      <c r="P621">
        <f>OrderLines[[#This Row],[UnitCost]]*OrderLines[[#This Row],[Qty]]</f>
        <v>48.97</v>
      </c>
      <c r="Q621" s="8">
        <f>OrderLines[[#This Row],[LineNetAmount]]-OrderLines[[#This Row],[Food Cost]]</f>
        <v>50.31</v>
      </c>
    </row>
    <row r="622" spans="1:17" x14ac:dyDescent="0.3">
      <c r="A622" t="s">
        <v>281</v>
      </c>
      <c r="B622" t="s">
        <v>410</v>
      </c>
      <c r="C622">
        <v>1</v>
      </c>
      <c r="D622" cm="1">
        <f t="array" ref="D622">VLOOKUP(OrderLines[[#This Row],[SKU]:[SKU]],Menu[],MATCH(OrderLines[[#Headers],[UnitPrice]],Menu[#Headers],0),FALSE)</f>
        <v>20.11</v>
      </c>
      <c r="E622" cm="1">
        <f t="array" ref="E622">VLOOKUP(OrderLines[[#This Row],[SKU]:[SKU]],Menu[],MATCH(OrderLines[[#Headers],[UnitCost]],Menu[#Headers],0),FALSE)</f>
        <v>8</v>
      </c>
      <c r="F622" t="str" cm="1">
        <f t="array" ref="F622">VLOOKUP(OrderLines[[#This Row],[SKU]:[SKU]],Menu[],MATCH(OrderLines[[#Headers],[Category]],Menu[#Headers],0),FALSE)</f>
        <v>Beverage</v>
      </c>
      <c r="G622" t="str" cm="1">
        <f t="array" ref="G622">_xlfn.TEXTJOIN("+",TRUE,_xlfn._xlws.SORT(_xlfn.UNIQUE(_xlfn._xlws.FILTER(OrderLines[Category],OrderLines[OrderID]=OrderLines[[#This Row],[OrderID]]))))</f>
        <v>Beverage+Hot Meal+Snack</v>
      </c>
      <c r="H622" s="2" cm="1">
        <f t="array" ref="H622">INT(VLOOKUP(OrderLines[[#This Row],[OrderID]:[OrderID]],Orders[],MATCH(OrderLines[[#Headers],[OrderDateTime]],Orders[#Headers],0),FALSE))</f>
        <v>45883</v>
      </c>
      <c r="I622" t="str" cm="1">
        <f t="array" ref="I622">VLOOKUP(OrderLines[[#This Row],[OrderID]:[OrderID]],Orders[],MATCH(OrderLines[[#Headers],[Branch]],Orders[#Headers],0),FALSE)</f>
        <v>Plant 2 Canteen</v>
      </c>
      <c r="J622" cm="1">
        <f t="array" ref="J622">VLOOKUP(OrderLines[[#This Row],[OrderID]:[OrderID]],Orders[],MATCH(OrderLines[[#Headers],[DiscountPct]],Orders[#Headers],0),FALSE)</f>
        <v>0</v>
      </c>
      <c r="K622" t="str" cm="1">
        <f t="array" ref="K622">VLOOKUP(OrderLines[[#This Row],[OrderID]:[OrderID]],Orders[],MATCH(OrderLines[[#Headers],[PaymentType]],Orders[#Headers],0),FALSE)</f>
        <v>UPI</v>
      </c>
      <c r="L622" t="str" cm="1">
        <f t="array" ref="L622">VLOOKUP(OrderLines[[#This Row],[OrderID]:[OrderID]],Orders[],MATCH(OrderLines[[#Headers],[Shift]],Orders[#Headers],0),FALSE)</f>
        <v>Breakfast</v>
      </c>
      <c r="M622" s="8">
        <f>(OrderLines[[#This Row],[Qty]]*OrderLines[[#This Row],[UnitPrice]])*(1-OrderLines[[#This Row],[DiscountPct]])</f>
        <v>20.11</v>
      </c>
      <c r="N622" t="str">
        <f>IF(AND(COUNTIFS(OrderLines[OrderID],OrderLines[[#This Row],[OrderID]],OrderLines[Category],"Hot Meal"),COUNTIFS(OrderLines[OrderID],OrderLines[[#This Row],[OrderID]],OrderLines[Category],"Beverage")),"Combo","Single")</f>
        <v>Combo</v>
      </c>
      <c r="O622" s="8" t="str" cm="1">
        <f t="array" ref="O622">IF(SUMPRODUCT(OrderLines[UnitPrice],OrderLines[Qty],OrderLines[DiscountPct],--(OrderLines[OrderID] = OrderLines[[#This Row],[OrderID]]))&gt;40,"High Discount","Ok")</f>
        <v>Ok</v>
      </c>
      <c r="P622">
        <f>OrderLines[[#This Row],[UnitCost]]*OrderLines[[#This Row],[Qty]]</f>
        <v>8</v>
      </c>
      <c r="Q622" s="8">
        <f>OrderLines[[#This Row],[LineNetAmount]]-OrderLines[[#This Row],[Food Cost]]</f>
        <v>12.11</v>
      </c>
    </row>
    <row r="623" spans="1:17" x14ac:dyDescent="0.3">
      <c r="A623" t="s">
        <v>281</v>
      </c>
      <c r="B623" t="s">
        <v>418</v>
      </c>
      <c r="C623">
        <v>3</v>
      </c>
      <c r="D623" cm="1">
        <f t="array" ref="D623">VLOOKUP(OrderLines[[#This Row],[SKU]:[SKU]],Menu[],MATCH(OrderLines[[#Headers],[UnitPrice]],Menu[#Headers],0),FALSE)</f>
        <v>39.950000000000003</v>
      </c>
      <c r="E623" cm="1">
        <f t="array" ref="E623">VLOOKUP(OrderLines[[#This Row],[SKU]:[SKU]],Menu[],MATCH(OrderLines[[#Headers],[UnitCost]],Menu[#Headers],0),FALSE)</f>
        <v>15.51</v>
      </c>
      <c r="F623" t="str" cm="1">
        <f t="array" ref="F623">VLOOKUP(OrderLines[[#This Row],[SKU]:[SKU]],Menu[],MATCH(OrderLines[[#Headers],[Category]],Menu[#Headers],0),FALSE)</f>
        <v>Snack</v>
      </c>
      <c r="G623" t="str" cm="1">
        <f t="array" ref="G623">_xlfn.TEXTJOIN("+",TRUE,_xlfn._xlws.SORT(_xlfn.UNIQUE(_xlfn._xlws.FILTER(OrderLines[Category],OrderLines[OrderID]=OrderLines[[#This Row],[OrderID]]))))</f>
        <v>Beverage+Hot Meal+Snack</v>
      </c>
      <c r="H623" s="2" cm="1">
        <f t="array" ref="H623">INT(VLOOKUP(OrderLines[[#This Row],[OrderID]:[OrderID]],Orders[],MATCH(OrderLines[[#Headers],[OrderDateTime]],Orders[#Headers],0),FALSE))</f>
        <v>45883</v>
      </c>
      <c r="I623" t="str" cm="1">
        <f t="array" ref="I623">VLOOKUP(OrderLines[[#This Row],[OrderID]:[OrderID]],Orders[],MATCH(OrderLines[[#Headers],[Branch]],Orders[#Headers],0),FALSE)</f>
        <v>Plant 2 Canteen</v>
      </c>
      <c r="J623" cm="1">
        <f t="array" ref="J623">VLOOKUP(OrderLines[[#This Row],[OrderID]:[OrderID]],Orders[],MATCH(OrderLines[[#Headers],[DiscountPct]],Orders[#Headers],0),FALSE)</f>
        <v>0</v>
      </c>
      <c r="K623" t="str" cm="1">
        <f t="array" ref="K623">VLOOKUP(OrderLines[[#This Row],[OrderID]:[OrderID]],Orders[],MATCH(OrderLines[[#Headers],[PaymentType]],Orders[#Headers],0),FALSE)</f>
        <v>UPI</v>
      </c>
      <c r="L623" t="str" cm="1">
        <f t="array" ref="L623">VLOOKUP(OrderLines[[#This Row],[OrderID]:[OrderID]],Orders[],MATCH(OrderLines[[#Headers],[Shift]],Orders[#Headers],0),FALSE)</f>
        <v>Breakfast</v>
      </c>
      <c r="M623" s="8">
        <f>(OrderLines[[#This Row],[Qty]]*OrderLines[[#This Row],[UnitPrice]])*(1-OrderLines[[#This Row],[DiscountPct]])</f>
        <v>119.85000000000001</v>
      </c>
      <c r="N623" t="str">
        <f>IF(AND(COUNTIFS(OrderLines[OrderID],OrderLines[[#This Row],[OrderID]],OrderLines[Category],"Hot Meal"),COUNTIFS(OrderLines[OrderID],OrderLines[[#This Row],[OrderID]],OrderLines[Category],"Beverage")),"Combo","Single")</f>
        <v>Combo</v>
      </c>
      <c r="O623" s="8" t="str" cm="1">
        <f t="array" ref="O623">IF(SUMPRODUCT(OrderLines[UnitPrice],OrderLines[Qty],OrderLines[DiscountPct],--(OrderLines[OrderID] = OrderLines[[#This Row],[OrderID]]))&gt;40,"High Discount","Ok")</f>
        <v>Ok</v>
      </c>
      <c r="P623">
        <f>OrderLines[[#This Row],[UnitCost]]*OrderLines[[#This Row],[Qty]]</f>
        <v>46.53</v>
      </c>
      <c r="Q623" s="8">
        <f>OrderLines[[#This Row],[LineNetAmount]]-OrderLines[[#This Row],[Food Cost]]</f>
        <v>73.320000000000007</v>
      </c>
    </row>
    <row r="624" spans="1:17" x14ac:dyDescent="0.3">
      <c r="A624" t="s">
        <v>281</v>
      </c>
      <c r="B624" t="s">
        <v>401</v>
      </c>
      <c r="C624">
        <v>1</v>
      </c>
      <c r="D624" cm="1">
        <f t="array" ref="D624">VLOOKUP(OrderLines[[#This Row],[SKU]:[SKU]],Menu[],MATCH(OrderLines[[#Headers],[UnitPrice]],Menu[#Headers],0),FALSE)</f>
        <v>52.45</v>
      </c>
      <c r="E624" cm="1">
        <f t="array" ref="E624">VLOOKUP(OrderLines[[#This Row],[SKU]:[SKU]],Menu[],MATCH(OrderLines[[#Headers],[UnitCost]],Menu[#Headers],0),FALSE)</f>
        <v>25.8</v>
      </c>
      <c r="F624" t="str" cm="1">
        <f t="array" ref="F624">VLOOKUP(OrderLines[[#This Row],[SKU]:[SKU]],Menu[],MATCH(OrderLines[[#Headers],[Category]],Menu[#Headers],0),FALSE)</f>
        <v>Snack</v>
      </c>
      <c r="G624" t="str" cm="1">
        <f t="array" ref="G624">_xlfn.TEXTJOIN("+",TRUE,_xlfn._xlws.SORT(_xlfn.UNIQUE(_xlfn._xlws.FILTER(OrderLines[Category],OrderLines[OrderID]=OrderLines[[#This Row],[OrderID]]))))</f>
        <v>Beverage+Hot Meal+Snack</v>
      </c>
      <c r="H624" s="2" cm="1">
        <f t="array" ref="H624">INT(VLOOKUP(OrderLines[[#This Row],[OrderID]:[OrderID]],Orders[],MATCH(OrderLines[[#Headers],[OrderDateTime]],Orders[#Headers],0),FALSE))</f>
        <v>45883</v>
      </c>
      <c r="I624" t="str" cm="1">
        <f t="array" ref="I624">VLOOKUP(OrderLines[[#This Row],[OrderID]:[OrderID]],Orders[],MATCH(OrderLines[[#Headers],[Branch]],Orders[#Headers],0),FALSE)</f>
        <v>Plant 2 Canteen</v>
      </c>
      <c r="J624" cm="1">
        <f t="array" ref="J624">VLOOKUP(OrderLines[[#This Row],[OrderID]:[OrderID]],Orders[],MATCH(OrderLines[[#Headers],[DiscountPct]],Orders[#Headers],0),FALSE)</f>
        <v>0</v>
      </c>
      <c r="K624" t="str" cm="1">
        <f t="array" ref="K624">VLOOKUP(OrderLines[[#This Row],[OrderID]:[OrderID]],Orders[],MATCH(OrderLines[[#Headers],[PaymentType]],Orders[#Headers],0),FALSE)</f>
        <v>UPI</v>
      </c>
      <c r="L624" t="str" cm="1">
        <f t="array" ref="L624">VLOOKUP(OrderLines[[#This Row],[OrderID]:[OrderID]],Orders[],MATCH(OrderLines[[#Headers],[Shift]],Orders[#Headers],0),FALSE)</f>
        <v>Breakfast</v>
      </c>
      <c r="M624" s="8">
        <f>(OrderLines[[#This Row],[Qty]]*OrderLines[[#This Row],[UnitPrice]])*(1-OrderLines[[#This Row],[DiscountPct]])</f>
        <v>52.45</v>
      </c>
      <c r="N624" t="str">
        <f>IF(AND(COUNTIFS(OrderLines[OrderID],OrderLines[[#This Row],[OrderID]],OrderLines[Category],"Hot Meal"),COUNTIFS(OrderLines[OrderID],OrderLines[[#This Row],[OrderID]],OrderLines[Category],"Beverage")),"Combo","Single")</f>
        <v>Combo</v>
      </c>
      <c r="O624" s="8" t="str" cm="1">
        <f t="array" ref="O624">IF(SUMPRODUCT(OrderLines[UnitPrice],OrderLines[Qty],OrderLines[DiscountPct],--(OrderLines[OrderID] = OrderLines[[#This Row],[OrderID]]))&gt;40,"High Discount","Ok")</f>
        <v>Ok</v>
      </c>
      <c r="P624">
        <f>OrderLines[[#This Row],[UnitCost]]*OrderLines[[#This Row],[Qty]]</f>
        <v>25.8</v>
      </c>
      <c r="Q624" s="8">
        <f>OrderLines[[#This Row],[LineNetAmount]]-OrderLines[[#This Row],[Food Cost]]</f>
        <v>26.650000000000002</v>
      </c>
    </row>
    <row r="625" spans="1:17" x14ac:dyDescent="0.3">
      <c r="A625" t="s">
        <v>281</v>
      </c>
      <c r="B625" t="s">
        <v>416</v>
      </c>
      <c r="C625">
        <v>1</v>
      </c>
      <c r="D625" cm="1">
        <f t="array" ref="D625">VLOOKUP(OrderLines[[#This Row],[SKU]:[SKU]],Menu[],MATCH(OrderLines[[#Headers],[UnitPrice]],Menu[#Headers],0),FALSE)</f>
        <v>227.61</v>
      </c>
      <c r="E625" cm="1">
        <f t="array" ref="E625">VLOOKUP(OrderLines[[#This Row],[SKU]:[SKU]],Menu[],MATCH(OrderLines[[#Headers],[UnitCost]],Menu[#Headers],0),FALSE)</f>
        <v>96.22</v>
      </c>
      <c r="F625" t="str" cm="1">
        <f t="array" ref="F625">VLOOKUP(OrderLines[[#This Row],[SKU]:[SKU]],Menu[],MATCH(OrderLines[[#Headers],[Category]],Menu[#Headers],0),FALSE)</f>
        <v>Hot Meal</v>
      </c>
      <c r="G625" t="str" cm="1">
        <f t="array" ref="G625">_xlfn.TEXTJOIN("+",TRUE,_xlfn._xlws.SORT(_xlfn.UNIQUE(_xlfn._xlws.FILTER(OrderLines[Category],OrderLines[OrderID]=OrderLines[[#This Row],[OrderID]]))))</f>
        <v>Beverage+Hot Meal+Snack</v>
      </c>
      <c r="H625" s="2" cm="1">
        <f t="array" ref="H625">INT(VLOOKUP(OrderLines[[#This Row],[OrderID]:[OrderID]],Orders[],MATCH(OrderLines[[#Headers],[OrderDateTime]],Orders[#Headers],0),FALSE))</f>
        <v>45883</v>
      </c>
      <c r="I625" t="str" cm="1">
        <f t="array" ref="I625">VLOOKUP(OrderLines[[#This Row],[OrderID]:[OrderID]],Orders[],MATCH(OrderLines[[#Headers],[Branch]],Orders[#Headers],0),FALSE)</f>
        <v>Plant 2 Canteen</v>
      </c>
      <c r="J625" cm="1">
        <f t="array" ref="J625">VLOOKUP(OrderLines[[#This Row],[OrderID]:[OrderID]],Orders[],MATCH(OrderLines[[#Headers],[DiscountPct]],Orders[#Headers],0),FALSE)</f>
        <v>0</v>
      </c>
      <c r="K625" t="str" cm="1">
        <f t="array" ref="K625">VLOOKUP(OrderLines[[#This Row],[OrderID]:[OrderID]],Orders[],MATCH(OrderLines[[#Headers],[PaymentType]],Orders[#Headers],0),FALSE)</f>
        <v>UPI</v>
      </c>
      <c r="L625" t="str" cm="1">
        <f t="array" ref="L625">VLOOKUP(OrderLines[[#This Row],[OrderID]:[OrderID]],Orders[],MATCH(OrderLines[[#Headers],[Shift]],Orders[#Headers],0),FALSE)</f>
        <v>Breakfast</v>
      </c>
      <c r="M625" s="8">
        <f>(OrderLines[[#This Row],[Qty]]*OrderLines[[#This Row],[UnitPrice]])*(1-OrderLines[[#This Row],[DiscountPct]])</f>
        <v>227.61</v>
      </c>
      <c r="N625" t="str">
        <f>IF(AND(COUNTIFS(OrderLines[OrderID],OrderLines[[#This Row],[OrderID]],OrderLines[Category],"Hot Meal"),COUNTIFS(OrderLines[OrderID],OrderLines[[#This Row],[OrderID]],OrderLines[Category],"Beverage")),"Combo","Single")</f>
        <v>Combo</v>
      </c>
      <c r="O625" s="8" t="str" cm="1">
        <f t="array" ref="O625">IF(SUMPRODUCT(OrderLines[UnitPrice],OrderLines[Qty],OrderLines[DiscountPct],--(OrderLines[OrderID] = OrderLines[[#This Row],[OrderID]]))&gt;40,"High Discount","Ok")</f>
        <v>Ok</v>
      </c>
      <c r="P625">
        <f>OrderLines[[#This Row],[UnitCost]]*OrderLines[[#This Row],[Qty]]</f>
        <v>96.22</v>
      </c>
      <c r="Q625" s="8">
        <f>OrderLines[[#This Row],[LineNetAmount]]-OrderLines[[#This Row],[Food Cost]]</f>
        <v>131.39000000000001</v>
      </c>
    </row>
    <row r="626" spans="1:17" x14ac:dyDescent="0.3">
      <c r="A626" t="s">
        <v>282</v>
      </c>
      <c r="B626" t="s">
        <v>416</v>
      </c>
      <c r="C626">
        <v>1</v>
      </c>
      <c r="D626" cm="1">
        <f t="array" ref="D626">VLOOKUP(OrderLines[[#This Row],[SKU]:[SKU]],Menu[],MATCH(OrderLines[[#Headers],[UnitPrice]],Menu[#Headers],0),FALSE)</f>
        <v>227.61</v>
      </c>
      <c r="E626" cm="1">
        <f t="array" ref="E626">VLOOKUP(OrderLines[[#This Row],[SKU]:[SKU]],Menu[],MATCH(OrderLines[[#Headers],[UnitCost]],Menu[#Headers],0),FALSE)</f>
        <v>96.22</v>
      </c>
      <c r="F626" t="str" cm="1">
        <f t="array" ref="F626">VLOOKUP(OrderLines[[#This Row],[SKU]:[SKU]],Menu[],MATCH(OrderLines[[#Headers],[Category]],Menu[#Headers],0),FALSE)</f>
        <v>Hot Meal</v>
      </c>
      <c r="G626" t="str" cm="1">
        <f t="array" ref="G626">_xlfn.TEXTJOIN("+",TRUE,_xlfn._xlws.SORT(_xlfn.UNIQUE(_xlfn._xlws.FILTER(OrderLines[Category],OrderLines[OrderID]=OrderLines[[#This Row],[OrderID]]))))</f>
        <v>Hot Meal+Snack</v>
      </c>
      <c r="H626" s="2" cm="1">
        <f t="array" ref="H626">INT(VLOOKUP(OrderLines[[#This Row],[OrderID]:[OrderID]],Orders[],MATCH(OrderLines[[#Headers],[OrderDateTime]],Orders[#Headers],0),FALSE))</f>
        <v>45869</v>
      </c>
      <c r="I626" t="str" cm="1">
        <f t="array" ref="I626">VLOOKUP(OrderLines[[#This Row],[OrderID]:[OrderID]],Orders[],MATCH(OrderLines[[#Headers],[Branch]],Orders[#Headers],0),FALSE)</f>
        <v>Plant 2 Canteen</v>
      </c>
      <c r="J626" cm="1">
        <f t="array" ref="J626">VLOOKUP(OrderLines[[#This Row],[OrderID]:[OrderID]],Orders[],MATCH(OrderLines[[#Headers],[DiscountPct]],Orders[#Headers],0),FALSE)</f>
        <v>0.05</v>
      </c>
      <c r="K626" t="str" cm="1">
        <f t="array" ref="K626">VLOOKUP(OrderLines[[#This Row],[OrderID]:[OrderID]],Orders[],MATCH(OrderLines[[#Headers],[PaymentType]],Orders[#Headers],0),FALSE)</f>
        <v>UPI</v>
      </c>
      <c r="L626" t="str" cm="1">
        <f t="array" ref="L626">VLOOKUP(OrderLines[[#This Row],[OrderID]:[OrderID]],Orders[],MATCH(OrderLines[[#Headers],[Shift]],Orders[#Headers],0),FALSE)</f>
        <v>Lunch</v>
      </c>
      <c r="M626" s="8">
        <f>(OrderLines[[#This Row],[Qty]]*OrderLines[[#This Row],[UnitPrice]])*(1-OrderLines[[#This Row],[DiscountPct]])</f>
        <v>216.2295</v>
      </c>
      <c r="N626" t="str">
        <f>IF(AND(COUNTIFS(OrderLines[OrderID],OrderLines[[#This Row],[OrderID]],OrderLines[Category],"Hot Meal"),COUNTIFS(OrderLines[OrderID],OrderLines[[#This Row],[OrderID]],OrderLines[Category],"Beverage")),"Combo","Single")</f>
        <v>Single</v>
      </c>
      <c r="O626" s="8" t="str" cm="1">
        <f t="array" ref="O626">IF(SUMPRODUCT(OrderLines[UnitPrice],OrderLines[Qty],OrderLines[DiscountPct],--(OrderLines[OrderID] = OrderLines[[#This Row],[OrderID]]))&gt;40,"High Discount","Ok")</f>
        <v>Ok</v>
      </c>
      <c r="P626">
        <f>OrderLines[[#This Row],[UnitCost]]*OrderLines[[#This Row],[Qty]]</f>
        <v>96.22</v>
      </c>
      <c r="Q626" s="8">
        <f>OrderLines[[#This Row],[LineNetAmount]]-OrderLines[[#This Row],[Food Cost]]</f>
        <v>120.0095</v>
      </c>
    </row>
    <row r="627" spans="1:17" x14ac:dyDescent="0.3">
      <c r="A627" t="s">
        <v>282</v>
      </c>
      <c r="B627" t="s">
        <v>419</v>
      </c>
      <c r="C627">
        <v>1</v>
      </c>
      <c r="D627" cm="1">
        <f t="array" ref="D627">VLOOKUP(OrderLines[[#This Row],[SKU]:[SKU]],Menu[],MATCH(OrderLines[[#Headers],[UnitPrice]],Menu[#Headers],0),FALSE)</f>
        <v>50.19</v>
      </c>
      <c r="E627" cm="1">
        <f t="array" ref="E627">VLOOKUP(OrderLines[[#This Row],[SKU]:[SKU]],Menu[],MATCH(OrderLines[[#Headers],[UnitCost]],Menu[#Headers],0),FALSE)</f>
        <v>22.61</v>
      </c>
      <c r="F627" t="str" cm="1">
        <f t="array" ref="F627">VLOOKUP(OrderLines[[#This Row],[SKU]:[SKU]],Menu[],MATCH(OrderLines[[#Headers],[Category]],Menu[#Headers],0),FALSE)</f>
        <v>Snack</v>
      </c>
      <c r="G627" t="str" cm="1">
        <f t="array" ref="G627">_xlfn.TEXTJOIN("+",TRUE,_xlfn._xlws.SORT(_xlfn.UNIQUE(_xlfn._xlws.FILTER(OrderLines[Category],OrderLines[OrderID]=OrderLines[[#This Row],[OrderID]]))))</f>
        <v>Hot Meal+Snack</v>
      </c>
      <c r="H627" s="2" cm="1">
        <f t="array" ref="H627">INT(VLOOKUP(OrderLines[[#This Row],[OrderID]:[OrderID]],Orders[],MATCH(OrderLines[[#Headers],[OrderDateTime]],Orders[#Headers],0),FALSE))</f>
        <v>45869</v>
      </c>
      <c r="I627" t="str" cm="1">
        <f t="array" ref="I627">VLOOKUP(OrderLines[[#This Row],[OrderID]:[OrderID]],Orders[],MATCH(OrderLines[[#Headers],[Branch]],Orders[#Headers],0),FALSE)</f>
        <v>Plant 2 Canteen</v>
      </c>
      <c r="J627" cm="1">
        <f t="array" ref="J627">VLOOKUP(OrderLines[[#This Row],[OrderID]:[OrderID]],Orders[],MATCH(OrderLines[[#Headers],[DiscountPct]],Orders[#Headers],0),FALSE)</f>
        <v>0.05</v>
      </c>
      <c r="K627" t="str" cm="1">
        <f t="array" ref="K627">VLOOKUP(OrderLines[[#This Row],[OrderID]:[OrderID]],Orders[],MATCH(OrderLines[[#Headers],[PaymentType]],Orders[#Headers],0),FALSE)</f>
        <v>UPI</v>
      </c>
      <c r="L627" t="str" cm="1">
        <f t="array" ref="L627">VLOOKUP(OrderLines[[#This Row],[OrderID]:[OrderID]],Orders[],MATCH(OrderLines[[#Headers],[Shift]],Orders[#Headers],0),FALSE)</f>
        <v>Lunch</v>
      </c>
      <c r="M627" s="8">
        <f>(OrderLines[[#This Row],[Qty]]*OrderLines[[#This Row],[UnitPrice]])*(1-OrderLines[[#This Row],[DiscountPct]])</f>
        <v>47.680499999999995</v>
      </c>
      <c r="N627" t="str">
        <f>IF(AND(COUNTIFS(OrderLines[OrderID],OrderLines[[#This Row],[OrderID]],OrderLines[Category],"Hot Meal"),COUNTIFS(OrderLines[OrderID],OrderLines[[#This Row],[OrderID]],OrderLines[Category],"Beverage")),"Combo","Single")</f>
        <v>Single</v>
      </c>
      <c r="O627" s="8" t="str" cm="1">
        <f t="array" ref="O627">IF(SUMPRODUCT(OrderLines[UnitPrice],OrderLines[Qty],OrderLines[DiscountPct],--(OrderLines[OrderID] = OrderLines[[#This Row],[OrderID]]))&gt;40,"High Discount","Ok")</f>
        <v>Ok</v>
      </c>
      <c r="P627">
        <f>OrderLines[[#This Row],[UnitCost]]*OrderLines[[#This Row],[Qty]]</f>
        <v>22.61</v>
      </c>
      <c r="Q627" s="8">
        <f>OrderLines[[#This Row],[LineNetAmount]]-OrderLines[[#This Row],[Food Cost]]</f>
        <v>25.070499999999996</v>
      </c>
    </row>
    <row r="628" spans="1:17" x14ac:dyDescent="0.3">
      <c r="A628" t="s">
        <v>282</v>
      </c>
      <c r="B628" t="s">
        <v>417</v>
      </c>
      <c r="C628">
        <v>2</v>
      </c>
      <c r="D628" cm="1">
        <f t="array" ref="D628">VLOOKUP(OrderLines[[#This Row],[SKU]:[SKU]],Menu[],MATCH(OrderLines[[#Headers],[UnitPrice]],Menu[#Headers],0),FALSE)</f>
        <v>146.4</v>
      </c>
      <c r="E628" cm="1">
        <f t="array" ref="E628">VLOOKUP(OrderLines[[#This Row],[SKU]:[SKU]],Menu[],MATCH(OrderLines[[#Headers],[UnitCost]],Menu[#Headers],0),FALSE)</f>
        <v>80.92</v>
      </c>
      <c r="F628" t="str" cm="1">
        <f t="array" ref="F628">VLOOKUP(OrderLines[[#This Row],[SKU]:[SKU]],Menu[],MATCH(OrderLines[[#Headers],[Category]],Menu[#Headers],0),FALSE)</f>
        <v>Hot Meal</v>
      </c>
      <c r="G628" t="str" cm="1">
        <f t="array" ref="G628">_xlfn.TEXTJOIN("+",TRUE,_xlfn._xlws.SORT(_xlfn.UNIQUE(_xlfn._xlws.FILTER(OrderLines[Category],OrderLines[OrderID]=OrderLines[[#This Row],[OrderID]]))))</f>
        <v>Hot Meal+Snack</v>
      </c>
      <c r="H628" s="2" cm="1">
        <f t="array" ref="H628">INT(VLOOKUP(OrderLines[[#This Row],[OrderID]:[OrderID]],Orders[],MATCH(OrderLines[[#Headers],[OrderDateTime]],Orders[#Headers],0),FALSE))</f>
        <v>45869</v>
      </c>
      <c r="I628" t="str" cm="1">
        <f t="array" ref="I628">VLOOKUP(OrderLines[[#This Row],[OrderID]:[OrderID]],Orders[],MATCH(OrderLines[[#Headers],[Branch]],Orders[#Headers],0),FALSE)</f>
        <v>Plant 2 Canteen</v>
      </c>
      <c r="J628" cm="1">
        <f t="array" ref="J628">VLOOKUP(OrderLines[[#This Row],[OrderID]:[OrderID]],Orders[],MATCH(OrderLines[[#Headers],[DiscountPct]],Orders[#Headers],0),FALSE)</f>
        <v>0.05</v>
      </c>
      <c r="K628" t="str" cm="1">
        <f t="array" ref="K628">VLOOKUP(OrderLines[[#This Row],[OrderID]:[OrderID]],Orders[],MATCH(OrderLines[[#Headers],[PaymentType]],Orders[#Headers],0),FALSE)</f>
        <v>UPI</v>
      </c>
      <c r="L628" t="str" cm="1">
        <f t="array" ref="L628">VLOOKUP(OrderLines[[#This Row],[OrderID]:[OrderID]],Orders[],MATCH(OrderLines[[#Headers],[Shift]],Orders[#Headers],0),FALSE)</f>
        <v>Lunch</v>
      </c>
      <c r="M628" s="8">
        <f>(OrderLines[[#This Row],[Qty]]*OrderLines[[#This Row],[UnitPrice]])*(1-OrderLines[[#This Row],[DiscountPct]])</f>
        <v>278.16000000000003</v>
      </c>
      <c r="N628" t="str">
        <f>IF(AND(COUNTIFS(OrderLines[OrderID],OrderLines[[#This Row],[OrderID]],OrderLines[Category],"Hot Meal"),COUNTIFS(OrderLines[OrderID],OrderLines[[#This Row],[OrderID]],OrderLines[Category],"Beverage")),"Combo","Single")</f>
        <v>Single</v>
      </c>
      <c r="O628" s="8" t="str" cm="1">
        <f t="array" ref="O628">IF(SUMPRODUCT(OrderLines[UnitPrice],OrderLines[Qty],OrderLines[DiscountPct],--(OrderLines[OrderID] = OrderLines[[#This Row],[OrderID]]))&gt;40,"High Discount","Ok")</f>
        <v>Ok</v>
      </c>
      <c r="P628">
        <f>OrderLines[[#This Row],[UnitCost]]*OrderLines[[#This Row],[Qty]]</f>
        <v>161.84</v>
      </c>
      <c r="Q628" s="8">
        <f>OrderLines[[#This Row],[LineNetAmount]]-OrderLines[[#This Row],[Food Cost]]</f>
        <v>116.32000000000002</v>
      </c>
    </row>
    <row r="629" spans="1:17" x14ac:dyDescent="0.3">
      <c r="A629" t="s">
        <v>282</v>
      </c>
      <c r="B629" t="s">
        <v>401</v>
      </c>
      <c r="C629">
        <v>1</v>
      </c>
      <c r="D629" cm="1">
        <f t="array" ref="D629">VLOOKUP(OrderLines[[#This Row],[SKU]:[SKU]],Menu[],MATCH(OrderLines[[#Headers],[UnitPrice]],Menu[#Headers],0),FALSE)</f>
        <v>52.45</v>
      </c>
      <c r="E629" cm="1">
        <f t="array" ref="E629">VLOOKUP(OrderLines[[#This Row],[SKU]:[SKU]],Menu[],MATCH(OrderLines[[#Headers],[UnitCost]],Menu[#Headers],0),FALSE)</f>
        <v>25.8</v>
      </c>
      <c r="F629" t="str" cm="1">
        <f t="array" ref="F629">VLOOKUP(OrderLines[[#This Row],[SKU]:[SKU]],Menu[],MATCH(OrderLines[[#Headers],[Category]],Menu[#Headers],0),FALSE)</f>
        <v>Snack</v>
      </c>
      <c r="G629" t="str" cm="1">
        <f t="array" ref="G629">_xlfn.TEXTJOIN("+",TRUE,_xlfn._xlws.SORT(_xlfn.UNIQUE(_xlfn._xlws.FILTER(OrderLines[Category],OrderLines[OrderID]=OrderLines[[#This Row],[OrderID]]))))</f>
        <v>Hot Meal+Snack</v>
      </c>
      <c r="H629" s="2" cm="1">
        <f t="array" ref="H629">INT(VLOOKUP(OrderLines[[#This Row],[OrderID]:[OrderID]],Orders[],MATCH(OrderLines[[#Headers],[OrderDateTime]],Orders[#Headers],0),FALSE))</f>
        <v>45869</v>
      </c>
      <c r="I629" t="str" cm="1">
        <f t="array" ref="I629">VLOOKUP(OrderLines[[#This Row],[OrderID]:[OrderID]],Orders[],MATCH(OrderLines[[#Headers],[Branch]],Orders[#Headers],0),FALSE)</f>
        <v>Plant 2 Canteen</v>
      </c>
      <c r="J629" cm="1">
        <f t="array" ref="J629">VLOOKUP(OrderLines[[#This Row],[OrderID]:[OrderID]],Orders[],MATCH(OrderLines[[#Headers],[DiscountPct]],Orders[#Headers],0),FALSE)</f>
        <v>0.05</v>
      </c>
      <c r="K629" t="str" cm="1">
        <f t="array" ref="K629">VLOOKUP(OrderLines[[#This Row],[OrderID]:[OrderID]],Orders[],MATCH(OrderLines[[#Headers],[PaymentType]],Orders[#Headers],0),FALSE)</f>
        <v>UPI</v>
      </c>
      <c r="L629" t="str" cm="1">
        <f t="array" ref="L629">VLOOKUP(OrderLines[[#This Row],[OrderID]:[OrderID]],Orders[],MATCH(OrderLines[[#Headers],[Shift]],Orders[#Headers],0),FALSE)</f>
        <v>Lunch</v>
      </c>
      <c r="M629" s="8">
        <f>(OrderLines[[#This Row],[Qty]]*OrderLines[[#This Row],[UnitPrice]])*(1-OrderLines[[#This Row],[DiscountPct]])</f>
        <v>49.827500000000001</v>
      </c>
      <c r="N629" t="str">
        <f>IF(AND(COUNTIFS(OrderLines[OrderID],OrderLines[[#This Row],[OrderID]],OrderLines[Category],"Hot Meal"),COUNTIFS(OrderLines[OrderID],OrderLines[[#This Row],[OrderID]],OrderLines[Category],"Beverage")),"Combo","Single")</f>
        <v>Single</v>
      </c>
      <c r="O629" s="8" t="str" cm="1">
        <f t="array" ref="O629">IF(SUMPRODUCT(OrderLines[UnitPrice],OrderLines[Qty],OrderLines[DiscountPct],--(OrderLines[OrderID] = OrderLines[[#This Row],[OrderID]]))&gt;40,"High Discount","Ok")</f>
        <v>Ok</v>
      </c>
      <c r="P629">
        <f>OrderLines[[#This Row],[UnitCost]]*OrderLines[[#This Row],[Qty]]</f>
        <v>25.8</v>
      </c>
      <c r="Q629" s="8">
        <f>OrderLines[[#This Row],[LineNetAmount]]-OrderLines[[#This Row],[Food Cost]]</f>
        <v>24.0275</v>
      </c>
    </row>
    <row r="630" spans="1:17" x14ac:dyDescent="0.3">
      <c r="A630" t="s">
        <v>283</v>
      </c>
      <c r="B630" t="s">
        <v>408</v>
      </c>
      <c r="C630">
        <v>3</v>
      </c>
      <c r="D630" cm="1">
        <f t="array" ref="D630">VLOOKUP(OrderLines[[#This Row],[SKU]:[SKU]],Menu[],MATCH(OrderLines[[#Headers],[UnitPrice]],Menu[#Headers],0),FALSE)</f>
        <v>70.540000000000006</v>
      </c>
      <c r="E630" cm="1">
        <f t="array" ref="E630">VLOOKUP(OrderLines[[#This Row],[SKU]:[SKU]],Menu[],MATCH(OrderLines[[#Headers],[UnitCost]],Menu[#Headers],0),FALSE)</f>
        <v>35.81</v>
      </c>
      <c r="F630" t="str" cm="1">
        <f t="array" ref="F630">VLOOKUP(OrderLines[[#This Row],[SKU]:[SKU]],Menu[],MATCH(OrderLines[[#Headers],[Category]],Menu[#Headers],0),FALSE)</f>
        <v>Snack</v>
      </c>
      <c r="G630" t="str" cm="1">
        <f t="array" ref="G630">_xlfn.TEXTJOIN("+",TRUE,_xlfn._xlws.SORT(_xlfn.UNIQUE(_xlfn._xlws.FILTER(OrderLines[Category],OrderLines[OrderID]=OrderLines[[#This Row],[OrderID]]))))</f>
        <v>Snack</v>
      </c>
      <c r="H630" s="2" cm="1">
        <f t="array" ref="H630">INT(VLOOKUP(OrderLines[[#This Row],[OrderID]:[OrderID]],Orders[],MATCH(OrderLines[[#Headers],[OrderDateTime]],Orders[#Headers],0),FALSE))</f>
        <v>45875</v>
      </c>
      <c r="I630" t="str" cm="1">
        <f t="array" ref="I630">VLOOKUP(OrderLines[[#This Row],[OrderID]:[OrderID]],Orders[],MATCH(OrderLines[[#Headers],[Branch]],Orders[#Headers],0),FALSE)</f>
        <v>Plant 1 Canteen</v>
      </c>
      <c r="J630" cm="1">
        <f t="array" ref="J630">VLOOKUP(OrderLines[[#This Row],[OrderID]:[OrderID]],Orders[],MATCH(OrderLines[[#Headers],[DiscountPct]],Orders[#Headers],0),FALSE)</f>
        <v>0.08</v>
      </c>
      <c r="K630" t="str" cm="1">
        <f t="array" ref="K630">VLOOKUP(OrderLines[[#This Row],[OrderID]:[OrderID]],Orders[],MATCH(OrderLines[[#Headers],[PaymentType]],Orders[#Headers],0),FALSE)</f>
        <v>Card</v>
      </c>
      <c r="L630" t="str" cm="1">
        <f t="array" ref="L630">VLOOKUP(OrderLines[[#This Row],[OrderID]:[OrderID]],Orders[],MATCH(OrderLines[[#Headers],[Shift]],Orders[#Headers],0),FALSE)</f>
        <v>Lunch</v>
      </c>
      <c r="M630" s="8">
        <f>(OrderLines[[#This Row],[Qty]]*OrderLines[[#This Row],[UnitPrice]])*(1-OrderLines[[#This Row],[DiscountPct]])</f>
        <v>194.69040000000001</v>
      </c>
      <c r="N630" t="str">
        <f>IF(AND(COUNTIFS(OrderLines[OrderID],OrderLines[[#This Row],[OrderID]],OrderLines[Category],"Hot Meal"),COUNTIFS(OrderLines[OrderID],OrderLines[[#This Row],[OrderID]],OrderLines[Category],"Beverage")),"Combo","Single")</f>
        <v>Single</v>
      </c>
      <c r="O630" s="8" t="str" cm="1">
        <f t="array" ref="O630">IF(SUMPRODUCT(OrderLines[UnitPrice],OrderLines[Qty],OrderLines[DiscountPct],--(OrderLines[OrderID] = OrderLines[[#This Row],[OrderID]]))&gt;40,"High Discount","Ok")</f>
        <v>Ok</v>
      </c>
      <c r="P630">
        <f>OrderLines[[#This Row],[UnitCost]]*OrderLines[[#This Row],[Qty]]</f>
        <v>107.43</v>
      </c>
      <c r="Q630" s="8">
        <f>OrderLines[[#This Row],[LineNetAmount]]-OrderLines[[#This Row],[Food Cost]]</f>
        <v>87.260400000000004</v>
      </c>
    </row>
    <row r="631" spans="1:17" x14ac:dyDescent="0.3">
      <c r="A631" t="s">
        <v>284</v>
      </c>
      <c r="B631" t="s">
        <v>405</v>
      </c>
      <c r="C631">
        <v>2</v>
      </c>
      <c r="D631" cm="1">
        <f t="array" ref="D631">VLOOKUP(OrderLines[[#This Row],[SKU]:[SKU]],Menu[],MATCH(OrderLines[[#Headers],[UnitPrice]],Menu[#Headers],0),FALSE)</f>
        <v>170.83</v>
      </c>
      <c r="E631" cm="1">
        <f t="array" ref="E631">VLOOKUP(OrderLines[[#This Row],[SKU]:[SKU]],Menu[],MATCH(OrderLines[[#Headers],[UnitCost]],Menu[#Headers],0),FALSE)</f>
        <v>74.069999999999993</v>
      </c>
      <c r="F631" t="str" cm="1">
        <f t="array" ref="F631">VLOOKUP(OrderLines[[#This Row],[SKU]:[SKU]],Menu[],MATCH(OrderLines[[#Headers],[Category]],Menu[#Headers],0),FALSE)</f>
        <v>Hot Meal</v>
      </c>
      <c r="G631" t="str" cm="1">
        <f t="array" ref="G631">_xlfn.TEXTJOIN("+",TRUE,_xlfn._xlws.SORT(_xlfn.UNIQUE(_xlfn._xlws.FILTER(OrderLines[Category],OrderLines[OrderID]=OrderLines[[#This Row],[OrderID]]))))</f>
        <v>Hot Meal</v>
      </c>
      <c r="H631" s="2" cm="1">
        <f t="array" ref="H631">INT(VLOOKUP(OrderLines[[#This Row],[OrderID]:[OrderID]],Orders[],MATCH(OrderLines[[#Headers],[OrderDateTime]],Orders[#Headers],0),FALSE))</f>
        <v>45848</v>
      </c>
      <c r="I631" t="str" cm="1">
        <f t="array" ref="I631">VLOOKUP(OrderLines[[#This Row],[OrderID]:[OrderID]],Orders[],MATCH(OrderLines[[#Headers],[Branch]],Orders[#Headers],0),FALSE)</f>
        <v>Plant 1 Canteen</v>
      </c>
      <c r="J631" cm="1">
        <f t="array" ref="J631">VLOOKUP(OrderLines[[#This Row],[OrderID]:[OrderID]],Orders[],MATCH(OrderLines[[#Headers],[DiscountPct]],Orders[#Headers],0),FALSE)</f>
        <v>7.0000000000000007E-2</v>
      </c>
      <c r="K631" t="str" cm="1">
        <f t="array" ref="K631">VLOOKUP(OrderLines[[#This Row],[OrderID]:[OrderID]],Orders[],MATCH(OrderLines[[#Headers],[PaymentType]],Orders[#Headers],0),FALSE)</f>
        <v>Card</v>
      </c>
      <c r="L631" t="str" cm="1">
        <f t="array" ref="L631">VLOOKUP(OrderLines[[#This Row],[OrderID]:[OrderID]],Orders[],MATCH(OrderLines[[#Headers],[Shift]],Orders[#Headers],0),FALSE)</f>
        <v>Breakfast</v>
      </c>
      <c r="M631" s="8">
        <f>(OrderLines[[#This Row],[Qty]]*OrderLines[[#This Row],[UnitPrice]])*(1-OrderLines[[#This Row],[DiscountPct]])</f>
        <v>317.74380000000002</v>
      </c>
      <c r="N631" t="str">
        <f>IF(AND(COUNTIFS(OrderLines[OrderID],OrderLines[[#This Row],[OrderID]],OrderLines[Category],"Hot Meal"),COUNTIFS(OrderLines[OrderID],OrderLines[[#This Row],[OrderID]],OrderLines[Category],"Beverage")),"Combo","Single")</f>
        <v>Single</v>
      </c>
      <c r="O631" s="8" t="str" cm="1">
        <f t="array" ref="O631">IF(SUMPRODUCT(OrderLines[UnitPrice],OrderLines[Qty],OrderLines[DiscountPct],--(OrderLines[OrderID] = OrderLines[[#This Row],[OrderID]]))&gt;40,"High Discount","Ok")</f>
        <v>High Discount</v>
      </c>
      <c r="P631">
        <f>OrderLines[[#This Row],[UnitCost]]*OrderLines[[#This Row],[Qty]]</f>
        <v>148.13999999999999</v>
      </c>
      <c r="Q631" s="8">
        <f>OrderLines[[#This Row],[LineNetAmount]]-OrderLines[[#This Row],[Food Cost]]</f>
        <v>169.60380000000004</v>
      </c>
    </row>
    <row r="632" spans="1:17" x14ac:dyDescent="0.3">
      <c r="A632" t="s">
        <v>284</v>
      </c>
      <c r="B632" t="s">
        <v>407</v>
      </c>
      <c r="C632">
        <v>2</v>
      </c>
      <c r="D632" cm="1">
        <f t="array" ref="D632">VLOOKUP(OrderLines[[#This Row],[SKU]:[SKU]],Menu[],MATCH(OrderLines[[#Headers],[UnitPrice]],Menu[#Headers],0),FALSE)</f>
        <v>246.09</v>
      </c>
      <c r="E632" cm="1">
        <f t="array" ref="E632">VLOOKUP(OrderLines[[#This Row],[SKU]:[SKU]],Menu[],MATCH(OrderLines[[#Headers],[UnitCost]],Menu[#Headers],0),FALSE)</f>
        <v>112.08</v>
      </c>
      <c r="F632" t="str" cm="1">
        <f t="array" ref="F632">VLOOKUP(OrderLines[[#This Row],[SKU]:[SKU]],Menu[],MATCH(OrderLines[[#Headers],[Category]],Menu[#Headers],0),FALSE)</f>
        <v>Hot Meal</v>
      </c>
      <c r="G632" t="str" cm="1">
        <f t="array" ref="G632">_xlfn.TEXTJOIN("+",TRUE,_xlfn._xlws.SORT(_xlfn.UNIQUE(_xlfn._xlws.FILTER(OrderLines[Category],OrderLines[OrderID]=OrderLines[[#This Row],[OrderID]]))))</f>
        <v>Hot Meal</v>
      </c>
      <c r="H632" s="2" cm="1">
        <f t="array" ref="H632">INT(VLOOKUP(OrderLines[[#This Row],[OrderID]:[OrderID]],Orders[],MATCH(OrderLines[[#Headers],[OrderDateTime]],Orders[#Headers],0),FALSE))</f>
        <v>45848</v>
      </c>
      <c r="I632" t="str" cm="1">
        <f t="array" ref="I632">VLOOKUP(OrderLines[[#This Row],[OrderID]:[OrderID]],Orders[],MATCH(OrderLines[[#Headers],[Branch]],Orders[#Headers],0),FALSE)</f>
        <v>Plant 1 Canteen</v>
      </c>
      <c r="J632" cm="1">
        <f t="array" ref="J632">VLOOKUP(OrderLines[[#This Row],[OrderID]:[OrderID]],Orders[],MATCH(OrderLines[[#Headers],[DiscountPct]],Orders[#Headers],0),FALSE)</f>
        <v>7.0000000000000007E-2</v>
      </c>
      <c r="K632" t="str" cm="1">
        <f t="array" ref="K632">VLOOKUP(OrderLines[[#This Row],[OrderID]:[OrderID]],Orders[],MATCH(OrderLines[[#Headers],[PaymentType]],Orders[#Headers],0),FALSE)</f>
        <v>Card</v>
      </c>
      <c r="L632" t="str" cm="1">
        <f t="array" ref="L632">VLOOKUP(OrderLines[[#This Row],[OrderID]:[OrderID]],Orders[],MATCH(OrderLines[[#Headers],[Shift]],Orders[#Headers],0),FALSE)</f>
        <v>Breakfast</v>
      </c>
      <c r="M632" s="8">
        <f>(OrderLines[[#This Row],[Qty]]*OrderLines[[#This Row],[UnitPrice]])*(1-OrderLines[[#This Row],[DiscountPct]])</f>
        <v>457.72739999999999</v>
      </c>
      <c r="N632" t="str">
        <f>IF(AND(COUNTIFS(OrderLines[OrderID],OrderLines[[#This Row],[OrderID]],OrderLines[Category],"Hot Meal"),COUNTIFS(OrderLines[OrderID],OrderLines[[#This Row],[OrderID]],OrderLines[Category],"Beverage")),"Combo","Single")</f>
        <v>Single</v>
      </c>
      <c r="O632" s="8" t="str" cm="1">
        <f t="array" ref="O632">IF(SUMPRODUCT(OrderLines[UnitPrice],OrderLines[Qty],OrderLines[DiscountPct],--(OrderLines[OrderID] = OrderLines[[#This Row],[OrderID]]))&gt;40,"High Discount","Ok")</f>
        <v>High Discount</v>
      </c>
      <c r="P632">
        <f>OrderLines[[#This Row],[UnitCost]]*OrderLines[[#This Row],[Qty]]</f>
        <v>224.16</v>
      </c>
      <c r="Q632" s="8">
        <f>OrderLines[[#This Row],[LineNetAmount]]-OrderLines[[#This Row],[Food Cost]]</f>
        <v>233.56739999999999</v>
      </c>
    </row>
    <row r="633" spans="1:17" x14ac:dyDescent="0.3">
      <c r="A633" t="s">
        <v>285</v>
      </c>
      <c r="B633" t="s">
        <v>418</v>
      </c>
      <c r="C633">
        <v>1</v>
      </c>
      <c r="D633" cm="1">
        <f t="array" ref="D633">VLOOKUP(OrderLines[[#This Row],[SKU]:[SKU]],Menu[],MATCH(OrderLines[[#Headers],[UnitPrice]],Menu[#Headers],0),FALSE)</f>
        <v>39.950000000000003</v>
      </c>
      <c r="E633" cm="1">
        <f t="array" ref="E633">VLOOKUP(OrderLines[[#This Row],[SKU]:[SKU]],Menu[],MATCH(OrderLines[[#Headers],[UnitCost]],Menu[#Headers],0),FALSE)</f>
        <v>15.51</v>
      </c>
      <c r="F633" t="str" cm="1">
        <f t="array" ref="F633">VLOOKUP(OrderLines[[#This Row],[SKU]:[SKU]],Menu[],MATCH(OrderLines[[#Headers],[Category]],Menu[#Headers],0),FALSE)</f>
        <v>Snack</v>
      </c>
      <c r="G633" t="str" cm="1">
        <f t="array" ref="G633">_xlfn.TEXTJOIN("+",TRUE,_xlfn._xlws.SORT(_xlfn.UNIQUE(_xlfn._xlws.FILTER(OrderLines[Category],OrderLines[OrderID]=OrderLines[[#This Row],[OrderID]]))))</f>
        <v>Hot Meal+Snack</v>
      </c>
      <c r="H633" s="2" cm="1">
        <f t="array" ref="H633">INT(VLOOKUP(OrderLines[[#This Row],[OrderID]:[OrderID]],Orders[],MATCH(OrderLines[[#Headers],[OrderDateTime]],Orders[#Headers],0),FALSE))</f>
        <v>45875</v>
      </c>
      <c r="I633" t="str" cm="1">
        <f t="array" ref="I633">VLOOKUP(OrderLines[[#This Row],[OrderID]:[OrderID]],Orders[],MATCH(OrderLines[[#Headers],[Branch]],Orders[#Headers],0),FALSE)</f>
        <v>Plant 1 Canteen</v>
      </c>
      <c r="J633" cm="1">
        <f t="array" ref="J633">VLOOKUP(OrderLines[[#This Row],[OrderID]:[OrderID]],Orders[],MATCH(OrderLines[[#Headers],[DiscountPct]],Orders[#Headers],0),FALSE)</f>
        <v>0.04</v>
      </c>
      <c r="K633" t="str" cm="1">
        <f t="array" ref="K633">VLOOKUP(OrderLines[[#This Row],[OrderID]:[OrderID]],Orders[],MATCH(OrderLines[[#Headers],[PaymentType]],Orders[#Headers],0),FALSE)</f>
        <v>Cash</v>
      </c>
      <c r="L633" t="str" cm="1">
        <f t="array" ref="L633">VLOOKUP(OrderLines[[#This Row],[OrderID]:[OrderID]],Orders[],MATCH(OrderLines[[#Headers],[Shift]],Orders[#Headers],0),FALSE)</f>
        <v>Breakfast</v>
      </c>
      <c r="M633" s="8">
        <f>(OrderLines[[#This Row],[Qty]]*OrderLines[[#This Row],[UnitPrice]])*(1-OrderLines[[#This Row],[DiscountPct]])</f>
        <v>38.352000000000004</v>
      </c>
      <c r="N633" t="str">
        <f>IF(AND(COUNTIFS(OrderLines[OrderID],OrderLines[[#This Row],[OrderID]],OrderLines[Category],"Hot Meal"),COUNTIFS(OrderLines[OrderID],OrderLines[[#This Row],[OrderID]],OrderLines[Category],"Beverage")),"Combo","Single")</f>
        <v>Single</v>
      </c>
      <c r="O633" s="8" t="str" cm="1">
        <f t="array" ref="O633">IF(SUMPRODUCT(OrderLines[UnitPrice],OrderLines[Qty],OrderLines[DiscountPct],--(OrderLines[OrderID] = OrderLines[[#This Row],[OrderID]]))&gt;40,"High Discount","Ok")</f>
        <v>Ok</v>
      </c>
      <c r="P633">
        <f>OrderLines[[#This Row],[UnitCost]]*OrderLines[[#This Row],[Qty]]</f>
        <v>15.51</v>
      </c>
      <c r="Q633" s="8">
        <f>OrderLines[[#This Row],[LineNetAmount]]-OrderLines[[#This Row],[Food Cost]]</f>
        <v>22.842000000000006</v>
      </c>
    </row>
    <row r="634" spans="1:17" x14ac:dyDescent="0.3">
      <c r="A634" t="s">
        <v>285</v>
      </c>
      <c r="B634" t="s">
        <v>407</v>
      </c>
      <c r="C634">
        <v>1</v>
      </c>
      <c r="D634" cm="1">
        <f t="array" ref="D634">VLOOKUP(OrderLines[[#This Row],[SKU]:[SKU]],Menu[],MATCH(OrderLines[[#Headers],[UnitPrice]],Menu[#Headers],0),FALSE)</f>
        <v>246.09</v>
      </c>
      <c r="E634" cm="1">
        <f t="array" ref="E634">VLOOKUP(OrderLines[[#This Row],[SKU]:[SKU]],Menu[],MATCH(OrderLines[[#Headers],[UnitCost]],Menu[#Headers],0),FALSE)</f>
        <v>112.08</v>
      </c>
      <c r="F634" t="str" cm="1">
        <f t="array" ref="F634">VLOOKUP(OrderLines[[#This Row],[SKU]:[SKU]],Menu[],MATCH(OrderLines[[#Headers],[Category]],Menu[#Headers],0),FALSE)</f>
        <v>Hot Meal</v>
      </c>
      <c r="G634" t="str" cm="1">
        <f t="array" ref="G634">_xlfn.TEXTJOIN("+",TRUE,_xlfn._xlws.SORT(_xlfn.UNIQUE(_xlfn._xlws.FILTER(OrderLines[Category],OrderLines[OrderID]=OrderLines[[#This Row],[OrderID]]))))</f>
        <v>Hot Meal+Snack</v>
      </c>
      <c r="H634" s="2" cm="1">
        <f t="array" ref="H634">INT(VLOOKUP(OrderLines[[#This Row],[OrderID]:[OrderID]],Orders[],MATCH(OrderLines[[#Headers],[OrderDateTime]],Orders[#Headers],0),FALSE))</f>
        <v>45875</v>
      </c>
      <c r="I634" t="str" cm="1">
        <f t="array" ref="I634">VLOOKUP(OrderLines[[#This Row],[OrderID]:[OrderID]],Orders[],MATCH(OrderLines[[#Headers],[Branch]],Orders[#Headers],0),FALSE)</f>
        <v>Plant 1 Canteen</v>
      </c>
      <c r="J634" cm="1">
        <f t="array" ref="J634">VLOOKUP(OrderLines[[#This Row],[OrderID]:[OrderID]],Orders[],MATCH(OrderLines[[#Headers],[DiscountPct]],Orders[#Headers],0),FALSE)</f>
        <v>0.04</v>
      </c>
      <c r="K634" t="str" cm="1">
        <f t="array" ref="K634">VLOOKUP(OrderLines[[#This Row],[OrderID]:[OrderID]],Orders[],MATCH(OrderLines[[#Headers],[PaymentType]],Orders[#Headers],0),FALSE)</f>
        <v>Cash</v>
      </c>
      <c r="L634" t="str" cm="1">
        <f t="array" ref="L634">VLOOKUP(OrderLines[[#This Row],[OrderID]:[OrderID]],Orders[],MATCH(OrderLines[[#Headers],[Shift]],Orders[#Headers],0),FALSE)</f>
        <v>Breakfast</v>
      </c>
      <c r="M634" s="8">
        <f>(OrderLines[[#This Row],[Qty]]*OrderLines[[#This Row],[UnitPrice]])*(1-OrderLines[[#This Row],[DiscountPct]])</f>
        <v>236.24639999999999</v>
      </c>
      <c r="N634" t="str">
        <f>IF(AND(COUNTIFS(OrderLines[OrderID],OrderLines[[#This Row],[OrderID]],OrderLines[Category],"Hot Meal"),COUNTIFS(OrderLines[OrderID],OrderLines[[#This Row],[OrderID]],OrderLines[Category],"Beverage")),"Combo","Single")</f>
        <v>Single</v>
      </c>
      <c r="O634" s="8" t="str" cm="1">
        <f t="array" ref="O634">IF(SUMPRODUCT(OrderLines[UnitPrice],OrderLines[Qty],OrderLines[DiscountPct],--(OrderLines[OrderID] = OrderLines[[#This Row],[OrderID]]))&gt;40,"High Discount","Ok")</f>
        <v>Ok</v>
      </c>
      <c r="P634">
        <f>OrderLines[[#This Row],[UnitCost]]*OrderLines[[#This Row],[Qty]]</f>
        <v>112.08</v>
      </c>
      <c r="Q634" s="8">
        <f>OrderLines[[#This Row],[LineNetAmount]]-OrderLines[[#This Row],[Food Cost]]</f>
        <v>124.1664</v>
      </c>
    </row>
    <row r="635" spans="1:17" x14ac:dyDescent="0.3">
      <c r="A635" t="s">
        <v>286</v>
      </c>
      <c r="B635" t="s">
        <v>405</v>
      </c>
      <c r="C635">
        <v>2</v>
      </c>
      <c r="D635" cm="1">
        <f t="array" ref="D635">VLOOKUP(OrderLines[[#This Row],[SKU]:[SKU]],Menu[],MATCH(OrderLines[[#Headers],[UnitPrice]],Menu[#Headers],0),FALSE)</f>
        <v>170.83</v>
      </c>
      <c r="E635" cm="1">
        <f t="array" ref="E635">VLOOKUP(OrderLines[[#This Row],[SKU]:[SKU]],Menu[],MATCH(OrderLines[[#Headers],[UnitCost]],Menu[#Headers],0),FALSE)</f>
        <v>74.069999999999993</v>
      </c>
      <c r="F635" t="str" cm="1">
        <f t="array" ref="F635">VLOOKUP(OrderLines[[#This Row],[SKU]:[SKU]],Menu[],MATCH(OrderLines[[#Headers],[Category]],Menu[#Headers],0),FALSE)</f>
        <v>Hot Meal</v>
      </c>
      <c r="G635" t="str" cm="1">
        <f t="array" ref="G635">_xlfn.TEXTJOIN("+",TRUE,_xlfn._xlws.SORT(_xlfn.UNIQUE(_xlfn._xlws.FILTER(OrderLines[Category],OrderLines[OrderID]=OrderLines[[#This Row],[OrderID]]))))</f>
        <v>Dessert+Hot Meal</v>
      </c>
      <c r="H635" s="2" cm="1">
        <f t="array" ref="H635">INT(VLOOKUP(OrderLines[[#This Row],[OrderID]:[OrderID]],Orders[],MATCH(OrderLines[[#Headers],[OrderDateTime]],Orders[#Headers],0),FALSE))</f>
        <v>45893</v>
      </c>
      <c r="I635" t="str" cm="1">
        <f t="array" ref="I635">VLOOKUP(OrderLines[[#This Row],[OrderID]:[OrderID]],Orders[],MATCH(OrderLines[[#Headers],[Branch]],Orders[#Headers],0),FALSE)</f>
        <v>Plant 2 Canteen</v>
      </c>
      <c r="J635" cm="1">
        <f t="array" ref="J635">VLOOKUP(OrderLines[[#This Row],[OrderID]:[OrderID]],Orders[],MATCH(OrderLines[[#Headers],[DiscountPct]],Orders[#Headers],0),FALSE)</f>
        <v>0.05</v>
      </c>
      <c r="K635" t="str" cm="1">
        <f t="array" ref="K635">VLOOKUP(OrderLines[[#This Row],[OrderID]:[OrderID]],Orders[],MATCH(OrderLines[[#Headers],[PaymentType]],Orders[#Headers],0),FALSE)</f>
        <v>Cash</v>
      </c>
      <c r="L635" t="str" cm="1">
        <f t="array" ref="L635">VLOOKUP(OrderLines[[#This Row],[OrderID]:[OrderID]],Orders[],MATCH(OrderLines[[#Headers],[Shift]],Orders[#Headers],0),FALSE)</f>
        <v>Dinner</v>
      </c>
      <c r="M635" s="8">
        <f>(OrderLines[[#This Row],[Qty]]*OrderLines[[#This Row],[UnitPrice]])*(1-OrderLines[[#This Row],[DiscountPct]])</f>
        <v>324.577</v>
      </c>
      <c r="N635" t="str">
        <f>IF(AND(COUNTIFS(OrderLines[OrderID],OrderLines[[#This Row],[OrderID]],OrderLines[Category],"Hot Meal"),COUNTIFS(OrderLines[OrderID],OrderLines[[#This Row],[OrderID]],OrderLines[Category],"Beverage")),"Combo","Single")</f>
        <v>Single</v>
      </c>
      <c r="O635" s="8" t="str" cm="1">
        <f t="array" ref="O635">IF(SUMPRODUCT(OrderLines[UnitPrice],OrderLines[Qty],OrderLines[DiscountPct],--(OrderLines[OrderID] = OrderLines[[#This Row],[OrderID]]))&gt;40,"High Discount","Ok")</f>
        <v>Ok</v>
      </c>
      <c r="P635">
        <f>OrderLines[[#This Row],[UnitCost]]*OrderLines[[#This Row],[Qty]]</f>
        <v>148.13999999999999</v>
      </c>
      <c r="Q635" s="8">
        <f>OrderLines[[#This Row],[LineNetAmount]]-OrderLines[[#This Row],[Food Cost]]</f>
        <v>176.43700000000001</v>
      </c>
    </row>
    <row r="636" spans="1:17" x14ac:dyDescent="0.3">
      <c r="A636" t="s">
        <v>286</v>
      </c>
      <c r="B636" t="s">
        <v>407</v>
      </c>
      <c r="C636">
        <v>1</v>
      </c>
      <c r="D636" cm="1">
        <f t="array" ref="D636">VLOOKUP(OrderLines[[#This Row],[SKU]:[SKU]],Menu[],MATCH(OrderLines[[#Headers],[UnitPrice]],Menu[#Headers],0),FALSE)</f>
        <v>246.09</v>
      </c>
      <c r="E636" cm="1">
        <f t="array" ref="E636">VLOOKUP(OrderLines[[#This Row],[SKU]:[SKU]],Menu[],MATCH(OrderLines[[#Headers],[UnitCost]],Menu[#Headers],0),FALSE)</f>
        <v>112.08</v>
      </c>
      <c r="F636" t="str" cm="1">
        <f t="array" ref="F636">VLOOKUP(OrderLines[[#This Row],[SKU]:[SKU]],Menu[],MATCH(OrderLines[[#Headers],[Category]],Menu[#Headers],0),FALSE)</f>
        <v>Hot Meal</v>
      </c>
      <c r="G636" t="str" cm="1">
        <f t="array" ref="G636">_xlfn.TEXTJOIN("+",TRUE,_xlfn._xlws.SORT(_xlfn.UNIQUE(_xlfn._xlws.FILTER(OrderLines[Category],OrderLines[OrderID]=OrderLines[[#This Row],[OrderID]]))))</f>
        <v>Dessert+Hot Meal</v>
      </c>
      <c r="H636" s="2" cm="1">
        <f t="array" ref="H636">INT(VLOOKUP(OrderLines[[#This Row],[OrderID]:[OrderID]],Orders[],MATCH(OrderLines[[#Headers],[OrderDateTime]],Orders[#Headers],0),FALSE))</f>
        <v>45893</v>
      </c>
      <c r="I636" t="str" cm="1">
        <f t="array" ref="I636">VLOOKUP(OrderLines[[#This Row],[OrderID]:[OrderID]],Orders[],MATCH(OrderLines[[#Headers],[Branch]],Orders[#Headers],0),FALSE)</f>
        <v>Plant 2 Canteen</v>
      </c>
      <c r="J636" cm="1">
        <f t="array" ref="J636">VLOOKUP(OrderLines[[#This Row],[OrderID]:[OrderID]],Orders[],MATCH(OrderLines[[#Headers],[DiscountPct]],Orders[#Headers],0),FALSE)</f>
        <v>0.05</v>
      </c>
      <c r="K636" t="str" cm="1">
        <f t="array" ref="K636">VLOOKUP(OrderLines[[#This Row],[OrderID]:[OrderID]],Orders[],MATCH(OrderLines[[#Headers],[PaymentType]],Orders[#Headers],0),FALSE)</f>
        <v>Cash</v>
      </c>
      <c r="L636" t="str" cm="1">
        <f t="array" ref="L636">VLOOKUP(OrderLines[[#This Row],[OrderID]:[OrderID]],Orders[],MATCH(OrderLines[[#Headers],[Shift]],Orders[#Headers],0),FALSE)</f>
        <v>Dinner</v>
      </c>
      <c r="M636" s="8">
        <f>(OrderLines[[#This Row],[Qty]]*OrderLines[[#This Row],[UnitPrice]])*(1-OrderLines[[#This Row],[DiscountPct]])</f>
        <v>233.78549999999998</v>
      </c>
      <c r="N636" t="str">
        <f>IF(AND(COUNTIFS(OrderLines[OrderID],OrderLines[[#This Row],[OrderID]],OrderLines[Category],"Hot Meal"),COUNTIFS(OrderLines[OrderID],OrderLines[[#This Row],[OrderID]],OrderLines[Category],"Beverage")),"Combo","Single")</f>
        <v>Single</v>
      </c>
      <c r="O636" s="8" t="str" cm="1">
        <f t="array" ref="O636">IF(SUMPRODUCT(OrderLines[UnitPrice],OrderLines[Qty],OrderLines[DiscountPct],--(OrderLines[OrderID] = OrderLines[[#This Row],[OrderID]]))&gt;40,"High Discount","Ok")</f>
        <v>Ok</v>
      </c>
      <c r="P636">
        <f>OrderLines[[#This Row],[UnitCost]]*OrderLines[[#This Row],[Qty]]</f>
        <v>112.08</v>
      </c>
      <c r="Q636" s="8">
        <f>OrderLines[[#This Row],[LineNetAmount]]-OrderLines[[#This Row],[Food Cost]]</f>
        <v>121.70549999999999</v>
      </c>
    </row>
    <row r="637" spans="1:17" x14ac:dyDescent="0.3">
      <c r="A637" t="s">
        <v>286</v>
      </c>
      <c r="B637" t="s">
        <v>412</v>
      </c>
      <c r="C637">
        <v>1</v>
      </c>
      <c r="D637" cm="1">
        <f t="array" ref="D637">VLOOKUP(OrderLines[[#This Row],[SKU]:[SKU]],Menu[],MATCH(OrderLines[[#Headers],[UnitPrice]],Menu[#Headers],0),FALSE)</f>
        <v>57.07</v>
      </c>
      <c r="E637" cm="1">
        <f t="array" ref="E637">VLOOKUP(OrderLines[[#This Row],[SKU]:[SKU]],Menu[],MATCH(OrderLines[[#Headers],[UnitCost]],Menu[#Headers],0),FALSE)</f>
        <v>29.14</v>
      </c>
      <c r="F637" t="str" cm="1">
        <f t="array" ref="F637">VLOOKUP(OrderLines[[#This Row],[SKU]:[SKU]],Menu[],MATCH(OrderLines[[#Headers],[Category]],Menu[#Headers],0),FALSE)</f>
        <v>Dessert</v>
      </c>
      <c r="G637" t="str" cm="1">
        <f t="array" ref="G637">_xlfn.TEXTJOIN("+",TRUE,_xlfn._xlws.SORT(_xlfn.UNIQUE(_xlfn._xlws.FILTER(OrderLines[Category],OrderLines[OrderID]=OrderLines[[#This Row],[OrderID]]))))</f>
        <v>Dessert+Hot Meal</v>
      </c>
      <c r="H637" s="2" cm="1">
        <f t="array" ref="H637">INT(VLOOKUP(OrderLines[[#This Row],[OrderID]:[OrderID]],Orders[],MATCH(OrderLines[[#Headers],[OrderDateTime]],Orders[#Headers],0),FALSE))</f>
        <v>45893</v>
      </c>
      <c r="I637" t="str" cm="1">
        <f t="array" ref="I637">VLOOKUP(OrderLines[[#This Row],[OrderID]:[OrderID]],Orders[],MATCH(OrderLines[[#Headers],[Branch]],Orders[#Headers],0),FALSE)</f>
        <v>Plant 2 Canteen</v>
      </c>
      <c r="J637" cm="1">
        <f t="array" ref="J637">VLOOKUP(OrderLines[[#This Row],[OrderID]:[OrderID]],Orders[],MATCH(OrderLines[[#Headers],[DiscountPct]],Orders[#Headers],0),FALSE)</f>
        <v>0.05</v>
      </c>
      <c r="K637" t="str" cm="1">
        <f t="array" ref="K637">VLOOKUP(OrderLines[[#This Row],[OrderID]:[OrderID]],Orders[],MATCH(OrderLines[[#Headers],[PaymentType]],Orders[#Headers],0),FALSE)</f>
        <v>Cash</v>
      </c>
      <c r="L637" t="str" cm="1">
        <f t="array" ref="L637">VLOOKUP(OrderLines[[#This Row],[OrderID]:[OrderID]],Orders[],MATCH(OrderLines[[#Headers],[Shift]],Orders[#Headers],0),FALSE)</f>
        <v>Dinner</v>
      </c>
      <c r="M637" s="8">
        <f>(OrderLines[[#This Row],[Qty]]*OrderLines[[#This Row],[UnitPrice]])*(1-OrderLines[[#This Row],[DiscountPct]])</f>
        <v>54.216499999999996</v>
      </c>
      <c r="N637" t="str">
        <f>IF(AND(COUNTIFS(OrderLines[OrderID],OrderLines[[#This Row],[OrderID]],OrderLines[Category],"Hot Meal"),COUNTIFS(OrderLines[OrderID],OrderLines[[#This Row],[OrderID]],OrderLines[Category],"Beverage")),"Combo","Single")</f>
        <v>Single</v>
      </c>
      <c r="O637" s="8" t="str" cm="1">
        <f t="array" ref="O637">IF(SUMPRODUCT(OrderLines[UnitPrice],OrderLines[Qty],OrderLines[DiscountPct],--(OrderLines[OrderID] = OrderLines[[#This Row],[OrderID]]))&gt;40,"High Discount","Ok")</f>
        <v>Ok</v>
      </c>
      <c r="P637">
        <f>OrderLines[[#This Row],[UnitCost]]*OrderLines[[#This Row],[Qty]]</f>
        <v>29.14</v>
      </c>
      <c r="Q637" s="8">
        <f>OrderLines[[#This Row],[LineNetAmount]]-OrderLines[[#This Row],[Food Cost]]</f>
        <v>25.076499999999996</v>
      </c>
    </row>
    <row r="638" spans="1:17" x14ac:dyDescent="0.3">
      <c r="A638" t="s">
        <v>287</v>
      </c>
      <c r="B638" t="s">
        <v>410</v>
      </c>
      <c r="C638">
        <v>3</v>
      </c>
      <c r="D638" cm="1">
        <f t="array" ref="D638">VLOOKUP(OrderLines[[#This Row],[SKU]:[SKU]],Menu[],MATCH(OrderLines[[#Headers],[UnitPrice]],Menu[#Headers],0),FALSE)</f>
        <v>20.11</v>
      </c>
      <c r="E638" cm="1">
        <f t="array" ref="E638">VLOOKUP(OrderLines[[#This Row],[SKU]:[SKU]],Menu[],MATCH(OrderLines[[#Headers],[UnitCost]],Menu[#Headers],0),FALSE)</f>
        <v>8</v>
      </c>
      <c r="F638" t="str" cm="1">
        <f t="array" ref="F638">VLOOKUP(OrderLines[[#This Row],[SKU]:[SKU]],Menu[],MATCH(OrderLines[[#Headers],[Category]],Menu[#Headers],0),FALSE)</f>
        <v>Beverage</v>
      </c>
      <c r="G638" t="str" cm="1">
        <f t="array" ref="G638">_xlfn.TEXTJOIN("+",TRUE,_xlfn._xlws.SORT(_xlfn.UNIQUE(_xlfn._xlws.FILTER(OrderLines[Category],OrderLines[OrderID]=OrderLines[[#This Row],[OrderID]]))))</f>
        <v>Beverage+Dessert+Hot Meal</v>
      </c>
      <c r="H638" s="2" cm="1">
        <f t="array" ref="H638">INT(VLOOKUP(OrderLines[[#This Row],[OrderID]:[OrderID]],Orders[],MATCH(OrderLines[[#Headers],[OrderDateTime]],Orders[#Headers],0),FALSE))</f>
        <v>45873</v>
      </c>
      <c r="I638" t="str" cm="1">
        <f t="array" ref="I638">VLOOKUP(OrderLines[[#This Row],[OrderID]:[OrderID]],Orders[],MATCH(OrderLines[[#Headers],[Branch]],Orders[#Headers],0),FALSE)</f>
        <v>Head Office Café</v>
      </c>
      <c r="J638" cm="1">
        <f t="array" ref="J638">VLOOKUP(OrderLines[[#This Row],[OrderID]:[OrderID]],Orders[],MATCH(OrderLines[[#Headers],[DiscountPct]],Orders[#Headers],0),FALSE)</f>
        <v>0.04</v>
      </c>
      <c r="K638" t="str" cm="1">
        <f t="array" ref="K638">VLOOKUP(OrderLines[[#This Row],[OrderID]:[OrderID]],Orders[],MATCH(OrderLines[[#Headers],[PaymentType]],Orders[#Headers],0),FALSE)</f>
        <v>UPI</v>
      </c>
      <c r="L638" t="str" cm="1">
        <f t="array" ref="L638">VLOOKUP(OrderLines[[#This Row],[OrderID]:[OrderID]],Orders[],MATCH(OrderLines[[#Headers],[Shift]],Orders[#Headers],0),FALSE)</f>
        <v>Lunch</v>
      </c>
      <c r="M638" s="8">
        <f>(OrderLines[[#This Row],[Qty]]*OrderLines[[#This Row],[UnitPrice]])*(1-OrderLines[[#This Row],[DiscountPct]])</f>
        <v>57.916799999999995</v>
      </c>
      <c r="N638" t="str">
        <f>IF(AND(COUNTIFS(OrderLines[OrderID],OrderLines[[#This Row],[OrderID]],OrderLines[Category],"Hot Meal"),COUNTIFS(OrderLines[OrderID],OrderLines[[#This Row],[OrderID]],OrderLines[Category],"Beverage")),"Combo","Single")</f>
        <v>Combo</v>
      </c>
      <c r="O638" s="8" t="str" cm="1">
        <f t="array" ref="O638">IF(SUMPRODUCT(OrderLines[UnitPrice],OrderLines[Qty],OrderLines[DiscountPct],--(OrderLines[OrderID] = OrderLines[[#This Row],[OrderID]]))&gt;40,"High Discount","Ok")</f>
        <v>High Discount</v>
      </c>
      <c r="P638">
        <f>OrderLines[[#This Row],[UnitCost]]*OrderLines[[#This Row],[Qty]]</f>
        <v>24</v>
      </c>
      <c r="Q638" s="8">
        <f>OrderLines[[#This Row],[LineNetAmount]]-OrderLines[[#This Row],[Food Cost]]</f>
        <v>33.916799999999995</v>
      </c>
    </row>
    <row r="639" spans="1:17" x14ac:dyDescent="0.3">
      <c r="A639" t="s">
        <v>287</v>
      </c>
      <c r="B639" t="s">
        <v>416</v>
      </c>
      <c r="C639">
        <v>2</v>
      </c>
      <c r="D639" cm="1">
        <f t="array" ref="D639">VLOOKUP(OrderLines[[#This Row],[SKU]:[SKU]],Menu[],MATCH(OrderLines[[#Headers],[UnitPrice]],Menu[#Headers],0),FALSE)</f>
        <v>227.61</v>
      </c>
      <c r="E639" cm="1">
        <f t="array" ref="E639">VLOOKUP(OrderLines[[#This Row],[SKU]:[SKU]],Menu[],MATCH(OrderLines[[#Headers],[UnitCost]],Menu[#Headers],0),FALSE)</f>
        <v>96.22</v>
      </c>
      <c r="F639" t="str" cm="1">
        <f t="array" ref="F639">VLOOKUP(OrderLines[[#This Row],[SKU]:[SKU]],Menu[],MATCH(OrderLines[[#Headers],[Category]],Menu[#Headers],0),FALSE)</f>
        <v>Hot Meal</v>
      </c>
      <c r="G639" t="str" cm="1">
        <f t="array" ref="G639">_xlfn.TEXTJOIN("+",TRUE,_xlfn._xlws.SORT(_xlfn.UNIQUE(_xlfn._xlws.FILTER(OrderLines[Category],OrderLines[OrderID]=OrderLines[[#This Row],[OrderID]]))))</f>
        <v>Beverage+Dessert+Hot Meal</v>
      </c>
      <c r="H639" s="2" cm="1">
        <f t="array" ref="H639">INT(VLOOKUP(OrderLines[[#This Row],[OrderID]:[OrderID]],Orders[],MATCH(OrderLines[[#Headers],[OrderDateTime]],Orders[#Headers],0),FALSE))</f>
        <v>45873</v>
      </c>
      <c r="I639" t="str" cm="1">
        <f t="array" ref="I639">VLOOKUP(OrderLines[[#This Row],[OrderID]:[OrderID]],Orders[],MATCH(OrderLines[[#Headers],[Branch]],Orders[#Headers],0),FALSE)</f>
        <v>Head Office Café</v>
      </c>
      <c r="J639" cm="1">
        <f t="array" ref="J639">VLOOKUP(OrderLines[[#This Row],[OrderID]:[OrderID]],Orders[],MATCH(OrderLines[[#Headers],[DiscountPct]],Orders[#Headers],0),FALSE)</f>
        <v>0.04</v>
      </c>
      <c r="K639" t="str" cm="1">
        <f t="array" ref="K639">VLOOKUP(OrderLines[[#This Row],[OrderID]:[OrderID]],Orders[],MATCH(OrderLines[[#Headers],[PaymentType]],Orders[#Headers],0),FALSE)</f>
        <v>UPI</v>
      </c>
      <c r="L639" t="str" cm="1">
        <f t="array" ref="L639">VLOOKUP(OrderLines[[#This Row],[OrderID]:[OrderID]],Orders[],MATCH(OrderLines[[#Headers],[Shift]],Orders[#Headers],0),FALSE)</f>
        <v>Lunch</v>
      </c>
      <c r="M639" s="8">
        <f>(OrderLines[[#This Row],[Qty]]*OrderLines[[#This Row],[UnitPrice]])*(1-OrderLines[[#This Row],[DiscountPct]])</f>
        <v>437.01120000000003</v>
      </c>
      <c r="N639" t="str">
        <f>IF(AND(COUNTIFS(OrderLines[OrderID],OrderLines[[#This Row],[OrderID]],OrderLines[Category],"Hot Meal"),COUNTIFS(OrderLines[OrderID],OrderLines[[#This Row],[OrderID]],OrderLines[Category],"Beverage")),"Combo","Single")</f>
        <v>Combo</v>
      </c>
      <c r="O639" s="8" t="str" cm="1">
        <f t="array" ref="O639">IF(SUMPRODUCT(OrderLines[UnitPrice],OrderLines[Qty],OrderLines[DiscountPct],--(OrderLines[OrderID] = OrderLines[[#This Row],[OrderID]]))&gt;40,"High Discount","Ok")</f>
        <v>High Discount</v>
      </c>
      <c r="P639">
        <f>OrderLines[[#This Row],[UnitCost]]*OrderLines[[#This Row],[Qty]]</f>
        <v>192.44</v>
      </c>
      <c r="Q639" s="8">
        <f>OrderLines[[#This Row],[LineNetAmount]]-OrderLines[[#This Row],[Food Cost]]</f>
        <v>244.57120000000003</v>
      </c>
    </row>
    <row r="640" spans="1:17" x14ac:dyDescent="0.3">
      <c r="A640" t="s">
        <v>287</v>
      </c>
      <c r="B640" t="s">
        <v>412</v>
      </c>
      <c r="C640">
        <v>2</v>
      </c>
      <c r="D640" cm="1">
        <f t="array" ref="D640">VLOOKUP(OrderLines[[#This Row],[SKU]:[SKU]],Menu[],MATCH(OrderLines[[#Headers],[UnitPrice]],Menu[#Headers],0),FALSE)</f>
        <v>57.07</v>
      </c>
      <c r="E640" cm="1">
        <f t="array" ref="E640">VLOOKUP(OrderLines[[#This Row],[SKU]:[SKU]],Menu[],MATCH(OrderLines[[#Headers],[UnitCost]],Menu[#Headers],0),FALSE)</f>
        <v>29.14</v>
      </c>
      <c r="F640" t="str" cm="1">
        <f t="array" ref="F640">VLOOKUP(OrderLines[[#This Row],[SKU]:[SKU]],Menu[],MATCH(OrderLines[[#Headers],[Category]],Menu[#Headers],0),FALSE)</f>
        <v>Dessert</v>
      </c>
      <c r="G640" t="str" cm="1">
        <f t="array" ref="G640">_xlfn.TEXTJOIN("+",TRUE,_xlfn._xlws.SORT(_xlfn.UNIQUE(_xlfn._xlws.FILTER(OrderLines[Category],OrderLines[OrderID]=OrderLines[[#This Row],[OrderID]]))))</f>
        <v>Beverage+Dessert+Hot Meal</v>
      </c>
      <c r="H640" s="2" cm="1">
        <f t="array" ref="H640">INT(VLOOKUP(OrderLines[[#This Row],[OrderID]:[OrderID]],Orders[],MATCH(OrderLines[[#Headers],[OrderDateTime]],Orders[#Headers],0),FALSE))</f>
        <v>45873</v>
      </c>
      <c r="I640" t="str" cm="1">
        <f t="array" ref="I640">VLOOKUP(OrderLines[[#This Row],[OrderID]:[OrderID]],Orders[],MATCH(OrderLines[[#Headers],[Branch]],Orders[#Headers],0),FALSE)</f>
        <v>Head Office Café</v>
      </c>
      <c r="J640" cm="1">
        <f t="array" ref="J640">VLOOKUP(OrderLines[[#This Row],[OrderID]:[OrderID]],Orders[],MATCH(OrderLines[[#Headers],[DiscountPct]],Orders[#Headers],0),FALSE)</f>
        <v>0.04</v>
      </c>
      <c r="K640" t="str" cm="1">
        <f t="array" ref="K640">VLOOKUP(OrderLines[[#This Row],[OrderID]:[OrderID]],Orders[],MATCH(OrderLines[[#Headers],[PaymentType]],Orders[#Headers],0),FALSE)</f>
        <v>UPI</v>
      </c>
      <c r="L640" t="str" cm="1">
        <f t="array" ref="L640">VLOOKUP(OrderLines[[#This Row],[OrderID]:[OrderID]],Orders[],MATCH(OrderLines[[#Headers],[Shift]],Orders[#Headers],0),FALSE)</f>
        <v>Lunch</v>
      </c>
      <c r="M640" s="8">
        <f>(OrderLines[[#This Row],[Qty]]*OrderLines[[#This Row],[UnitPrice]])*(1-OrderLines[[#This Row],[DiscountPct]])</f>
        <v>109.5744</v>
      </c>
      <c r="N640" t="str">
        <f>IF(AND(COUNTIFS(OrderLines[OrderID],OrderLines[[#This Row],[OrderID]],OrderLines[Category],"Hot Meal"),COUNTIFS(OrderLines[OrderID],OrderLines[[#This Row],[OrderID]],OrderLines[Category],"Beverage")),"Combo","Single")</f>
        <v>Combo</v>
      </c>
      <c r="O640" s="8" t="str" cm="1">
        <f t="array" ref="O640">IF(SUMPRODUCT(OrderLines[UnitPrice],OrderLines[Qty],OrderLines[DiscountPct],--(OrderLines[OrderID] = OrderLines[[#This Row],[OrderID]]))&gt;40,"High Discount","Ok")</f>
        <v>High Discount</v>
      </c>
      <c r="P640">
        <f>OrderLines[[#This Row],[UnitCost]]*OrderLines[[#This Row],[Qty]]</f>
        <v>58.28</v>
      </c>
      <c r="Q640" s="8">
        <f>OrderLines[[#This Row],[LineNetAmount]]-OrderLines[[#This Row],[Food Cost]]</f>
        <v>51.294399999999996</v>
      </c>
    </row>
    <row r="641" spans="1:17" x14ac:dyDescent="0.3">
      <c r="A641" t="s">
        <v>287</v>
      </c>
      <c r="B641" t="s">
        <v>407</v>
      </c>
      <c r="C641">
        <v>2</v>
      </c>
      <c r="D641" cm="1">
        <f t="array" ref="D641">VLOOKUP(OrderLines[[#This Row],[SKU]:[SKU]],Menu[],MATCH(OrderLines[[#Headers],[UnitPrice]],Menu[#Headers],0),FALSE)</f>
        <v>246.09</v>
      </c>
      <c r="E641" cm="1">
        <f t="array" ref="E641">VLOOKUP(OrderLines[[#This Row],[SKU]:[SKU]],Menu[],MATCH(OrderLines[[#Headers],[UnitCost]],Menu[#Headers],0),FALSE)</f>
        <v>112.08</v>
      </c>
      <c r="F641" t="str" cm="1">
        <f t="array" ref="F641">VLOOKUP(OrderLines[[#This Row],[SKU]:[SKU]],Menu[],MATCH(OrderLines[[#Headers],[Category]],Menu[#Headers],0),FALSE)</f>
        <v>Hot Meal</v>
      </c>
      <c r="G641" t="str" cm="1">
        <f t="array" ref="G641">_xlfn.TEXTJOIN("+",TRUE,_xlfn._xlws.SORT(_xlfn.UNIQUE(_xlfn._xlws.FILTER(OrderLines[Category],OrderLines[OrderID]=OrderLines[[#This Row],[OrderID]]))))</f>
        <v>Beverage+Dessert+Hot Meal</v>
      </c>
      <c r="H641" s="2" cm="1">
        <f t="array" ref="H641">INT(VLOOKUP(OrderLines[[#This Row],[OrderID]:[OrderID]],Orders[],MATCH(OrderLines[[#Headers],[OrderDateTime]],Orders[#Headers],0),FALSE))</f>
        <v>45873</v>
      </c>
      <c r="I641" t="str" cm="1">
        <f t="array" ref="I641">VLOOKUP(OrderLines[[#This Row],[OrderID]:[OrderID]],Orders[],MATCH(OrderLines[[#Headers],[Branch]],Orders[#Headers],0),FALSE)</f>
        <v>Head Office Café</v>
      </c>
      <c r="J641" cm="1">
        <f t="array" ref="J641">VLOOKUP(OrderLines[[#This Row],[OrderID]:[OrderID]],Orders[],MATCH(OrderLines[[#Headers],[DiscountPct]],Orders[#Headers],0),FALSE)</f>
        <v>0.04</v>
      </c>
      <c r="K641" t="str" cm="1">
        <f t="array" ref="K641">VLOOKUP(OrderLines[[#This Row],[OrderID]:[OrderID]],Orders[],MATCH(OrderLines[[#Headers],[PaymentType]],Orders[#Headers],0),FALSE)</f>
        <v>UPI</v>
      </c>
      <c r="L641" t="str" cm="1">
        <f t="array" ref="L641">VLOOKUP(OrderLines[[#This Row],[OrderID]:[OrderID]],Orders[],MATCH(OrderLines[[#Headers],[Shift]],Orders[#Headers],0),FALSE)</f>
        <v>Lunch</v>
      </c>
      <c r="M641" s="8">
        <f>(OrderLines[[#This Row],[Qty]]*OrderLines[[#This Row],[UnitPrice]])*(1-OrderLines[[#This Row],[DiscountPct]])</f>
        <v>472.49279999999999</v>
      </c>
      <c r="N641" t="str">
        <f>IF(AND(COUNTIFS(OrderLines[OrderID],OrderLines[[#This Row],[OrderID]],OrderLines[Category],"Hot Meal"),COUNTIFS(OrderLines[OrderID],OrderLines[[#This Row],[OrderID]],OrderLines[Category],"Beverage")),"Combo","Single")</f>
        <v>Combo</v>
      </c>
      <c r="O641" s="8" t="str" cm="1">
        <f t="array" ref="O641">IF(SUMPRODUCT(OrderLines[UnitPrice],OrderLines[Qty],OrderLines[DiscountPct],--(OrderLines[OrderID] = OrderLines[[#This Row],[OrderID]]))&gt;40,"High Discount","Ok")</f>
        <v>High Discount</v>
      </c>
      <c r="P641">
        <f>OrderLines[[#This Row],[UnitCost]]*OrderLines[[#This Row],[Qty]]</f>
        <v>224.16</v>
      </c>
      <c r="Q641" s="8">
        <f>OrderLines[[#This Row],[LineNetAmount]]-OrderLines[[#This Row],[Food Cost]]</f>
        <v>248.33279999999999</v>
      </c>
    </row>
    <row r="642" spans="1:17" x14ac:dyDescent="0.3">
      <c r="A642" t="s">
        <v>288</v>
      </c>
      <c r="B642" t="s">
        <v>416</v>
      </c>
      <c r="C642">
        <v>3</v>
      </c>
      <c r="D642" cm="1">
        <f t="array" ref="D642">VLOOKUP(OrderLines[[#This Row],[SKU]:[SKU]],Menu[],MATCH(OrderLines[[#Headers],[UnitPrice]],Menu[#Headers],0),FALSE)</f>
        <v>227.61</v>
      </c>
      <c r="E642" cm="1">
        <f t="array" ref="E642">VLOOKUP(OrderLines[[#This Row],[SKU]:[SKU]],Menu[],MATCH(OrderLines[[#Headers],[UnitCost]],Menu[#Headers],0),FALSE)</f>
        <v>96.22</v>
      </c>
      <c r="F642" t="str" cm="1">
        <f t="array" ref="F642">VLOOKUP(OrderLines[[#This Row],[SKU]:[SKU]],Menu[],MATCH(OrderLines[[#Headers],[Category]],Menu[#Headers],0),FALSE)</f>
        <v>Hot Meal</v>
      </c>
      <c r="G642" t="str" cm="1">
        <f t="array" ref="G642">_xlfn.TEXTJOIN("+",TRUE,_xlfn._xlws.SORT(_xlfn.UNIQUE(_xlfn._xlws.FILTER(OrderLines[Category],OrderLines[OrderID]=OrderLines[[#This Row],[OrderID]]))))</f>
        <v>Hot Meal+Snack</v>
      </c>
      <c r="H642" s="2" cm="1">
        <f t="array" ref="H642">INT(VLOOKUP(OrderLines[[#This Row],[OrderID]:[OrderID]],Orders[],MATCH(OrderLines[[#Headers],[OrderDateTime]],Orders[#Headers],0),FALSE))</f>
        <v>45867</v>
      </c>
      <c r="I642" t="str" cm="1">
        <f t="array" ref="I642">VLOOKUP(OrderLines[[#This Row],[OrderID]:[OrderID]],Orders[],MATCH(OrderLines[[#Headers],[Branch]],Orders[#Headers],0),FALSE)</f>
        <v>Head Office Café</v>
      </c>
      <c r="J642" cm="1">
        <f t="array" ref="J642">VLOOKUP(OrderLines[[#This Row],[OrderID]:[OrderID]],Orders[],MATCH(OrderLines[[#Headers],[DiscountPct]],Orders[#Headers],0),FALSE)</f>
        <v>0.04</v>
      </c>
      <c r="K642" t="str" cm="1">
        <f t="array" ref="K642">VLOOKUP(OrderLines[[#This Row],[OrderID]:[OrderID]],Orders[],MATCH(OrderLines[[#Headers],[PaymentType]],Orders[#Headers],0),FALSE)</f>
        <v>Card</v>
      </c>
      <c r="L642" t="str" cm="1">
        <f t="array" ref="L642">VLOOKUP(OrderLines[[#This Row],[OrderID]:[OrderID]],Orders[],MATCH(OrderLines[[#Headers],[Shift]],Orders[#Headers],0),FALSE)</f>
        <v>Breakfast</v>
      </c>
      <c r="M642" s="8">
        <f>(OrderLines[[#This Row],[Qty]]*OrderLines[[#This Row],[UnitPrice]])*(1-OrderLines[[#This Row],[DiscountPct]])</f>
        <v>655.51679999999999</v>
      </c>
      <c r="N642" t="str">
        <f>IF(AND(COUNTIFS(OrderLines[OrderID],OrderLines[[#This Row],[OrderID]],OrderLines[Category],"Hot Meal"),COUNTIFS(OrderLines[OrderID],OrderLines[[#This Row],[OrderID]],OrderLines[Category],"Beverage")),"Combo","Single")</f>
        <v>Single</v>
      </c>
      <c r="O642" s="8" t="str" cm="1">
        <f t="array" ref="O642">IF(SUMPRODUCT(OrderLines[UnitPrice],OrderLines[Qty],OrderLines[DiscountPct],--(OrderLines[OrderID] = OrderLines[[#This Row],[OrderID]]))&gt;40,"High Discount","Ok")</f>
        <v>High Discount</v>
      </c>
      <c r="P642">
        <f>OrderLines[[#This Row],[UnitCost]]*OrderLines[[#This Row],[Qty]]</f>
        <v>288.65999999999997</v>
      </c>
      <c r="Q642" s="8">
        <f>OrderLines[[#This Row],[LineNetAmount]]-OrderLines[[#This Row],[Food Cost]]</f>
        <v>366.85680000000002</v>
      </c>
    </row>
    <row r="643" spans="1:17" x14ac:dyDescent="0.3">
      <c r="A643" t="s">
        <v>288</v>
      </c>
      <c r="B643" t="s">
        <v>419</v>
      </c>
      <c r="C643">
        <v>1</v>
      </c>
      <c r="D643" cm="1">
        <f t="array" ref="D643">VLOOKUP(OrderLines[[#This Row],[SKU]:[SKU]],Menu[],MATCH(OrderLines[[#Headers],[UnitPrice]],Menu[#Headers],0),FALSE)</f>
        <v>50.19</v>
      </c>
      <c r="E643" cm="1">
        <f t="array" ref="E643">VLOOKUP(OrderLines[[#This Row],[SKU]:[SKU]],Menu[],MATCH(OrderLines[[#Headers],[UnitCost]],Menu[#Headers],0),FALSE)</f>
        <v>22.61</v>
      </c>
      <c r="F643" t="str" cm="1">
        <f t="array" ref="F643">VLOOKUP(OrderLines[[#This Row],[SKU]:[SKU]],Menu[],MATCH(OrderLines[[#Headers],[Category]],Menu[#Headers],0),FALSE)</f>
        <v>Snack</v>
      </c>
      <c r="G643" t="str" cm="1">
        <f t="array" ref="G643">_xlfn.TEXTJOIN("+",TRUE,_xlfn._xlws.SORT(_xlfn.UNIQUE(_xlfn._xlws.FILTER(OrderLines[Category],OrderLines[OrderID]=OrderLines[[#This Row],[OrderID]]))))</f>
        <v>Hot Meal+Snack</v>
      </c>
      <c r="H643" s="2" cm="1">
        <f t="array" ref="H643">INT(VLOOKUP(OrderLines[[#This Row],[OrderID]:[OrderID]],Orders[],MATCH(OrderLines[[#Headers],[OrderDateTime]],Orders[#Headers],0),FALSE))</f>
        <v>45867</v>
      </c>
      <c r="I643" t="str" cm="1">
        <f t="array" ref="I643">VLOOKUP(OrderLines[[#This Row],[OrderID]:[OrderID]],Orders[],MATCH(OrderLines[[#Headers],[Branch]],Orders[#Headers],0),FALSE)</f>
        <v>Head Office Café</v>
      </c>
      <c r="J643" cm="1">
        <f t="array" ref="J643">VLOOKUP(OrderLines[[#This Row],[OrderID]:[OrderID]],Orders[],MATCH(OrderLines[[#Headers],[DiscountPct]],Orders[#Headers],0),FALSE)</f>
        <v>0.04</v>
      </c>
      <c r="K643" t="str" cm="1">
        <f t="array" ref="K643">VLOOKUP(OrderLines[[#This Row],[OrderID]:[OrderID]],Orders[],MATCH(OrderLines[[#Headers],[PaymentType]],Orders[#Headers],0),FALSE)</f>
        <v>Card</v>
      </c>
      <c r="L643" t="str" cm="1">
        <f t="array" ref="L643">VLOOKUP(OrderLines[[#This Row],[OrderID]:[OrderID]],Orders[],MATCH(OrderLines[[#Headers],[Shift]],Orders[#Headers],0),FALSE)</f>
        <v>Breakfast</v>
      </c>
      <c r="M643" s="8">
        <f>(OrderLines[[#This Row],[Qty]]*OrderLines[[#This Row],[UnitPrice]])*(1-OrderLines[[#This Row],[DiscountPct]])</f>
        <v>48.182399999999994</v>
      </c>
      <c r="N643" t="str">
        <f>IF(AND(COUNTIFS(OrderLines[OrderID],OrderLines[[#This Row],[OrderID]],OrderLines[Category],"Hot Meal"),COUNTIFS(OrderLines[OrderID],OrderLines[[#This Row],[OrderID]],OrderLines[Category],"Beverage")),"Combo","Single")</f>
        <v>Single</v>
      </c>
      <c r="O643" s="8" t="str" cm="1">
        <f t="array" ref="O643">IF(SUMPRODUCT(OrderLines[UnitPrice],OrderLines[Qty],OrderLines[DiscountPct],--(OrderLines[OrderID] = OrderLines[[#This Row],[OrderID]]))&gt;40,"High Discount","Ok")</f>
        <v>High Discount</v>
      </c>
      <c r="P643">
        <f>OrderLines[[#This Row],[UnitCost]]*OrderLines[[#This Row],[Qty]]</f>
        <v>22.61</v>
      </c>
      <c r="Q643" s="8">
        <f>OrderLines[[#This Row],[LineNetAmount]]-OrderLines[[#This Row],[Food Cost]]</f>
        <v>25.572399999999995</v>
      </c>
    </row>
    <row r="644" spans="1:17" x14ac:dyDescent="0.3">
      <c r="A644" t="s">
        <v>288</v>
      </c>
      <c r="B644" t="s">
        <v>417</v>
      </c>
      <c r="C644">
        <v>2</v>
      </c>
      <c r="D644" cm="1">
        <f t="array" ref="D644">VLOOKUP(OrderLines[[#This Row],[SKU]:[SKU]],Menu[],MATCH(OrderLines[[#Headers],[UnitPrice]],Menu[#Headers],0),FALSE)</f>
        <v>146.4</v>
      </c>
      <c r="E644" cm="1">
        <f t="array" ref="E644">VLOOKUP(OrderLines[[#This Row],[SKU]:[SKU]],Menu[],MATCH(OrderLines[[#Headers],[UnitCost]],Menu[#Headers],0),FALSE)</f>
        <v>80.92</v>
      </c>
      <c r="F644" t="str" cm="1">
        <f t="array" ref="F644">VLOOKUP(OrderLines[[#This Row],[SKU]:[SKU]],Menu[],MATCH(OrderLines[[#Headers],[Category]],Menu[#Headers],0),FALSE)</f>
        <v>Hot Meal</v>
      </c>
      <c r="G644" t="str" cm="1">
        <f t="array" ref="G644">_xlfn.TEXTJOIN("+",TRUE,_xlfn._xlws.SORT(_xlfn.UNIQUE(_xlfn._xlws.FILTER(OrderLines[Category],OrderLines[OrderID]=OrderLines[[#This Row],[OrderID]]))))</f>
        <v>Hot Meal+Snack</v>
      </c>
      <c r="H644" s="2" cm="1">
        <f t="array" ref="H644">INT(VLOOKUP(OrderLines[[#This Row],[OrderID]:[OrderID]],Orders[],MATCH(OrderLines[[#Headers],[OrderDateTime]],Orders[#Headers],0),FALSE))</f>
        <v>45867</v>
      </c>
      <c r="I644" t="str" cm="1">
        <f t="array" ref="I644">VLOOKUP(OrderLines[[#This Row],[OrderID]:[OrderID]],Orders[],MATCH(OrderLines[[#Headers],[Branch]],Orders[#Headers],0),FALSE)</f>
        <v>Head Office Café</v>
      </c>
      <c r="J644" cm="1">
        <f t="array" ref="J644">VLOOKUP(OrderLines[[#This Row],[OrderID]:[OrderID]],Orders[],MATCH(OrderLines[[#Headers],[DiscountPct]],Orders[#Headers],0),FALSE)</f>
        <v>0.04</v>
      </c>
      <c r="K644" t="str" cm="1">
        <f t="array" ref="K644">VLOOKUP(OrderLines[[#This Row],[OrderID]:[OrderID]],Orders[],MATCH(OrderLines[[#Headers],[PaymentType]],Orders[#Headers],0),FALSE)</f>
        <v>Card</v>
      </c>
      <c r="L644" t="str" cm="1">
        <f t="array" ref="L644">VLOOKUP(OrderLines[[#This Row],[OrderID]:[OrderID]],Orders[],MATCH(OrderLines[[#Headers],[Shift]],Orders[#Headers],0),FALSE)</f>
        <v>Breakfast</v>
      </c>
      <c r="M644" s="8">
        <f>(OrderLines[[#This Row],[Qty]]*OrderLines[[#This Row],[UnitPrice]])*(1-OrderLines[[#This Row],[DiscountPct]])</f>
        <v>281.08800000000002</v>
      </c>
      <c r="N644" t="str">
        <f>IF(AND(COUNTIFS(OrderLines[OrderID],OrderLines[[#This Row],[OrderID]],OrderLines[Category],"Hot Meal"),COUNTIFS(OrderLines[OrderID],OrderLines[[#This Row],[OrderID]],OrderLines[Category],"Beverage")),"Combo","Single")</f>
        <v>Single</v>
      </c>
      <c r="O644" s="8" t="str" cm="1">
        <f t="array" ref="O644">IF(SUMPRODUCT(OrderLines[UnitPrice],OrderLines[Qty],OrderLines[DiscountPct],--(OrderLines[OrderID] = OrderLines[[#This Row],[OrderID]]))&gt;40,"High Discount","Ok")</f>
        <v>High Discount</v>
      </c>
      <c r="P644">
        <f>OrderLines[[#This Row],[UnitCost]]*OrderLines[[#This Row],[Qty]]</f>
        <v>161.84</v>
      </c>
      <c r="Q644" s="8">
        <f>OrderLines[[#This Row],[LineNetAmount]]-OrderLines[[#This Row],[Food Cost]]</f>
        <v>119.24800000000002</v>
      </c>
    </row>
    <row r="645" spans="1:17" x14ac:dyDescent="0.3">
      <c r="A645" t="s">
        <v>288</v>
      </c>
      <c r="B645" t="s">
        <v>415</v>
      </c>
      <c r="C645">
        <v>2</v>
      </c>
      <c r="D645" cm="1">
        <f t="array" ref="D645">VLOOKUP(OrderLines[[#This Row],[SKU]:[SKU]],Menu[],MATCH(OrderLines[[#Headers],[UnitPrice]],Menu[#Headers],0),FALSE)</f>
        <v>256.91000000000003</v>
      </c>
      <c r="E645" cm="1">
        <f t="array" ref="E645">VLOOKUP(OrderLines[[#This Row],[SKU]:[SKU]],Menu[],MATCH(OrderLines[[#Headers],[UnitCost]],Menu[#Headers],0),FALSE)</f>
        <v>121.24</v>
      </c>
      <c r="F645" t="str" cm="1">
        <f t="array" ref="F645">VLOOKUP(OrderLines[[#This Row],[SKU]:[SKU]],Menu[],MATCH(OrderLines[[#Headers],[Category]],Menu[#Headers],0),FALSE)</f>
        <v>Hot Meal</v>
      </c>
      <c r="G645" t="str" cm="1">
        <f t="array" ref="G645">_xlfn.TEXTJOIN("+",TRUE,_xlfn._xlws.SORT(_xlfn.UNIQUE(_xlfn._xlws.FILTER(OrderLines[Category],OrderLines[OrderID]=OrderLines[[#This Row],[OrderID]]))))</f>
        <v>Hot Meal+Snack</v>
      </c>
      <c r="H645" s="2" cm="1">
        <f t="array" ref="H645">INT(VLOOKUP(OrderLines[[#This Row],[OrderID]:[OrderID]],Orders[],MATCH(OrderLines[[#Headers],[OrderDateTime]],Orders[#Headers],0),FALSE))</f>
        <v>45867</v>
      </c>
      <c r="I645" t="str" cm="1">
        <f t="array" ref="I645">VLOOKUP(OrderLines[[#This Row],[OrderID]:[OrderID]],Orders[],MATCH(OrderLines[[#Headers],[Branch]],Orders[#Headers],0),FALSE)</f>
        <v>Head Office Café</v>
      </c>
      <c r="J645" cm="1">
        <f t="array" ref="J645">VLOOKUP(OrderLines[[#This Row],[OrderID]:[OrderID]],Orders[],MATCH(OrderLines[[#Headers],[DiscountPct]],Orders[#Headers],0),FALSE)</f>
        <v>0.04</v>
      </c>
      <c r="K645" t="str" cm="1">
        <f t="array" ref="K645">VLOOKUP(OrderLines[[#This Row],[OrderID]:[OrderID]],Orders[],MATCH(OrderLines[[#Headers],[PaymentType]],Orders[#Headers],0),FALSE)</f>
        <v>Card</v>
      </c>
      <c r="L645" t="str" cm="1">
        <f t="array" ref="L645">VLOOKUP(OrderLines[[#This Row],[OrderID]:[OrderID]],Orders[],MATCH(OrderLines[[#Headers],[Shift]],Orders[#Headers],0),FALSE)</f>
        <v>Breakfast</v>
      </c>
      <c r="M645" s="8">
        <f>(OrderLines[[#This Row],[Qty]]*OrderLines[[#This Row],[UnitPrice]])*(1-OrderLines[[#This Row],[DiscountPct]])</f>
        <v>493.2672</v>
      </c>
      <c r="N645" t="str">
        <f>IF(AND(COUNTIFS(OrderLines[OrderID],OrderLines[[#This Row],[OrderID]],OrderLines[Category],"Hot Meal"),COUNTIFS(OrderLines[OrderID],OrderLines[[#This Row],[OrderID]],OrderLines[Category],"Beverage")),"Combo","Single")</f>
        <v>Single</v>
      </c>
      <c r="O645" s="8" t="str" cm="1">
        <f t="array" ref="O645">IF(SUMPRODUCT(OrderLines[UnitPrice],OrderLines[Qty],OrderLines[DiscountPct],--(OrderLines[OrderID] = OrderLines[[#This Row],[OrderID]]))&gt;40,"High Discount","Ok")</f>
        <v>High Discount</v>
      </c>
      <c r="P645">
        <f>OrderLines[[#This Row],[UnitCost]]*OrderLines[[#This Row],[Qty]]</f>
        <v>242.48</v>
      </c>
      <c r="Q645" s="8">
        <f>OrderLines[[#This Row],[LineNetAmount]]-OrderLines[[#This Row],[Food Cost]]</f>
        <v>250.78720000000001</v>
      </c>
    </row>
    <row r="646" spans="1:17" x14ac:dyDescent="0.3">
      <c r="A646" t="s">
        <v>289</v>
      </c>
      <c r="B646" t="s">
        <v>406</v>
      </c>
      <c r="C646">
        <v>2</v>
      </c>
      <c r="D646" cm="1">
        <f t="array" ref="D646">VLOOKUP(OrderLines[[#This Row],[SKU]:[SKU]],Menu[],MATCH(OrderLines[[#Headers],[UnitPrice]],Menu[#Headers],0),FALSE)</f>
        <v>38.06</v>
      </c>
      <c r="E646" cm="1">
        <f t="array" ref="E646">VLOOKUP(OrderLines[[#This Row],[SKU]:[SKU]],Menu[],MATCH(OrderLines[[#Headers],[UnitCost]],Menu[#Headers],0),FALSE)</f>
        <v>19.55</v>
      </c>
      <c r="F646" t="str" cm="1">
        <f t="array" ref="F646">VLOOKUP(OrderLines[[#This Row],[SKU]:[SKU]],Menu[],MATCH(OrderLines[[#Headers],[Category]],Menu[#Headers],0),FALSE)</f>
        <v>Snack</v>
      </c>
      <c r="G646" t="str" cm="1">
        <f t="array" ref="G646">_xlfn.TEXTJOIN("+",TRUE,_xlfn._xlws.SORT(_xlfn.UNIQUE(_xlfn._xlws.FILTER(OrderLines[Category],OrderLines[OrderID]=OrderLines[[#This Row],[OrderID]]))))</f>
        <v>Hot Meal+Snack</v>
      </c>
      <c r="H646" s="2" cm="1">
        <f t="array" ref="H646">INT(VLOOKUP(OrderLines[[#This Row],[OrderID]:[OrderID]],Orders[],MATCH(OrderLines[[#Headers],[OrderDateTime]],Orders[#Headers],0),FALSE))</f>
        <v>45895</v>
      </c>
      <c r="I646" t="str" cm="1">
        <f t="array" ref="I646">VLOOKUP(OrderLines[[#This Row],[OrderID]:[OrderID]],Orders[],MATCH(OrderLines[[#Headers],[Branch]],Orders[#Headers],0),FALSE)</f>
        <v>Head Office Café</v>
      </c>
      <c r="J646" cm="1">
        <f t="array" ref="J646">VLOOKUP(OrderLines[[#This Row],[OrderID]:[OrderID]],Orders[],MATCH(OrderLines[[#Headers],[DiscountPct]],Orders[#Headers],0),FALSE)</f>
        <v>0.09</v>
      </c>
      <c r="K646" t="str" cm="1">
        <f t="array" ref="K646">VLOOKUP(OrderLines[[#This Row],[OrderID]:[OrderID]],Orders[],MATCH(OrderLines[[#Headers],[PaymentType]],Orders[#Headers],0),FALSE)</f>
        <v>Cash</v>
      </c>
      <c r="L646" t="str" cm="1">
        <f t="array" ref="L646">VLOOKUP(OrderLines[[#This Row],[OrderID]:[OrderID]],Orders[],MATCH(OrderLines[[#Headers],[Shift]],Orders[#Headers],0),FALSE)</f>
        <v>Breakfast</v>
      </c>
      <c r="M646" s="8">
        <f>(OrderLines[[#This Row],[Qty]]*OrderLines[[#This Row],[UnitPrice]])*(1-OrderLines[[#This Row],[DiscountPct]])</f>
        <v>69.269200000000012</v>
      </c>
      <c r="N646" t="str">
        <f>IF(AND(COUNTIFS(OrderLines[OrderID],OrderLines[[#This Row],[OrderID]],OrderLines[Category],"Hot Meal"),COUNTIFS(OrderLines[OrderID],OrderLines[[#This Row],[OrderID]],OrderLines[Category],"Beverage")),"Combo","Single")</f>
        <v>Single</v>
      </c>
      <c r="O646" s="8" t="str" cm="1">
        <f t="array" ref="O646">IF(SUMPRODUCT(OrderLines[UnitPrice],OrderLines[Qty],OrderLines[DiscountPct],--(OrderLines[OrderID] = OrderLines[[#This Row],[OrderID]]))&gt;40,"High Discount","Ok")</f>
        <v>High Discount</v>
      </c>
      <c r="P646">
        <f>OrderLines[[#This Row],[UnitCost]]*OrderLines[[#This Row],[Qty]]</f>
        <v>39.1</v>
      </c>
      <c r="Q646" s="8">
        <f>OrderLines[[#This Row],[LineNetAmount]]-OrderLines[[#This Row],[Food Cost]]</f>
        <v>30.169200000000011</v>
      </c>
    </row>
    <row r="647" spans="1:17" x14ac:dyDescent="0.3">
      <c r="A647" t="s">
        <v>289</v>
      </c>
      <c r="B647" t="s">
        <v>415</v>
      </c>
      <c r="C647">
        <v>1</v>
      </c>
      <c r="D647" cm="1">
        <f t="array" ref="D647">VLOOKUP(OrderLines[[#This Row],[SKU]:[SKU]],Menu[],MATCH(OrderLines[[#Headers],[UnitPrice]],Menu[#Headers],0),FALSE)</f>
        <v>256.91000000000003</v>
      </c>
      <c r="E647" cm="1">
        <f t="array" ref="E647">VLOOKUP(OrderLines[[#This Row],[SKU]:[SKU]],Menu[],MATCH(OrderLines[[#Headers],[UnitCost]],Menu[#Headers],0),FALSE)</f>
        <v>121.24</v>
      </c>
      <c r="F647" t="str" cm="1">
        <f t="array" ref="F647">VLOOKUP(OrderLines[[#This Row],[SKU]:[SKU]],Menu[],MATCH(OrderLines[[#Headers],[Category]],Menu[#Headers],0),FALSE)</f>
        <v>Hot Meal</v>
      </c>
      <c r="G647" t="str" cm="1">
        <f t="array" ref="G647">_xlfn.TEXTJOIN("+",TRUE,_xlfn._xlws.SORT(_xlfn.UNIQUE(_xlfn._xlws.FILTER(OrderLines[Category],OrderLines[OrderID]=OrderLines[[#This Row],[OrderID]]))))</f>
        <v>Hot Meal+Snack</v>
      </c>
      <c r="H647" s="2" cm="1">
        <f t="array" ref="H647">INT(VLOOKUP(OrderLines[[#This Row],[OrderID]:[OrderID]],Orders[],MATCH(OrderLines[[#Headers],[OrderDateTime]],Orders[#Headers],0),FALSE))</f>
        <v>45895</v>
      </c>
      <c r="I647" t="str" cm="1">
        <f t="array" ref="I647">VLOOKUP(OrderLines[[#This Row],[OrderID]:[OrderID]],Orders[],MATCH(OrderLines[[#Headers],[Branch]],Orders[#Headers],0),FALSE)</f>
        <v>Head Office Café</v>
      </c>
      <c r="J647" cm="1">
        <f t="array" ref="J647">VLOOKUP(OrderLines[[#This Row],[OrderID]:[OrderID]],Orders[],MATCH(OrderLines[[#Headers],[DiscountPct]],Orders[#Headers],0),FALSE)</f>
        <v>0.09</v>
      </c>
      <c r="K647" t="str" cm="1">
        <f t="array" ref="K647">VLOOKUP(OrderLines[[#This Row],[OrderID]:[OrderID]],Orders[],MATCH(OrderLines[[#Headers],[PaymentType]],Orders[#Headers],0),FALSE)</f>
        <v>Cash</v>
      </c>
      <c r="L647" t="str" cm="1">
        <f t="array" ref="L647">VLOOKUP(OrderLines[[#This Row],[OrderID]:[OrderID]],Orders[],MATCH(OrderLines[[#Headers],[Shift]],Orders[#Headers],0),FALSE)</f>
        <v>Breakfast</v>
      </c>
      <c r="M647" s="8">
        <f>(OrderLines[[#This Row],[Qty]]*OrderLines[[#This Row],[UnitPrice]])*(1-OrderLines[[#This Row],[DiscountPct]])</f>
        <v>233.78810000000004</v>
      </c>
      <c r="N647" t="str">
        <f>IF(AND(COUNTIFS(OrderLines[OrderID],OrderLines[[#This Row],[OrderID]],OrderLines[Category],"Hot Meal"),COUNTIFS(OrderLines[OrderID],OrderLines[[#This Row],[OrderID]],OrderLines[Category],"Beverage")),"Combo","Single")</f>
        <v>Single</v>
      </c>
      <c r="O647" s="8" t="str" cm="1">
        <f t="array" ref="O647">IF(SUMPRODUCT(OrderLines[UnitPrice],OrderLines[Qty],OrderLines[DiscountPct],--(OrderLines[OrderID] = OrderLines[[#This Row],[OrderID]]))&gt;40,"High Discount","Ok")</f>
        <v>High Discount</v>
      </c>
      <c r="P647">
        <f>OrderLines[[#This Row],[UnitCost]]*OrderLines[[#This Row],[Qty]]</f>
        <v>121.24</v>
      </c>
      <c r="Q647" s="8">
        <f>OrderLines[[#This Row],[LineNetAmount]]-OrderLines[[#This Row],[Food Cost]]</f>
        <v>112.54810000000005</v>
      </c>
    </row>
    <row r="648" spans="1:17" x14ac:dyDescent="0.3">
      <c r="A648" t="s">
        <v>289</v>
      </c>
      <c r="B648" t="s">
        <v>416</v>
      </c>
      <c r="C648">
        <v>3</v>
      </c>
      <c r="D648" cm="1">
        <f t="array" ref="D648">VLOOKUP(OrderLines[[#This Row],[SKU]:[SKU]],Menu[],MATCH(OrderLines[[#Headers],[UnitPrice]],Menu[#Headers],0),FALSE)</f>
        <v>227.61</v>
      </c>
      <c r="E648" cm="1">
        <f t="array" ref="E648">VLOOKUP(OrderLines[[#This Row],[SKU]:[SKU]],Menu[],MATCH(OrderLines[[#Headers],[UnitCost]],Menu[#Headers],0),FALSE)</f>
        <v>96.22</v>
      </c>
      <c r="F648" t="str" cm="1">
        <f t="array" ref="F648">VLOOKUP(OrderLines[[#This Row],[SKU]:[SKU]],Menu[],MATCH(OrderLines[[#Headers],[Category]],Menu[#Headers],0),FALSE)</f>
        <v>Hot Meal</v>
      </c>
      <c r="G648" t="str" cm="1">
        <f t="array" ref="G648">_xlfn.TEXTJOIN("+",TRUE,_xlfn._xlws.SORT(_xlfn.UNIQUE(_xlfn._xlws.FILTER(OrderLines[Category],OrderLines[OrderID]=OrderLines[[#This Row],[OrderID]]))))</f>
        <v>Hot Meal+Snack</v>
      </c>
      <c r="H648" s="2" cm="1">
        <f t="array" ref="H648">INT(VLOOKUP(OrderLines[[#This Row],[OrderID]:[OrderID]],Orders[],MATCH(OrderLines[[#Headers],[OrderDateTime]],Orders[#Headers],0),FALSE))</f>
        <v>45895</v>
      </c>
      <c r="I648" t="str" cm="1">
        <f t="array" ref="I648">VLOOKUP(OrderLines[[#This Row],[OrderID]:[OrderID]],Orders[],MATCH(OrderLines[[#Headers],[Branch]],Orders[#Headers],0),FALSE)</f>
        <v>Head Office Café</v>
      </c>
      <c r="J648" cm="1">
        <f t="array" ref="J648">VLOOKUP(OrderLines[[#This Row],[OrderID]:[OrderID]],Orders[],MATCH(OrderLines[[#Headers],[DiscountPct]],Orders[#Headers],0),FALSE)</f>
        <v>0.09</v>
      </c>
      <c r="K648" t="str" cm="1">
        <f t="array" ref="K648">VLOOKUP(OrderLines[[#This Row],[OrderID]:[OrderID]],Orders[],MATCH(OrderLines[[#Headers],[PaymentType]],Orders[#Headers],0),FALSE)</f>
        <v>Cash</v>
      </c>
      <c r="L648" t="str" cm="1">
        <f t="array" ref="L648">VLOOKUP(OrderLines[[#This Row],[OrderID]:[OrderID]],Orders[],MATCH(OrderLines[[#Headers],[Shift]],Orders[#Headers],0),FALSE)</f>
        <v>Breakfast</v>
      </c>
      <c r="M648" s="8">
        <f>(OrderLines[[#This Row],[Qty]]*OrderLines[[#This Row],[UnitPrice]])*(1-OrderLines[[#This Row],[DiscountPct]])</f>
        <v>621.37530000000004</v>
      </c>
      <c r="N648" t="str">
        <f>IF(AND(COUNTIFS(OrderLines[OrderID],OrderLines[[#This Row],[OrderID]],OrderLines[Category],"Hot Meal"),COUNTIFS(OrderLines[OrderID],OrderLines[[#This Row],[OrderID]],OrderLines[Category],"Beverage")),"Combo","Single")</f>
        <v>Single</v>
      </c>
      <c r="O648" s="8" t="str" cm="1">
        <f t="array" ref="O648">IF(SUMPRODUCT(OrderLines[UnitPrice],OrderLines[Qty],OrderLines[DiscountPct],--(OrderLines[OrderID] = OrderLines[[#This Row],[OrderID]]))&gt;40,"High Discount","Ok")</f>
        <v>High Discount</v>
      </c>
      <c r="P648">
        <f>OrderLines[[#This Row],[UnitCost]]*OrderLines[[#This Row],[Qty]]</f>
        <v>288.65999999999997</v>
      </c>
      <c r="Q648" s="8">
        <f>OrderLines[[#This Row],[LineNetAmount]]-OrderLines[[#This Row],[Food Cost]]</f>
        <v>332.71530000000007</v>
      </c>
    </row>
    <row r="649" spans="1:17" x14ac:dyDescent="0.3">
      <c r="A649" t="s">
        <v>290</v>
      </c>
      <c r="B649" t="s">
        <v>416</v>
      </c>
      <c r="C649">
        <v>1</v>
      </c>
      <c r="D649" cm="1">
        <f t="array" ref="D649">VLOOKUP(OrderLines[[#This Row],[SKU]:[SKU]],Menu[],MATCH(OrderLines[[#Headers],[UnitPrice]],Menu[#Headers],0),FALSE)</f>
        <v>227.61</v>
      </c>
      <c r="E649" cm="1">
        <f t="array" ref="E649">VLOOKUP(OrderLines[[#This Row],[SKU]:[SKU]],Menu[],MATCH(OrderLines[[#Headers],[UnitCost]],Menu[#Headers],0),FALSE)</f>
        <v>96.22</v>
      </c>
      <c r="F649" t="str" cm="1">
        <f t="array" ref="F649">VLOOKUP(OrderLines[[#This Row],[SKU]:[SKU]],Menu[],MATCH(OrderLines[[#Headers],[Category]],Menu[#Headers],0),FALSE)</f>
        <v>Hot Meal</v>
      </c>
      <c r="G649" t="str" cm="1">
        <f t="array" ref="G649">_xlfn.TEXTJOIN("+",TRUE,_xlfn._xlws.SORT(_xlfn.UNIQUE(_xlfn._xlws.FILTER(OrderLines[Category],OrderLines[OrderID]=OrderLines[[#This Row],[OrderID]]))))</f>
        <v>Hot Meal+Snack</v>
      </c>
      <c r="H649" s="2" cm="1">
        <f t="array" ref="H649">INT(VLOOKUP(OrderLines[[#This Row],[OrderID]:[OrderID]],Orders[],MATCH(OrderLines[[#Headers],[OrderDateTime]],Orders[#Headers],0),FALSE))</f>
        <v>45861</v>
      </c>
      <c r="I649" t="str" cm="1">
        <f t="array" ref="I649">VLOOKUP(OrderLines[[#This Row],[OrderID]:[OrderID]],Orders[],MATCH(OrderLines[[#Headers],[Branch]],Orders[#Headers],0),FALSE)</f>
        <v>Plant 1 Canteen</v>
      </c>
      <c r="J649" cm="1">
        <f t="array" ref="J649">VLOOKUP(OrderLines[[#This Row],[OrderID]:[OrderID]],Orders[],MATCH(OrderLines[[#Headers],[DiscountPct]],Orders[#Headers],0),FALSE)</f>
        <v>7.0000000000000007E-2</v>
      </c>
      <c r="K649" t="str" cm="1">
        <f t="array" ref="K649">VLOOKUP(OrderLines[[#This Row],[OrderID]:[OrderID]],Orders[],MATCH(OrderLines[[#Headers],[PaymentType]],Orders[#Headers],0),FALSE)</f>
        <v>UPI</v>
      </c>
      <c r="L649" t="str" cm="1">
        <f t="array" ref="L649">VLOOKUP(OrderLines[[#This Row],[OrderID]:[OrderID]],Orders[],MATCH(OrderLines[[#Headers],[Shift]],Orders[#Headers],0),FALSE)</f>
        <v>Breakfast</v>
      </c>
      <c r="M649" s="8">
        <f>(OrderLines[[#This Row],[Qty]]*OrderLines[[#This Row],[UnitPrice]])*(1-OrderLines[[#This Row],[DiscountPct]])</f>
        <v>211.6773</v>
      </c>
      <c r="N649" t="str">
        <f>IF(AND(COUNTIFS(OrderLines[OrderID],OrderLines[[#This Row],[OrderID]],OrderLines[Category],"Hot Meal"),COUNTIFS(OrderLines[OrderID],OrderLines[[#This Row],[OrderID]],OrderLines[Category],"Beverage")),"Combo","Single")</f>
        <v>Single</v>
      </c>
      <c r="O649" s="8" t="str" cm="1">
        <f t="array" ref="O649">IF(SUMPRODUCT(OrderLines[UnitPrice],OrderLines[Qty],OrderLines[DiscountPct],--(OrderLines[OrderID] = OrderLines[[#This Row],[OrderID]]))&gt;40,"High Discount","Ok")</f>
        <v>Ok</v>
      </c>
      <c r="P649">
        <f>OrderLines[[#This Row],[UnitCost]]*OrderLines[[#This Row],[Qty]]</f>
        <v>96.22</v>
      </c>
      <c r="Q649" s="8">
        <f>OrderLines[[#This Row],[LineNetAmount]]-OrderLines[[#This Row],[Food Cost]]</f>
        <v>115.4573</v>
      </c>
    </row>
    <row r="650" spans="1:17" x14ac:dyDescent="0.3">
      <c r="A650" t="s">
        <v>290</v>
      </c>
      <c r="B650" t="s">
        <v>401</v>
      </c>
      <c r="C650">
        <v>1</v>
      </c>
      <c r="D650" cm="1">
        <f t="array" ref="D650">VLOOKUP(OrderLines[[#This Row],[SKU]:[SKU]],Menu[],MATCH(OrderLines[[#Headers],[UnitPrice]],Menu[#Headers],0),FALSE)</f>
        <v>52.45</v>
      </c>
      <c r="E650" cm="1">
        <f t="array" ref="E650">VLOOKUP(OrderLines[[#This Row],[SKU]:[SKU]],Menu[],MATCH(OrderLines[[#Headers],[UnitCost]],Menu[#Headers],0),FALSE)</f>
        <v>25.8</v>
      </c>
      <c r="F650" t="str" cm="1">
        <f t="array" ref="F650">VLOOKUP(OrderLines[[#This Row],[SKU]:[SKU]],Menu[],MATCH(OrderLines[[#Headers],[Category]],Menu[#Headers],0),FALSE)</f>
        <v>Snack</v>
      </c>
      <c r="G650" t="str" cm="1">
        <f t="array" ref="G650">_xlfn.TEXTJOIN("+",TRUE,_xlfn._xlws.SORT(_xlfn.UNIQUE(_xlfn._xlws.FILTER(OrderLines[Category],OrderLines[OrderID]=OrderLines[[#This Row],[OrderID]]))))</f>
        <v>Hot Meal+Snack</v>
      </c>
      <c r="H650" s="2" cm="1">
        <f t="array" ref="H650">INT(VLOOKUP(OrderLines[[#This Row],[OrderID]:[OrderID]],Orders[],MATCH(OrderLines[[#Headers],[OrderDateTime]],Orders[#Headers],0),FALSE))</f>
        <v>45861</v>
      </c>
      <c r="I650" t="str" cm="1">
        <f t="array" ref="I650">VLOOKUP(OrderLines[[#This Row],[OrderID]:[OrderID]],Orders[],MATCH(OrderLines[[#Headers],[Branch]],Orders[#Headers],0),FALSE)</f>
        <v>Plant 1 Canteen</v>
      </c>
      <c r="J650" cm="1">
        <f t="array" ref="J650">VLOOKUP(OrderLines[[#This Row],[OrderID]:[OrderID]],Orders[],MATCH(OrderLines[[#Headers],[DiscountPct]],Orders[#Headers],0),FALSE)</f>
        <v>7.0000000000000007E-2</v>
      </c>
      <c r="K650" t="str" cm="1">
        <f t="array" ref="K650">VLOOKUP(OrderLines[[#This Row],[OrderID]:[OrderID]],Orders[],MATCH(OrderLines[[#Headers],[PaymentType]],Orders[#Headers],0),FALSE)</f>
        <v>UPI</v>
      </c>
      <c r="L650" t="str" cm="1">
        <f t="array" ref="L650">VLOOKUP(OrderLines[[#This Row],[OrderID]:[OrderID]],Orders[],MATCH(OrderLines[[#Headers],[Shift]],Orders[#Headers],0),FALSE)</f>
        <v>Breakfast</v>
      </c>
      <c r="M650" s="8">
        <f>(OrderLines[[#This Row],[Qty]]*OrderLines[[#This Row],[UnitPrice]])*(1-OrderLines[[#This Row],[DiscountPct]])</f>
        <v>48.778500000000001</v>
      </c>
      <c r="N650" t="str">
        <f>IF(AND(COUNTIFS(OrderLines[OrderID],OrderLines[[#This Row],[OrderID]],OrderLines[Category],"Hot Meal"),COUNTIFS(OrderLines[OrderID],OrderLines[[#This Row],[OrderID]],OrderLines[Category],"Beverage")),"Combo","Single")</f>
        <v>Single</v>
      </c>
      <c r="O650" s="8" t="str" cm="1">
        <f t="array" ref="O650">IF(SUMPRODUCT(OrderLines[UnitPrice],OrderLines[Qty],OrderLines[DiscountPct],--(OrderLines[OrderID] = OrderLines[[#This Row],[OrderID]]))&gt;40,"High Discount","Ok")</f>
        <v>Ok</v>
      </c>
      <c r="P650">
        <f>OrderLines[[#This Row],[UnitCost]]*OrderLines[[#This Row],[Qty]]</f>
        <v>25.8</v>
      </c>
      <c r="Q650" s="8">
        <f>OrderLines[[#This Row],[LineNetAmount]]-OrderLines[[#This Row],[Food Cost]]</f>
        <v>22.9785</v>
      </c>
    </row>
    <row r="651" spans="1:17" x14ac:dyDescent="0.3">
      <c r="A651" t="s">
        <v>291</v>
      </c>
      <c r="B651" t="s">
        <v>408</v>
      </c>
      <c r="C651">
        <v>2</v>
      </c>
      <c r="D651" cm="1">
        <f t="array" ref="D651">VLOOKUP(OrderLines[[#This Row],[SKU]:[SKU]],Menu[],MATCH(OrderLines[[#Headers],[UnitPrice]],Menu[#Headers],0),FALSE)</f>
        <v>70.540000000000006</v>
      </c>
      <c r="E651" cm="1">
        <f t="array" ref="E651">VLOOKUP(OrderLines[[#This Row],[SKU]:[SKU]],Menu[],MATCH(OrderLines[[#Headers],[UnitCost]],Menu[#Headers],0),FALSE)</f>
        <v>35.81</v>
      </c>
      <c r="F651" t="str" cm="1">
        <f t="array" ref="F651">VLOOKUP(OrderLines[[#This Row],[SKU]:[SKU]],Menu[],MATCH(OrderLines[[#Headers],[Category]],Menu[#Headers],0),FALSE)</f>
        <v>Snack</v>
      </c>
      <c r="G651" t="str" cm="1">
        <f t="array" ref="G651">_xlfn.TEXTJOIN("+",TRUE,_xlfn._xlws.SORT(_xlfn.UNIQUE(_xlfn._xlws.FILTER(OrderLines[Category],OrderLines[OrderID]=OrderLines[[#This Row],[OrderID]]))))</f>
        <v>Beverage+Hot Meal+Snack</v>
      </c>
      <c r="H651" s="2" cm="1">
        <f t="array" ref="H651">INT(VLOOKUP(OrderLines[[#This Row],[OrderID]:[OrderID]],Orders[],MATCH(OrderLines[[#Headers],[OrderDateTime]],Orders[#Headers],0),FALSE))</f>
        <v>45850</v>
      </c>
      <c r="I651" t="str" cm="1">
        <f t="array" ref="I651">VLOOKUP(OrderLines[[#This Row],[OrderID]:[OrderID]],Orders[],MATCH(OrderLines[[#Headers],[Branch]],Orders[#Headers],0),FALSE)</f>
        <v>Plant 2 Canteen</v>
      </c>
      <c r="J651" cm="1">
        <f t="array" ref="J651">VLOOKUP(OrderLines[[#This Row],[OrderID]:[OrderID]],Orders[],MATCH(OrderLines[[#Headers],[DiscountPct]],Orders[#Headers],0),FALSE)</f>
        <v>0.03</v>
      </c>
      <c r="K651" t="str" cm="1">
        <f t="array" ref="K651">VLOOKUP(OrderLines[[#This Row],[OrderID]:[OrderID]],Orders[],MATCH(OrderLines[[#Headers],[PaymentType]],Orders[#Headers],0),FALSE)</f>
        <v>Cash</v>
      </c>
      <c r="L651" t="str" cm="1">
        <f t="array" ref="L651">VLOOKUP(OrderLines[[#This Row],[OrderID]:[OrderID]],Orders[],MATCH(OrderLines[[#Headers],[Shift]],Orders[#Headers],0),FALSE)</f>
        <v>Breakfast</v>
      </c>
      <c r="M651" s="8">
        <f>(OrderLines[[#This Row],[Qty]]*OrderLines[[#This Row],[UnitPrice]])*(1-OrderLines[[#This Row],[DiscountPct]])</f>
        <v>136.8476</v>
      </c>
      <c r="N651" t="str">
        <f>IF(AND(COUNTIFS(OrderLines[OrderID],OrderLines[[#This Row],[OrderID]],OrderLines[Category],"Hot Meal"),COUNTIFS(OrderLines[OrderID],OrderLines[[#This Row],[OrderID]],OrderLines[Category],"Beverage")),"Combo","Single")</f>
        <v>Combo</v>
      </c>
      <c r="O651" s="8" t="str" cm="1">
        <f t="array" ref="O651">IF(SUMPRODUCT(OrderLines[UnitPrice],OrderLines[Qty],OrderLines[DiscountPct],--(OrderLines[OrderID] = OrderLines[[#This Row],[OrderID]]))&gt;40,"High Discount","Ok")</f>
        <v>Ok</v>
      </c>
      <c r="P651">
        <f>OrderLines[[#This Row],[UnitCost]]*OrderLines[[#This Row],[Qty]]</f>
        <v>71.62</v>
      </c>
      <c r="Q651" s="8">
        <f>OrderLines[[#This Row],[LineNetAmount]]-OrderLines[[#This Row],[Food Cost]]</f>
        <v>65.227599999999995</v>
      </c>
    </row>
    <row r="652" spans="1:17" x14ac:dyDescent="0.3">
      <c r="A652" t="s">
        <v>291</v>
      </c>
      <c r="B652" t="s">
        <v>406</v>
      </c>
      <c r="C652">
        <v>2</v>
      </c>
      <c r="D652" cm="1">
        <f t="array" ref="D652">VLOOKUP(OrderLines[[#This Row],[SKU]:[SKU]],Menu[],MATCH(OrderLines[[#Headers],[UnitPrice]],Menu[#Headers],0),FALSE)</f>
        <v>38.06</v>
      </c>
      <c r="E652" cm="1">
        <f t="array" ref="E652">VLOOKUP(OrderLines[[#This Row],[SKU]:[SKU]],Menu[],MATCH(OrderLines[[#Headers],[UnitCost]],Menu[#Headers],0),FALSE)</f>
        <v>19.55</v>
      </c>
      <c r="F652" t="str" cm="1">
        <f t="array" ref="F652">VLOOKUP(OrderLines[[#This Row],[SKU]:[SKU]],Menu[],MATCH(OrderLines[[#Headers],[Category]],Menu[#Headers],0),FALSE)</f>
        <v>Snack</v>
      </c>
      <c r="G652" t="str" cm="1">
        <f t="array" ref="G652">_xlfn.TEXTJOIN("+",TRUE,_xlfn._xlws.SORT(_xlfn.UNIQUE(_xlfn._xlws.FILTER(OrderLines[Category],OrderLines[OrderID]=OrderLines[[#This Row],[OrderID]]))))</f>
        <v>Beverage+Hot Meal+Snack</v>
      </c>
      <c r="H652" s="2" cm="1">
        <f t="array" ref="H652">INT(VLOOKUP(OrderLines[[#This Row],[OrderID]:[OrderID]],Orders[],MATCH(OrderLines[[#Headers],[OrderDateTime]],Orders[#Headers],0),FALSE))</f>
        <v>45850</v>
      </c>
      <c r="I652" t="str" cm="1">
        <f t="array" ref="I652">VLOOKUP(OrderLines[[#This Row],[OrderID]:[OrderID]],Orders[],MATCH(OrderLines[[#Headers],[Branch]],Orders[#Headers],0),FALSE)</f>
        <v>Plant 2 Canteen</v>
      </c>
      <c r="J652" cm="1">
        <f t="array" ref="J652">VLOOKUP(OrderLines[[#This Row],[OrderID]:[OrderID]],Orders[],MATCH(OrderLines[[#Headers],[DiscountPct]],Orders[#Headers],0),FALSE)</f>
        <v>0.03</v>
      </c>
      <c r="K652" t="str" cm="1">
        <f t="array" ref="K652">VLOOKUP(OrderLines[[#This Row],[OrderID]:[OrderID]],Orders[],MATCH(OrderLines[[#Headers],[PaymentType]],Orders[#Headers],0),FALSE)</f>
        <v>Cash</v>
      </c>
      <c r="L652" t="str" cm="1">
        <f t="array" ref="L652">VLOOKUP(OrderLines[[#This Row],[OrderID]:[OrderID]],Orders[],MATCH(OrderLines[[#Headers],[Shift]],Orders[#Headers],0),FALSE)</f>
        <v>Breakfast</v>
      </c>
      <c r="M652" s="8">
        <f>(OrderLines[[#This Row],[Qty]]*OrderLines[[#This Row],[UnitPrice]])*(1-OrderLines[[#This Row],[DiscountPct]])</f>
        <v>73.836399999999998</v>
      </c>
      <c r="N652" t="str">
        <f>IF(AND(COUNTIFS(OrderLines[OrderID],OrderLines[[#This Row],[OrderID]],OrderLines[Category],"Hot Meal"),COUNTIFS(OrderLines[OrderID],OrderLines[[#This Row],[OrderID]],OrderLines[Category],"Beverage")),"Combo","Single")</f>
        <v>Combo</v>
      </c>
      <c r="O652" s="8" t="str" cm="1">
        <f t="array" ref="O652">IF(SUMPRODUCT(OrderLines[UnitPrice],OrderLines[Qty],OrderLines[DiscountPct],--(OrderLines[OrderID] = OrderLines[[#This Row],[OrderID]]))&gt;40,"High Discount","Ok")</f>
        <v>Ok</v>
      </c>
      <c r="P652">
        <f>OrderLines[[#This Row],[UnitCost]]*OrderLines[[#This Row],[Qty]]</f>
        <v>39.1</v>
      </c>
      <c r="Q652" s="8">
        <f>OrderLines[[#This Row],[LineNetAmount]]-OrderLines[[#This Row],[Food Cost]]</f>
        <v>34.736399999999996</v>
      </c>
    </row>
    <row r="653" spans="1:17" x14ac:dyDescent="0.3">
      <c r="A653" t="s">
        <v>291</v>
      </c>
      <c r="B653" t="s">
        <v>411</v>
      </c>
      <c r="C653">
        <v>2</v>
      </c>
      <c r="D653" cm="1">
        <f t="array" ref="D653">VLOOKUP(OrderLines[[#This Row],[SKU]:[SKU]],Menu[],MATCH(OrderLines[[#Headers],[UnitPrice]],Menu[#Headers],0),FALSE)</f>
        <v>22.2</v>
      </c>
      <c r="E653" cm="1">
        <f t="array" ref="E653">VLOOKUP(OrderLines[[#This Row],[SKU]:[SKU]],Menu[],MATCH(OrderLines[[#Headers],[UnitCost]],Menu[#Headers],0),FALSE)</f>
        <v>9.3800000000000008</v>
      </c>
      <c r="F653" t="str" cm="1">
        <f t="array" ref="F653">VLOOKUP(OrderLines[[#This Row],[SKU]:[SKU]],Menu[],MATCH(OrderLines[[#Headers],[Category]],Menu[#Headers],0),FALSE)</f>
        <v>Beverage</v>
      </c>
      <c r="G653" t="str" cm="1">
        <f t="array" ref="G653">_xlfn.TEXTJOIN("+",TRUE,_xlfn._xlws.SORT(_xlfn.UNIQUE(_xlfn._xlws.FILTER(OrderLines[Category],OrderLines[OrderID]=OrderLines[[#This Row],[OrderID]]))))</f>
        <v>Beverage+Hot Meal+Snack</v>
      </c>
      <c r="H653" s="2" cm="1">
        <f t="array" ref="H653">INT(VLOOKUP(OrderLines[[#This Row],[OrderID]:[OrderID]],Orders[],MATCH(OrderLines[[#Headers],[OrderDateTime]],Orders[#Headers],0),FALSE))</f>
        <v>45850</v>
      </c>
      <c r="I653" t="str" cm="1">
        <f t="array" ref="I653">VLOOKUP(OrderLines[[#This Row],[OrderID]:[OrderID]],Orders[],MATCH(OrderLines[[#Headers],[Branch]],Orders[#Headers],0),FALSE)</f>
        <v>Plant 2 Canteen</v>
      </c>
      <c r="J653" cm="1">
        <f t="array" ref="J653">VLOOKUP(OrderLines[[#This Row],[OrderID]:[OrderID]],Orders[],MATCH(OrderLines[[#Headers],[DiscountPct]],Orders[#Headers],0),FALSE)</f>
        <v>0.03</v>
      </c>
      <c r="K653" t="str" cm="1">
        <f t="array" ref="K653">VLOOKUP(OrderLines[[#This Row],[OrderID]:[OrderID]],Orders[],MATCH(OrderLines[[#Headers],[PaymentType]],Orders[#Headers],0),FALSE)</f>
        <v>Cash</v>
      </c>
      <c r="L653" t="str" cm="1">
        <f t="array" ref="L653">VLOOKUP(OrderLines[[#This Row],[OrderID]:[OrderID]],Orders[],MATCH(OrderLines[[#Headers],[Shift]],Orders[#Headers],0),FALSE)</f>
        <v>Breakfast</v>
      </c>
      <c r="M653" s="8">
        <f>(OrderLines[[#This Row],[Qty]]*OrderLines[[#This Row],[UnitPrice]])*(1-OrderLines[[#This Row],[DiscountPct]])</f>
        <v>43.067999999999998</v>
      </c>
      <c r="N653" t="str">
        <f>IF(AND(COUNTIFS(OrderLines[OrderID],OrderLines[[#This Row],[OrderID]],OrderLines[Category],"Hot Meal"),COUNTIFS(OrderLines[OrderID],OrderLines[[#This Row],[OrderID]],OrderLines[Category],"Beverage")),"Combo","Single")</f>
        <v>Combo</v>
      </c>
      <c r="O653" s="8" t="str" cm="1">
        <f t="array" ref="O653">IF(SUMPRODUCT(OrderLines[UnitPrice],OrderLines[Qty],OrderLines[DiscountPct],--(OrderLines[OrderID] = OrderLines[[#This Row],[OrderID]]))&gt;40,"High Discount","Ok")</f>
        <v>Ok</v>
      </c>
      <c r="P653">
        <f>OrderLines[[#This Row],[UnitCost]]*OrderLines[[#This Row],[Qty]]</f>
        <v>18.760000000000002</v>
      </c>
      <c r="Q653" s="8">
        <f>OrderLines[[#This Row],[LineNetAmount]]-OrderLines[[#This Row],[Food Cost]]</f>
        <v>24.307999999999996</v>
      </c>
    </row>
    <row r="654" spans="1:17" x14ac:dyDescent="0.3">
      <c r="A654" t="s">
        <v>291</v>
      </c>
      <c r="B654" t="s">
        <v>416</v>
      </c>
      <c r="C654">
        <v>1</v>
      </c>
      <c r="D654" cm="1">
        <f t="array" ref="D654">VLOOKUP(OrderLines[[#This Row],[SKU]:[SKU]],Menu[],MATCH(OrderLines[[#Headers],[UnitPrice]],Menu[#Headers],0),FALSE)</f>
        <v>227.61</v>
      </c>
      <c r="E654" cm="1">
        <f t="array" ref="E654">VLOOKUP(OrderLines[[#This Row],[SKU]:[SKU]],Menu[],MATCH(OrderLines[[#Headers],[UnitCost]],Menu[#Headers],0),FALSE)</f>
        <v>96.22</v>
      </c>
      <c r="F654" t="str" cm="1">
        <f t="array" ref="F654">VLOOKUP(OrderLines[[#This Row],[SKU]:[SKU]],Menu[],MATCH(OrderLines[[#Headers],[Category]],Menu[#Headers],0),FALSE)</f>
        <v>Hot Meal</v>
      </c>
      <c r="G654" t="str" cm="1">
        <f t="array" ref="G654">_xlfn.TEXTJOIN("+",TRUE,_xlfn._xlws.SORT(_xlfn.UNIQUE(_xlfn._xlws.FILTER(OrderLines[Category],OrderLines[OrderID]=OrderLines[[#This Row],[OrderID]]))))</f>
        <v>Beverage+Hot Meal+Snack</v>
      </c>
      <c r="H654" s="2" cm="1">
        <f t="array" ref="H654">INT(VLOOKUP(OrderLines[[#This Row],[OrderID]:[OrderID]],Orders[],MATCH(OrderLines[[#Headers],[OrderDateTime]],Orders[#Headers],0),FALSE))</f>
        <v>45850</v>
      </c>
      <c r="I654" t="str" cm="1">
        <f t="array" ref="I654">VLOOKUP(OrderLines[[#This Row],[OrderID]:[OrderID]],Orders[],MATCH(OrderLines[[#Headers],[Branch]],Orders[#Headers],0),FALSE)</f>
        <v>Plant 2 Canteen</v>
      </c>
      <c r="J654" cm="1">
        <f t="array" ref="J654">VLOOKUP(OrderLines[[#This Row],[OrderID]:[OrderID]],Orders[],MATCH(OrderLines[[#Headers],[DiscountPct]],Orders[#Headers],0),FALSE)</f>
        <v>0.03</v>
      </c>
      <c r="K654" t="str" cm="1">
        <f t="array" ref="K654">VLOOKUP(OrderLines[[#This Row],[OrderID]:[OrderID]],Orders[],MATCH(OrderLines[[#Headers],[PaymentType]],Orders[#Headers],0),FALSE)</f>
        <v>Cash</v>
      </c>
      <c r="L654" t="str" cm="1">
        <f t="array" ref="L654">VLOOKUP(OrderLines[[#This Row],[OrderID]:[OrderID]],Orders[],MATCH(OrderLines[[#Headers],[Shift]],Orders[#Headers],0),FALSE)</f>
        <v>Breakfast</v>
      </c>
      <c r="M654" s="8">
        <f>(OrderLines[[#This Row],[Qty]]*OrderLines[[#This Row],[UnitPrice]])*(1-OrderLines[[#This Row],[DiscountPct]])</f>
        <v>220.7817</v>
      </c>
      <c r="N654" t="str">
        <f>IF(AND(COUNTIFS(OrderLines[OrderID],OrderLines[[#This Row],[OrderID]],OrderLines[Category],"Hot Meal"),COUNTIFS(OrderLines[OrderID],OrderLines[[#This Row],[OrderID]],OrderLines[Category],"Beverage")),"Combo","Single")</f>
        <v>Combo</v>
      </c>
      <c r="O654" s="8" t="str" cm="1">
        <f t="array" ref="O654">IF(SUMPRODUCT(OrderLines[UnitPrice],OrderLines[Qty],OrderLines[DiscountPct],--(OrderLines[OrderID] = OrderLines[[#This Row],[OrderID]]))&gt;40,"High Discount","Ok")</f>
        <v>Ok</v>
      </c>
      <c r="P654">
        <f>OrderLines[[#This Row],[UnitCost]]*OrderLines[[#This Row],[Qty]]</f>
        <v>96.22</v>
      </c>
      <c r="Q654" s="8">
        <f>OrderLines[[#This Row],[LineNetAmount]]-OrderLines[[#This Row],[Food Cost]]</f>
        <v>124.5617</v>
      </c>
    </row>
    <row r="655" spans="1:17" x14ac:dyDescent="0.3">
      <c r="A655" t="s">
        <v>292</v>
      </c>
      <c r="B655" t="s">
        <v>418</v>
      </c>
      <c r="C655">
        <v>2</v>
      </c>
      <c r="D655" cm="1">
        <f t="array" ref="D655">VLOOKUP(OrderLines[[#This Row],[SKU]:[SKU]],Menu[],MATCH(OrderLines[[#Headers],[UnitPrice]],Menu[#Headers],0),FALSE)</f>
        <v>39.950000000000003</v>
      </c>
      <c r="E655" cm="1">
        <f t="array" ref="E655">VLOOKUP(OrderLines[[#This Row],[SKU]:[SKU]],Menu[],MATCH(OrderLines[[#Headers],[UnitCost]],Menu[#Headers],0),FALSE)</f>
        <v>15.51</v>
      </c>
      <c r="F655" t="str" cm="1">
        <f t="array" ref="F655">VLOOKUP(OrderLines[[#This Row],[SKU]:[SKU]],Menu[],MATCH(OrderLines[[#Headers],[Category]],Menu[#Headers],0),FALSE)</f>
        <v>Snack</v>
      </c>
      <c r="G655" t="str" cm="1">
        <f t="array" ref="G655">_xlfn.TEXTJOIN("+",TRUE,_xlfn._xlws.SORT(_xlfn.UNIQUE(_xlfn._xlws.FILTER(OrderLines[Category],OrderLines[OrderID]=OrderLines[[#This Row],[OrderID]]))))</f>
        <v>Hot Meal+Snack</v>
      </c>
      <c r="H655" s="2" cm="1">
        <f t="array" ref="H655">INT(VLOOKUP(OrderLines[[#This Row],[OrderID]:[OrderID]],Orders[],MATCH(OrderLines[[#Headers],[OrderDateTime]],Orders[#Headers],0),FALSE))</f>
        <v>45893</v>
      </c>
      <c r="I655" t="str" cm="1">
        <f t="array" ref="I655">VLOOKUP(OrderLines[[#This Row],[OrderID]:[OrderID]],Orders[],MATCH(OrderLines[[#Headers],[Branch]],Orders[#Headers],0),FALSE)</f>
        <v>Head Office Café</v>
      </c>
      <c r="J655" cm="1">
        <f t="array" ref="J655">VLOOKUP(OrderLines[[#This Row],[OrderID]:[OrderID]],Orders[],MATCH(OrderLines[[#Headers],[DiscountPct]],Orders[#Headers],0),FALSE)</f>
        <v>0.1</v>
      </c>
      <c r="K655" t="str" cm="1">
        <f t="array" ref="K655">VLOOKUP(OrderLines[[#This Row],[OrderID]:[OrderID]],Orders[],MATCH(OrderLines[[#Headers],[PaymentType]],Orders[#Headers],0),FALSE)</f>
        <v>UPI</v>
      </c>
      <c r="L655" t="str" cm="1">
        <f t="array" ref="L655">VLOOKUP(OrderLines[[#This Row],[OrderID]:[OrderID]],Orders[],MATCH(OrderLines[[#Headers],[Shift]],Orders[#Headers],0),FALSE)</f>
        <v>Dinner</v>
      </c>
      <c r="M655" s="8">
        <f>(OrderLines[[#This Row],[Qty]]*OrderLines[[#This Row],[UnitPrice]])*(1-OrderLines[[#This Row],[DiscountPct]])</f>
        <v>71.910000000000011</v>
      </c>
      <c r="N655" t="str">
        <f>IF(AND(COUNTIFS(OrderLines[OrderID],OrderLines[[#This Row],[OrderID]],OrderLines[Category],"Hot Meal"),COUNTIFS(OrderLines[OrderID],OrderLines[[#This Row],[OrderID]],OrderLines[Category],"Beverage")),"Combo","Single")</f>
        <v>Single</v>
      </c>
      <c r="O655" s="8" t="str" cm="1">
        <f t="array" ref="O655">IF(SUMPRODUCT(OrderLines[UnitPrice],OrderLines[Qty],OrderLines[DiscountPct],--(OrderLines[OrderID] = OrderLines[[#This Row],[OrderID]]))&gt;40,"High Discount","Ok")</f>
        <v>High Discount</v>
      </c>
      <c r="P655">
        <f>OrderLines[[#This Row],[UnitCost]]*OrderLines[[#This Row],[Qty]]</f>
        <v>31.02</v>
      </c>
      <c r="Q655" s="8">
        <f>OrderLines[[#This Row],[LineNetAmount]]-OrderLines[[#This Row],[Food Cost]]</f>
        <v>40.890000000000015</v>
      </c>
    </row>
    <row r="656" spans="1:17" x14ac:dyDescent="0.3">
      <c r="A656" t="s">
        <v>292</v>
      </c>
      <c r="B656" t="s">
        <v>416</v>
      </c>
      <c r="C656">
        <v>1</v>
      </c>
      <c r="D656" cm="1">
        <f t="array" ref="D656">VLOOKUP(OrderLines[[#This Row],[SKU]:[SKU]],Menu[],MATCH(OrderLines[[#Headers],[UnitPrice]],Menu[#Headers],0),FALSE)</f>
        <v>227.61</v>
      </c>
      <c r="E656" cm="1">
        <f t="array" ref="E656">VLOOKUP(OrderLines[[#This Row],[SKU]:[SKU]],Menu[],MATCH(OrderLines[[#Headers],[UnitCost]],Menu[#Headers],0),FALSE)</f>
        <v>96.22</v>
      </c>
      <c r="F656" t="str" cm="1">
        <f t="array" ref="F656">VLOOKUP(OrderLines[[#This Row],[SKU]:[SKU]],Menu[],MATCH(OrderLines[[#Headers],[Category]],Menu[#Headers],0),FALSE)</f>
        <v>Hot Meal</v>
      </c>
      <c r="G656" t="str" cm="1">
        <f t="array" ref="G656">_xlfn.TEXTJOIN("+",TRUE,_xlfn._xlws.SORT(_xlfn.UNIQUE(_xlfn._xlws.FILTER(OrderLines[Category],OrderLines[OrderID]=OrderLines[[#This Row],[OrderID]]))))</f>
        <v>Hot Meal+Snack</v>
      </c>
      <c r="H656" s="2" cm="1">
        <f t="array" ref="H656">INT(VLOOKUP(OrderLines[[#This Row],[OrderID]:[OrderID]],Orders[],MATCH(OrderLines[[#Headers],[OrderDateTime]],Orders[#Headers],0),FALSE))</f>
        <v>45893</v>
      </c>
      <c r="I656" t="str" cm="1">
        <f t="array" ref="I656">VLOOKUP(OrderLines[[#This Row],[OrderID]:[OrderID]],Orders[],MATCH(OrderLines[[#Headers],[Branch]],Orders[#Headers],0),FALSE)</f>
        <v>Head Office Café</v>
      </c>
      <c r="J656" cm="1">
        <f t="array" ref="J656">VLOOKUP(OrderLines[[#This Row],[OrderID]:[OrderID]],Orders[],MATCH(OrderLines[[#Headers],[DiscountPct]],Orders[#Headers],0),FALSE)</f>
        <v>0.1</v>
      </c>
      <c r="K656" t="str" cm="1">
        <f t="array" ref="K656">VLOOKUP(OrderLines[[#This Row],[OrderID]:[OrderID]],Orders[],MATCH(OrderLines[[#Headers],[PaymentType]],Orders[#Headers],0),FALSE)</f>
        <v>UPI</v>
      </c>
      <c r="L656" t="str" cm="1">
        <f t="array" ref="L656">VLOOKUP(OrderLines[[#This Row],[OrderID]:[OrderID]],Orders[],MATCH(OrderLines[[#Headers],[Shift]],Orders[#Headers],0),FALSE)</f>
        <v>Dinner</v>
      </c>
      <c r="M656" s="8">
        <f>(OrderLines[[#This Row],[Qty]]*OrderLines[[#This Row],[UnitPrice]])*(1-OrderLines[[#This Row],[DiscountPct]])</f>
        <v>204.84900000000002</v>
      </c>
      <c r="N656" t="str">
        <f>IF(AND(COUNTIFS(OrderLines[OrderID],OrderLines[[#This Row],[OrderID]],OrderLines[Category],"Hot Meal"),COUNTIFS(OrderLines[OrderID],OrderLines[[#This Row],[OrderID]],OrderLines[Category],"Beverage")),"Combo","Single")</f>
        <v>Single</v>
      </c>
      <c r="O656" s="8" t="str" cm="1">
        <f t="array" ref="O656">IF(SUMPRODUCT(OrderLines[UnitPrice],OrderLines[Qty],OrderLines[DiscountPct],--(OrderLines[OrderID] = OrderLines[[#This Row],[OrderID]]))&gt;40,"High Discount","Ok")</f>
        <v>High Discount</v>
      </c>
      <c r="P656">
        <f>OrderLines[[#This Row],[UnitCost]]*OrderLines[[#This Row],[Qty]]</f>
        <v>96.22</v>
      </c>
      <c r="Q656" s="8">
        <f>OrderLines[[#This Row],[LineNetAmount]]-OrderLines[[#This Row],[Food Cost]]</f>
        <v>108.62900000000002</v>
      </c>
    </row>
    <row r="657" spans="1:17" x14ac:dyDescent="0.3">
      <c r="A657" t="s">
        <v>292</v>
      </c>
      <c r="B657" t="s">
        <v>415</v>
      </c>
      <c r="C657">
        <v>1</v>
      </c>
      <c r="D657" cm="1">
        <f t="array" ref="D657">VLOOKUP(OrderLines[[#This Row],[SKU]:[SKU]],Menu[],MATCH(OrderLines[[#Headers],[UnitPrice]],Menu[#Headers],0),FALSE)</f>
        <v>256.91000000000003</v>
      </c>
      <c r="E657" cm="1">
        <f t="array" ref="E657">VLOOKUP(OrderLines[[#This Row],[SKU]:[SKU]],Menu[],MATCH(OrderLines[[#Headers],[UnitCost]],Menu[#Headers],0),FALSE)</f>
        <v>121.24</v>
      </c>
      <c r="F657" t="str" cm="1">
        <f t="array" ref="F657">VLOOKUP(OrderLines[[#This Row],[SKU]:[SKU]],Menu[],MATCH(OrderLines[[#Headers],[Category]],Menu[#Headers],0),FALSE)</f>
        <v>Hot Meal</v>
      </c>
      <c r="G657" t="str" cm="1">
        <f t="array" ref="G657">_xlfn.TEXTJOIN("+",TRUE,_xlfn._xlws.SORT(_xlfn.UNIQUE(_xlfn._xlws.FILTER(OrderLines[Category],OrderLines[OrderID]=OrderLines[[#This Row],[OrderID]]))))</f>
        <v>Hot Meal+Snack</v>
      </c>
      <c r="H657" s="2" cm="1">
        <f t="array" ref="H657">INT(VLOOKUP(OrderLines[[#This Row],[OrderID]:[OrderID]],Orders[],MATCH(OrderLines[[#Headers],[OrderDateTime]],Orders[#Headers],0),FALSE))</f>
        <v>45893</v>
      </c>
      <c r="I657" t="str" cm="1">
        <f t="array" ref="I657">VLOOKUP(OrderLines[[#This Row],[OrderID]:[OrderID]],Orders[],MATCH(OrderLines[[#Headers],[Branch]],Orders[#Headers],0),FALSE)</f>
        <v>Head Office Café</v>
      </c>
      <c r="J657" cm="1">
        <f t="array" ref="J657">VLOOKUP(OrderLines[[#This Row],[OrderID]:[OrderID]],Orders[],MATCH(OrderLines[[#Headers],[DiscountPct]],Orders[#Headers],0),FALSE)</f>
        <v>0.1</v>
      </c>
      <c r="K657" t="str" cm="1">
        <f t="array" ref="K657">VLOOKUP(OrderLines[[#This Row],[OrderID]:[OrderID]],Orders[],MATCH(OrderLines[[#Headers],[PaymentType]],Orders[#Headers],0),FALSE)</f>
        <v>UPI</v>
      </c>
      <c r="L657" t="str" cm="1">
        <f t="array" ref="L657">VLOOKUP(OrderLines[[#This Row],[OrderID]:[OrderID]],Orders[],MATCH(OrderLines[[#Headers],[Shift]],Orders[#Headers],0),FALSE)</f>
        <v>Dinner</v>
      </c>
      <c r="M657" s="8">
        <f>(OrderLines[[#This Row],[Qty]]*OrderLines[[#This Row],[UnitPrice]])*(1-OrderLines[[#This Row],[DiscountPct]])</f>
        <v>231.21900000000002</v>
      </c>
      <c r="N657" t="str">
        <f>IF(AND(COUNTIFS(OrderLines[OrderID],OrderLines[[#This Row],[OrderID]],OrderLines[Category],"Hot Meal"),COUNTIFS(OrderLines[OrderID],OrderLines[[#This Row],[OrderID]],OrderLines[Category],"Beverage")),"Combo","Single")</f>
        <v>Single</v>
      </c>
      <c r="O657" s="8" t="str" cm="1">
        <f t="array" ref="O657">IF(SUMPRODUCT(OrderLines[UnitPrice],OrderLines[Qty],OrderLines[DiscountPct],--(OrderLines[OrderID] = OrderLines[[#This Row],[OrderID]]))&gt;40,"High Discount","Ok")</f>
        <v>High Discount</v>
      </c>
      <c r="P657">
        <f>OrderLines[[#This Row],[UnitCost]]*OrderLines[[#This Row],[Qty]]</f>
        <v>121.24</v>
      </c>
      <c r="Q657" s="8">
        <f>OrderLines[[#This Row],[LineNetAmount]]-OrderLines[[#This Row],[Food Cost]]</f>
        <v>109.97900000000003</v>
      </c>
    </row>
    <row r="658" spans="1:17" x14ac:dyDescent="0.3">
      <c r="A658" t="s">
        <v>293</v>
      </c>
      <c r="B658" t="s">
        <v>411</v>
      </c>
      <c r="C658">
        <v>1</v>
      </c>
      <c r="D658" cm="1">
        <f t="array" ref="D658">VLOOKUP(OrderLines[[#This Row],[SKU]:[SKU]],Menu[],MATCH(OrderLines[[#Headers],[UnitPrice]],Menu[#Headers],0),FALSE)</f>
        <v>22.2</v>
      </c>
      <c r="E658" cm="1">
        <f t="array" ref="E658">VLOOKUP(OrderLines[[#This Row],[SKU]:[SKU]],Menu[],MATCH(OrderLines[[#Headers],[UnitCost]],Menu[#Headers],0),FALSE)</f>
        <v>9.3800000000000008</v>
      </c>
      <c r="F658" t="str" cm="1">
        <f t="array" ref="F658">VLOOKUP(OrderLines[[#This Row],[SKU]:[SKU]],Menu[],MATCH(OrderLines[[#Headers],[Category]],Menu[#Headers],0),FALSE)</f>
        <v>Beverage</v>
      </c>
      <c r="G658" t="str" cm="1">
        <f t="array" ref="G658">_xlfn.TEXTJOIN("+",TRUE,_xlfn._xlws.SORT(_xlfn.UNIQUE(_xlfn._xlws.FILTER(OrderLines[Category],OrderLines[OrderID]=OrderLines[[#This Row],[OrderID]]))))</f>
        <v>Beverage+Hot Meal+Snack</v>
      </c>
      <c r="H658" s="2" cm="1">
        <f t="array" ref="H658">INT(VLOOKUP(OrderLines[[#This Row],[OrderID]:[OrderID]],Orders[],MATCH(OrderLines[[#Headers],[OrderDateTime]],Orders[#Headers],0),FALSE))</f>
        <v>45841</v>
      </c>
      <c r="I658" t="str" cm="1">
        <f t="array" ref="I658">VLOOKUP(OrderLines[[#This Row],[OrderID]:[OrderID]],Orders[],MATCH(OrderLines[[#Headers],[Branch]],Orders[#Headers],0),FALSE)</f>
        <v>Head Office Café</v>
      </c>
      <c r="J658" cm="1">
        <f t="array" ref="J658">VLOOKUP(OrderLines[[#This Row],[OrderID]:[OrderID]],Orders[],MATCH(OrderLines[[#Headers],[DiscountPct]],Orders[#Headers],0),FALSE)</f>
        <v>7.0000000000000007E-2</v>
      </c>
      <c r="K658" t="str" cm="1">
        <f t="array" ref="K658">VLOOKUP(OrderLines[[#This Row],[OrderID]:[OrderID]],Orders[],MATCH(OrderLines[[#Headers],[PaymentType]],Orders[#Headers],0),FALSE)</f>
        <v>UPI</v>
      </c>
      <c r="L658" t="str" cm="1">
        <f t="array" ref="L658">VLOOKUP(OrderLines[[#This Row],[OrderID]:[OrderID]],Orders[],MATCH(OrderLines[[#Headers],[Shift]],Orders[#Headers],0),FALSE)</f>
        <v>Dinner</v>
      </c>
      <c r="M658" s="8">
        <f>(OrderLines[[#This Row],[Qty]]*OrderLines[[#This Row],[UnitPrice]])*(1-OrderLines[[#This Row],[DiscountPct]])</f>
        <v>20.645999999999997</v>
      </c>
      <c r="N658" t="str">
        <f>IF(AND(COUNTIFS(OrderLines[OrderID],OrderLines[[#This Row],[OrderID]],OrderLines[Category],"Hot Meal"),COUNTIFS(OrderLines[OrderID],OrderLines[[#This Row],[OrderID]],OrderLines[Category],"Beverage")),"Combo","Single")</f>
        <v>Combo</v>
      </c>
      <c r="O658" s="8" t="str" cm="1">
        <f t="array" ref="O658">IF(SUMPRODUCT(OrderLines[UnitPrice],OrderLines[Qty],OrderLines[DiscountPct],--(OrderLines[OrderID] = OrderLines[[#This Row],[OrderID]]))&gt;40,"High Discount","Ok")</f>
        <v>Ok</v>
      </c>
      <c r="P658">
        <f>OrderLines[[#This Row],[UnitCost]]*OrderLines[[#This Row],[Qty]]</f>
        <v>9.3800000000000008</v>
      </c>
      <c r="Q658" s="8">
        <f>OrderLines[[#This Row],[LineNetAmount]]-OrderLines[[#This Row],[Food Cost]]</f>
        <v>11.265999999999996</v>
      </c>
    </row>
    <row r="659" spans="1:17" x14ac:dyDescent="0.3">
      <c r="A659" t="s">
        <v>293</v>
      </c>
      <c r="B659" t="s">
        <v>401</v>
      </c>
      <c r="C659">
        <v>1</v>
      </c>
      <c r="D659" cm="1">
        <f t="array" ref="D659">VLOOKUP(OrderLines[[#This Row],[SKU]:[SKU]],Menu[],MATCH(OrderLines[[#Headers],[UnitPrice]],Menu[#Headers],0),FALSE)</f>
        <v>52.45</v>
      </c>
      <c r="E659" cm="1">
        <f t="array" ref="E659">VLOOKUP(OrderLines[[#This Row],[SKU]:[SKU]],Menu[],MATCH(OrderLines[[#Headers],[UnitCost]],Menu[#Headers],0),FALSE)</f>
        <v>25.8</v>
      </c>
      <c r="F659" t="str" cm="1">
        <f t="array" ref="F659">VLOOKUP(OrderLines[[#This Row],[SKU]:[SKU]],Menu[],MATCH(OrderLines[[#Headers],[Category]],Menu[#Headers],0),FALSE)</f>
        <v>Snack</v>
      </c>
      <c r="G659" t="str" cm="1">
        <f t="array" ref="G659">_xlfn.TEXTJOIN("+",TRUE,_xlfn._xlws.SORT(_xlfn.UNIQUE(_xlfn._xlws.FILTER(OrderLines[Category],OrderLines[OrderID]=OrderLines[[#This Row],[OrderID]]))))</f>
        <v>Beverage+Hot Meal+Snack</v>
      </c>
      <c r="H659" s="2" cm="1">
        <f t="array" ref="H659">INT(VLOOKUP(OrderLines[[#This Row],[OrderID]:[OrderID]],Orders[],MATCH(OrderLines[[#Headers],[OrderDateTime]],Orders[#Headers],0),FALSE))</f>
        <v>45841</v>
      </c>
      <c r="I659" t="str" cm="1">
        <f t="array" ref="I659">VLOOKUP(OrderLines[[#This Row],[OrderID]:[OrderID]],Orders[],MATCH(OrderLines[[#Headers],[Branch]],Orders[#Headers],0),FALSE)</f>
        <v>Head Office Café</v>
      </c>
      <c r="J659" cm="1">
        <f t="array" ref="J659">VLOOKUP(OrderLines[[#This Row],[OrderID]:[OrderID]],Orders[],MATCH(OrderLines[[#Headers],[DiscountPct]],Orders[#Headers],0),FALSE)</f>
        <v>7.0000000000000007E-2</v>
      </c>
      <c r="K659" t="str" cm="1">
        <f t="array" ref="K659">VLOOKUP(OrderLines[[#This Row],[OrderID]:[OrderID]],Orders[],MATCH(OrderLines[[#Headers],[PaymentType]],Orders[#Headers],0),FALSE)</f>
        <v>UPI</v>
      </c>
      <c r="L659" t="str" cm="1">
        <f t="array" ref="L659">VLOOKUP(OrderLines[[#This Row],[OrderID]:[OrderID]],Orders[],MATCH(OrderLines[[#Headers],[Shift]],Orders[#Headers],0),FALSE)</f>
        <v>Dinner</v>
      </c>
      <c r="M659" s="8">
        <f>(OrderLines[[#This Row],[Qty]]*OrderLines[[#This Row],[UnitPrice]])*(1-OrderLines[[#This Row],[DiscountPct]])</f>
        <v>48.778500000000001</v>
      </c>
      <c r="N659" t="str">
        <f>IF(AND(COUNTIFS(OrderLines[OrderID],OrderLines[[#This Row],[OrderID]],OrderLines[Category],"Hot Meal"),COUNTIFS(OrderLines[OrderID],OrderLines[[#This Row],[OrderID]],OrderLines[Category],"Beverage")),"Combo","Single")</f>
        <v>Combo</v>
      </c>
      <c r="O659" s="8" t="str" cm="1">
        <f t="array" ref="O659">IF(SUMPRODUCT(OrderLines[UnitPrice],OrderLines[Qty],OrderLines[DiscountPct],--(OrderLines[OrderID] = OrderLines[[#This Row],[OrderID]]))&gt;40,"High Discount","Ok")</f>
        <v>Ok</v>
      </c>
      <c r="P659">
        <f>OrderLines[[#This Row],[UnitCost]]*OrderLines[[#This Row],[Qty]]</f>
        <v>25.8</v>
      </c>
      <c r="Q659" s="8">
        <f>OrderLines[[#This Row],[LineNetAmount]]-OrderLines[[#This Row],[Food Cost]]</f>
        <v>22.9785</v>
      </c>
    </row>
    <row r="660" spans="1:17" x14ac:dyDescent="0.3">
      <c r="A660" t="s">
        <v>293</v>
      </c>
      <c r="B660" t="s">
        <v>417</v>
      </c>
      <c r="C660">
        <v>2</v>
      </c>
      <c r="D660" cm="1">
        <f t="array" ref="D660">VLOOKUP(OrderLines[[#This Row],[SKU]:[SKU]],Menu[],MATCH(OrderLines[[#Headers],[UnitPrice]],Menu[#Headers],0),FALSE)</f>
        <v>146.4</v>
      </c>
      <c r="E660" cm="1">
        <f t="array" ref="E660">VLOOKUP(OrderLines[[#This Row],[SKU]:[SKU]],Menu[],MATCH(OrderLines[[#Headers],[UnitCost]],Menu[#Headers],0),FALSE)</f>
        <v>80.92</v>
      </c>
      <c r="F660" t="str" cm="1">
        <f t="array" ref="F660">VLOOKUP(OrderLines[[#This Row],[SKU]:[SKU]],Menu[],MATCH(OrderLines[[#Headers],[Category]],Menu[#Headers],0),FALSE)</f>
        <v>Hot Meal</v>
      </c>
      <c r="G660" t="str" cm="1">
        <f t="array" ref="G660">_xlfn.TEXTJOIN("+",TRUE,_xlfn._xlws.SORT(_xlfn.UNIQUE(_xlfn._xlws.FILTER(OrderLines[Category],OrderLines[OrderID]=OrderLines[[#This Row],[OrderID]]))))</f>
        <v>Beverage+Hot Meal+Snack</v>
      </c>
      <c r="H660" s="2" cm="1">
        <f t="array" ref="H660">INT(VLOOKUP(OrderLines[[#This Row],[OrderID]:[OrderID]],Orders[],MATCH(OrderLines[[#Headers],[OrderDateTime]],Orders[#Headers],0),FALSE))</f>
        <v>45841</v>
      </c>
      <c r="I660" t="str" cm="1">
        <f t="array" ref="I660">VLOOKUP(OrderLines[[#This Row],[OrderID]:[OrderID]],Orders[],MATCH(OrderLines[[#Headers],[Branch]],Orders[#Headers],0),FALSE)</f>
        <v>Head Office Café</v>
      </c>
      <c r="J660" cm="1">
        <f t="array" ref="J660">VLOOKUP(OrderLines[[#This Row],[OrderID]:[OrderID]],Orders[],MATCH(OrderLines[[#Headers],[DiscountPct]],Orders[#Headers],0),FALSE)</f>
        <v>7.0000000000000007E-2</v>
      </c>
      <c r="K660" t="str" cm="1">
        <f t="array" ref="K660">VLOOKUP(OrderLines[[#This Row],[OrderID]:[OrderID]],Orders[],MATCH(OrderLines[[#Headers],[PaymentType]],Orders[#Headers],0),FALSE)</f>
        <v>UPI</v>
      </c>
      <c r="L660" t="str" cm="1">
        <f t="array" ref="L660">VLOOKUP(OrderLines[[#This Row],[OrderID]:[OrderID]],Orders[],MATCH(OrderLines[[#Headers],[Shift]],Orders[#Headers],0),FALSE)</f>
        <v>Dinner</v>
      </c>
      <c r="M660" s="8">
        <f>(OrderLines[[#This Row],[Qty]]*OrderLines[[#This Row],[UnitPrice]])*(1-OrderLines[[#This Row],[DiscountPct]])</f>
        <v>272.30399999999997</v>
      </c>
      <c r="N660" t="str">
        <f>IF(AND(COUNTIFS(OrderLines[OrderID],OrderLines[[#This Row],[OrderID]],OrderLines[Category],"Hot Meal"),COUNTIFS(OrderLines[OrderID],OrderLines[[#This Row],[OrderID]],OrderLines[Category],"Beverage")),"Combo","Single")</f>
        <v>Combo</v>
      </c>
      <c r="O660" s="8" t="str" cm="1">
        <f t="array" ref="O660">IF(SUMPRODUCT(OrderLines[UnitPrice],OrderLines[Qty],OrderLines[DiscountPct],--(OrderLines[OrderID] = OrderLines[[#This Row],[OrderID]]))&gt;40,"High Discount","Ok")</f>
        <v>Ok</v>
      </c>
      <c r="P660">
        <f>OrderLines[[#This Row],[UnitCost]]*OrderLines[[#This Row],[Qty]]</f>
        <v>161.84</v>
      </c>
      <c r="Q660" s="8">
        <f>OrderLines[[#This Row],[LineNetAmount]]-OrderLines[[#This Row],[Food Cost]]</f>
        <v>110.46399999999997</v>
      </c>
    </row>
    <row r="661" spans="1:17" x14ac:dyDescent="0.3">
      <c r="A661" t="s">
        <v>294</v>
      </c>
      <c r="B661" t="s">
        <v>412</v>
      </c>
      <c r="C661">
        <v>1</v>
      </c>
      <c r="D661" cm="1">
        <f t="array" ref="D661">VLOOKUP(OrderLines[[#This Row],[SKU]:[SKU]],Menu[],MATCH(OrderLines[[#Headers],[UnitPrice]],Menu[#Headers],0),FALSE)</f>
        <v>57.07</v>
      </c>
      <c r="E661" cm="1">
        <f t="array" ref="E661">VLOOKUP(OrderLines[[#This Row],[SKU]:[SKU]],Menu[],MATCH(OrderLines[[#Headers],[UnitCost]],Menu[#Headers],0),FALSE)</f>
        <v>29.14</v>
      </c>
      <c r="F661" t="str" cm="1">
        <f t="array" ref="F661">VLOOKUP(OrderLines[[#This Row],[SKU]:[SKU]],Menu[],MATCH(OrderLines[[#Headers],[Category]],Menu[#Headers],0),FALSE)</f>
        <v>Dessert</v>
      </c>
      <c r="G661" t="str" cm="1">
        <f t="array" ref="G661">_xlfn.TEXTJOIN("+",TRUE,_xlfn._xlws.SORT(_xlfn.UNIQUE(_xlfn._xlws.FILTER(OrderLines[Category],OrderLines[OrderID]=OrderLines[[#This Row],[OrderID]]))))</f>
        <v>Beverage+Dessert+Snack</v>
      </c>
      <c r="H661" s="2" cm="1">
        <f t="array" ref="H661">INT(VLOOKUP(OrderLines[[#This Row],[OrderID]:[OrderID]],Orders[],MATCH(OrderLines[[#Headers],[OrderDateTime]],Orders[#Headers],0),FALSE))</f>
        <v>45842</v>
      </c>
      <c r="I661" t="str" cm="1">
        <f t="array" ref="I661">VLOOKUP(OrderLines[[#This Row],[OrderID]:[OrderID]],Orders[],MATCH(OrderLines[[#Headers],[Branch]],Orders[#Headers],0),FALSE)</f>
        <v>Plant 1 Canteen</v>
      </c>
      <c r="J661" cm="1">
        <f t="array" ref="J661">VLOOKUP(OrderLines[[#This Row],[OrderID]:[OrderID]],Orders[],MATCH(OrderLines[[#Headers],[DiscountPct]],Orders[#Headers],0),FALSE)</f>
        <v>0.09</v>
      </c>
      <c r="K661" t="str" cm="1">
        <f t="array" ref="K661">VLOOKUP(OrderLines[[#This Row],[OrderID]:[OrderID]],Orders[],MATCH(OrderLines[[#Headers],[PaymentType]],Orders[#Headers],0),FALSE)</f>
        <v>UPI</v>
      </c>
      <c r="L661" t="str" cm="1">
        <f t="array" ref="L661">VLOOKUP(OrderLines[[#This Row],[OrderID]:[OrderID]],Orders[],MATCH(OrderLines[[#Headers],[Shift]],Orders[#Headers],0),FALSE)</f>
        <v>Breakfast</v>
      </c>
      <c r="M661" s="8">
        <f>(OrderLines[[#This Row],[Qty]]*OrderLines[[#This Row],[UnitPrice]])*(1-OrderLines[[#This Row],[DiscountPct]])</f>
        <v>51.933700000000002</v>
      </c>
      <c r="N661" t="str">
        <f>IF(AND(COUNTIFS(OrderLines[OrderID],OrderLines[[#This Row],[OrderID]],OrderLines[Category],"Hot Meal"),COUNTIFS(OrderLines[OrderID],OrderLines[[#This Row],[OrderID]],OrderLines[Category],"Beverage")),"Combo","Single")</f>
        <v>Single</v>
      </c>
      <c r="O661" s="8" t="str" cm="1">
        <f t="array" ref="O661">IF(SUMPRODUCT(OrderLines[UnitPrice],OrderLines[Qty],OrderLines[DiscountPct],--(OrderLines[OrderID] = OrderLines[[#This Row],[OrderID]]))&gt;40,"High Discount","Ok")</f>
        <v>Ok</v>
      </c>
      <c r="P661">
        <f>OrderLines[[#This Row],[UnitCost]]*OrderLines[[#This Row],[Qty]]</f>
        <v>29.14</v>
      </c>
      <c r="Q661" s="8">
        <f>OrderLines[[#This Row],[LineNetAmount]]-OrderLines[[#This Row],[Food Cost]]</f>
        <v>22.793700000000001</v>
      </c>
    </row>
    <row r="662" spans="1:17" x14ac:dyDescent="0.3">
      <c r="A662" t="s">
        <v>294</v>
      </c>
      <c r="B662" t="s">
        <v>419</v>
      </c>
      <c r="C662">
        <v>1</v>
      </c>
      <c r="D662" cm="1">
        <f t="array" ref="D662">VLOOKUP(OrderLines[[#This Row],[SKU]:[SKU]],Menu[],MATCH(OrderLines[[#Headers],[UnitPrice]],Menu[#Headers],0),FALSE)</f>
        <v>50.19</v>
      </c>
      <c r="E662" cm="1">
        <f t="array" ref="E662">VLOOKUP(OrderLines[[#This Row],[SKU]:[SKU]],Menu[],MATCH(OrderLines[[#Headers],[UnitCost]],Menu[#Headers],0),FALSE)</f>
        <v>22.61</v>
      </c>
      <c r="F662" t="str" cm="1">
        <f t="array" ref="F662">VLOOKUP(OrderLines[[#This Row],[SKU]:[SKU]],Menu[],MATCH(OrderLines[[#Headers],[Category]],Menu[#Headers],0),FALSE)</f>
        <v>Snack</v>
      </c>
      <c r="G662" t="str" cm="1">
        <f t="array" ref="G662">_xlfn.TEXTJOIN("+",TRUE,_xlfn._xlws.SORT(_xlfn.UNIQUE(_xlfn._xlws.FILTER(OrderLines[Category],OrderLines[OrderID]=OrderLines[[#This Row],[OrderID]]))))</f>
        <v>Beverage+Dessert+Snack</v>
      </c>
      <c r="H662" s="2" cm="1">
        <f t="array" ref="H662">INT(VLOOKUP(OrderLines[[#This Row],[OrderID]:[OrderID]],Orders[],MATCH(OrderLines[[#Headers],[OrderDateTime]],Orders[#Headers],0),FALSE))</f>
        <v>45842</v>
      </c>
      <c r="I662" t="str" cm="1">
        <f t="array" ref="I662">VLOOKUP(OrderLines[[#This Row],[OrderID]:[OrderID]],Orders[],MATCH(OrderLines[[#Headers],[Branch]],Orders[#Headers],0),FALSE)</f>
        <v>Plant 1 Canteen</v>
      </c>
      <c r="J662" cm="1">
        <f t="array" ref="J662">VLOOKUP(OrderLines[[#This Row],[OrderID]:[OrderID]],Orders[],MATCH(OrderLines[[#Headers],[DiscountPct]],Orders[#Headers],0),FALSE)</f>
        <v>0.09</v>
      </c>
      <c r="K662" t="str" cm="1">
        <f t="array" ref="K662">VLOOKUP(OrderLines[[#This Row],[OrderID]:[OrderID]],Orders[],MATCH(OrderLines[[#Headers],[PaymentType]],Orders[#Headers],0),FALSE)</f>
        <v>UPI</v>
      </c>
      <c r="L662" t="str" cm="1">
        <f t="array" ref="L662">VLOOKUP(OrderLines[[#This Row],[OrderID]:[OrderID]],Orders[],MATCH(OrderLines[[#Headers],[Shift]],Orders[#Headers],0),FALSE)</f>
        <v>Breakfast</v>
      </c>
      <c r="M662" s="8">
        <f>(OrderLines[[#This Row],[Qty]]*OrderLines[[#This Row],[UnitPrice]])*(1-OrderLines[[#This Row],[DiscountPct]])</f>
        <v>45.672899999999998</v>
      </c>
      <c r="N662" t="str">
        <f>IF(AND(COUNTIFS(OrderLines[OrderID],OrderLines[[#This Row],[OrderID]],OrderLines[Category],"Hot Meal"),COUNTIFS(OrderLines[OrderID],OrderLines[[#This Row],[OrderID]],OrderLines[Category],"Beverage")),"Combo","Single")</f>
        <v>Single</v>
      </c>
      <c r="O662" s="8" t="str" cm="1">
        <f t="array" ref="O662">IF(SUMPRODUCT(OrderLines[UnitPrice],OrderLines[Qty],OrderLines[DiscountPct],--(OrderLines[OrderID] = OrderLines[[#This Row],[OrderID]]))&gt;40,"High Discount","Ok")</f>
        <v>Ok</v>
      </c>
      <c r="P662">
        <f>OrderLines[[#This Row],[UnitCost]]*OrderLines[[#This Row],[Qty]]</f>
        <v>22.61</v>
      </c>
      <c r="Q662" s="8">
        <f>OrderLines[[#This Row],[LineNetAmount]]-OrderLines[[#This Row],[Food Cost]]</f>
        <v>23.062899999999999</v>
      </c>
    </row>
    <row r="663" spans="1:17" x14ac:dyDescent="0.3">
      <c r="A663" t="s">
        <v>294</v>
      </c>
      <c r="B663" t="s">
        <v>411</v>
      </c>
      <c r="C663">
        <v>3</v>
      </c>
      <c r="D663" cm="1">
        <f t="array" ref="D663">VLOOKUP(OrderLines[[#This Row],[SKU]:[SKU]],Menu[],MATCH(OrderLines[[#Headers],[UnitPrice]],Menu[#Headers],0),FALSE)</f>
        <v>22.2</v>
      </c>
      <c r="E663" cm="1">
        <f t="array" ref="E663">VLOOKUP(OrderLines[[#This Row],[SKU]:[SKU]],Menu[],MATCH(OrderLines[[#Headers],[UnitCost]],Menu[#Headers],0),FALSE)</f>
        <v>9.3800000000000008</v>
      </c>
      <c r="F663" t="str" cm="1">
        <f t="array" ref="F663">VLOOKUP(OrderLines[[#This Row],[SKU]:[SKU]],Menu[],MATCH(OrderLines[[#Headers],[Category]],Menu[#Headers],0),FALSE)</f>
        <v>Beverage</v>
      </c>
      <c r="G663" t="str" cm="1">
        <f t="array" ref="G663">_xlfn.TEXTJOIN("+",TRUE,_xlfn._xlws.SORT(_xlfn.UNIQUE(_xlfn._xlws.FILTER(OrderLines[Category],OrderLines[OrderID]=OrderLines[[#This Row],[OrderID]]))))</f>
        <v>Beverage+Dessert+Snack</v>
      </c>
      <c r="H663" s="2" cm="1">
        <f t="array" ref="H663">INT(VLOOKUP(OrderLines[[#This Row],[OrderID]:[OrderID]],Orders[],MATCH(OrderLines[[#Headers],[OrderDateTime]],Orders[#Headers],0),FALSE))</f>
        <v>45842</v>
      </c>
      <c r="I663" t="str" cm="1">
        <f t="array" ref="I663">VLOOKUP(OrderLines[[#This Row],[OrderID]:[OrderID]],Orders[],MATCH(OrderLines[[#Headers],[Branch]],Orders[#Headers],0),FALSE)</f>
        <v>Plant 1 Canteen</v>
      </c>
      <c r="J663" cm="1">
        <f t="array" ref="J663">VLOOKUP(OrderLines[[#This Row],[OrderID]:[OrderID]],Orders[],MATCH(OrderLines[[#Headers],[DiscountPct]],Orders[#Headers],0),FALSE)</f>
        <v>0.09</v>
      </c>
      <c r="K663" t="str" cm="1">
        <f t="array" ref="K663">VLOOKUP(OrderLines[[#This Row],[OrderID]:[OrderID]],Orders[],MATCH(OrderLines[[#Headers],[PaymentType]],Orders[#Headers],0),FALSE)</f>
        <v>UPI</v>
      </c>
      <c r="L663" t="str" cm="1">
        <f t="array" ref="L663">VLOOKUP(OrderLines[[#This Row],[OrderID]:[OrderID]],Orders[],MATCH(OrderLines[[#Headers],[Shift]],Orders[#Headers],0),FALSE)</f>
        <v>Breakfast</v>
      </c>
      <c r="M663" s="8">
        <f>(OrderLines[[#This Row],[Qty]]*OrderLines[[#This Row],[UnitPrice]])*(1-OrderLines[[#This Row],[DiscountPct]])</f>
        <v>60.605999999999995</v>
      </c>
      <c r="N663" t="str">
        <f>IF(AND(COUNTIFS(OrderLines[OrderID],OrderLines[[#This Row],[OrderID]],OrderLines[Category],"Hot Meal"),COUNTIFS(OrderLines[OrderID],OrderLines[[#This Row],[OrderID]],OrderLines[Category],"Beverage")),"Combo","Single")</f>
        <v>Single</v>
      </c>
      <c r="O663" s="8" t="str" cm="1">
        <f t="array" ref="O663">IF(SUMPRODUCT(OrderLines[UnitPrice],OrderLines[Qty],OrderLines[DiscountPct],--(OrderLines[OrderID] = OrderLines[[#This Row],[OrderID]]))&gt;40,"High Discount","Ok")</f>
        <v>Ok</v>
      </c>
      <c r="P663">
        <f>OrderLines[[#This Row],[UnitCost]]*OrderLines[[#This Row],[Qty]]</f>
        <v>28.14</v>
      </c>
      <c r="Q663" s="8">
        <f>OrderLines[[#This Row],[LineNetAmount]]-OrderLines[[#This Row],[Food Cost]]</f>
        <v>32.465999999999994</v>
      </c>
    </row>
    <row r="664" spans="1:17" x14ac:dyDescent="0.3">
      <c r="A664" t="s">
        <v>295</v>
      </c>
      <c r="B664" t="s">
        <v>404</v>
      </c>
      <c r="C664">
        <v>2</v>
      </c>
      <c r="D664" cm="1">
        <f t="array" ref="D664">VLOOKUP(OrderLines[[#This Row],[SKU]:[SKU]],Menu[],MATCH(OrderLines[[#Headers],[UnitPrice]],Menu[#Headers],0),FALSE)</f>
        <v>32.979999999999997</v>
      </c>
      <c r="E664" cm="1">
        <f t="array" ref="E664">VLOOKUP(OrderLines[[#This Row],[SKU]:[SKU]],Menu[],MATCH(OrderLines[[#Headers],[UnitCost]],Menu[#Headers],0),FALSE)</f>
        <v>11.84</v>
      </c>
      <c r="F664" t="str" cm="1">
        <f t="array" ref="F664">VLOOKUP(OrderLines[[#This Row],[SKU]:[SKU]],Menu[],MATCH(OrderLines[[#Headers],[Category]],Menu[#Headers],0),FALSE)</f>
        <v>Beverage</v>
      </c>
      <c r="G664" t="str" cm="1">
        <f t="array" ref="G664">_xlfn.TEXTJOIN("+",TRUE,_xlfn._xlws.SORT(_xlfn.UNIQUE(_xlfn._xlws.FILTER(OrderLines[Category],OrderLines[OrderID]=OrderLines[[#This Row],[OrderID]]))))</f>
        <v>Beverage+Hot Meal+Snack</v>
      </c>
      <c r="H664" s="2" cm="1">
        <f t="array" ref="H664">INT(VLOOKUP(OrderLines[[#This Row],[OrderID]:[OrderID]],Orders[],MATCH(OrderLines[[#Headers],[OrderDateTime]],Orders[#Headers],0),FALSE))</f>
        <v>45872</v>
      </c>
      <c r="I664" t="str" cm="1">
        <f t="array" ref="I664">VLOOKUP(OrderLines[[#This Row],[OrderID]:[OrderID]],Orders[],MATCH(OrderLines[[#Headers],[Branch]],Orders[#Headers],0),FALSE)</f>
        <v>Plant 2 Canteen</v>
      </c>
      <c r="J664" cm="1">
        <f t="array" ref="J664">VLOOKUP(OrderLines[[#This Row],[OrderID]:[OrderID]],Orders[],MATCH(OrderLines[[#Headers],[DiscountPct]],Orders[#Headers],0),FALSE)</f>
        <v>0.09</v>
      </c>
      <c r="K664" t="str" cm="1">
        <f t="array" ref="K664">VLOOKUP(OrderLines[[#This Row],[OrderID]:[OrderID]],Orders[],MATCH(OrderLines[[#Headers],[PaymentType]],Orders[#Headers],0),FALSE)</f>
        <v>Cash</v>
      </c>
      <c r="L664" t="str" cm="1">
        <f t="array" ref="L664">VLOOKUP(OrderLines[[#This Row],[OrderID]:[OrderID]],Orders[],MATCH(OrderLines[[#Headers],[Shift]],Orders[#Headers],0),FALSE)</f>
        <v>Breakfast</v>
      </c>
      <c r="M664" s="8">
        <f>(OrderLines[[#This Row],[Qty]]*OrderLines[[#This Row],[UnitPrice]])*(1-OrderLines[[#This Row],[DiscountPct]])</f>
        <v>60.023599999999995</v>
      </c>
      <c r="N664" t="str">
        <f>IF(AND(COUNTIFS(OrderLines[OrderID],OrderLines[[#This Row],[OrderID]],OrderLines[Category],"Hot Meal"),COUNTIFS(OrderLines[OrderID],OrderLines[[#This Row],[OrderID]],OrderLines[Category],"Beverage")),"Combo","Single")</f>
        <v>Combo</v>
      </c>
      <c r="O664" s="8" t="str" cm="1">
        <f t="array" ref="O664">IF(SUMPRODUCT(OrderLines[UnitPrice],OrderLines[Qty],OrderLines[DiscountPct],--(OrderLines[OrderID] = OrderLines[[#This Row],[OrderID]]))&gt;40,"High Discount","Ok")</f>
        <v>High Discount</v>
      </c>
      <c r="P664">
        <f>OrderLines[[#This Row],[UnitCost]]*OrderLines[[#This Row],[Qty]]</f>
        <v>23.68</v>
      </c>
      <c r="Q664" s="8">
        <f>OrderLines[[#This Row],[LineNetAmount]]-OrderLines[[#This Row],[Food Cost]]</f>
        <v>36.343599999999995</v>
      </c>
    </row>
    <row r="665" spans="1:17" x14ac:dyDescent="0.3">
      <c r="A665" t="s">
        <v>295</v>
      </c>
      <c r="B665" t="s">
        <v>408</v>
      </c>
      <c r="C665">
        <v>3</v>
      </c>
      <c r="D665" cm="1">
        <f t="array" ref="D665">VLOOKUP(OrderLines[[#This Row],[SKU]:[SKU]],Menu[],MATCH(OrderLines[[#Headers],[UnitPrice]],Menu[#Headers],0),FALSE)</f>
        <v>70.540000000000006</v>
      </c>
      <c r="E665" cm="1">
        <f t="array" ref="E665">VLOOKUP(OrderLines[[#This Row],[SKU]:[SKU]],Menu[],MATCH(OrderLines[[#Headers],[UnitCost]],Menu[#Headers],0),FALSE)</f>
        <v>35.81</v>
      </c>
      <c r="F665" t="str" cm="1">
        <f t="array" ref="F665">VLOOKUP(OrderLines[[#This Row],[SKU]:[SKU]],Menu[],MATCH(OrderLines[[#Headers],[Category]],Menu[#Headers],0),FALSE)</f>
        <v>Snack</v>
      </c>
      <c r="G665" t="str" cm="1">
        <f t="array" ref="G665">_xlfn.TEXTJOIN("+",TRUE,_xlfn._xlws.SORT(_xlfn.UNIQUE(_xlfn._xlws.FILTER(OrderLines[Category],OrderLines[OrderID]=OrderLines[[#This Row],[OrderID]]))))</f>
        <v>Beverage+Hot Meal+Snack</v>
      </c>
      <c r="H665" s="2" cm="1">
        <f t="array" ref="H665">INT(VLOOKUP(OrderLines[[#This Row],[OrderID]:[OrderID]],Orders[],MATCH(OrderLines[[#Headers],[OrderDateTime]],Orders[#Headers],0),FALSE))</f>
        <v>45872</v>
      </c>
      <c r="I665" t="str" cm="1">
        <f t="array" ref="I665">VLOOKUP(OrderLines[[#This Row],[OrderID]:[OrderID]],Orders[],MATCH(OrderLines[[#Headers],[Branch]],Orders[#Headers],0),FALSE)</f>
        <v>Plant 2 Canteen</v>
      </c>
      <c r="J665" cm="1">
        <f t="array" ref="J665">VLOOKUP(OrderLines[[#This Row],[OrderID]:[OrderID]],Orders[],MATCH(OrderLines[[#Headers],[DiscountPct]],Orders[#Headers],0),FALSE)</f>
        <v>0.09</v>
      </c>
      <c r="K665" t="str" cm="1">
        <f t="array" ref="K665">VLOOKUP(OrderLines[[#This Row],[OrderID]:[OrderID]],Orders[],MATCH(OrderLines[[#Headers],[PaymentType]],Orders[#Headers],0),FALSE)</f>
        <v>Cash</v>
      </c>
      <c r="L665" t="str" cm="1">
        <f t="array" ref="L665">VLOOKUP(OrderLines[[#This Row],[OrderID]:[OrderID]],Orders[],MATCH(OrderLines[[#Headers],[Shift]],Orders[#Headers],0),FALSE)</f>
        <v>Breakfast</v>
      </c>
      <c r="M665" s="8">
        <f>(OrderLines[[#This Row],[Qty]]*OrderLines[[#This Row],[UnitPrice]])*(1-OrderLines[[#This Row],[DiscountPct]])</f>
        <v>192.57420000000002</v>
      </c>
      <c r="N665" t="str">
        <f>IF(AND(COUNTIFS(OrderLines[OrderID],OrderLines[[#This Row],[OrderID]],OrderLines[Category],"Hot Meal"),COUNTIFS(OrderLines[OrderID],OrderLines[[#This Row],[OrderID]],OrderLines[Category],"Beverage")),"Combo","Single")</f>
        <v>Combo</v>
      </c>
      <c r="O665" s="8" t="str" cm="1">
        <f t="array" ref="O665">IF(SUMPRODUCT(OrderLines[UnitPrice],OrderLines[Qty],OrderLines[DiscountPct],--(OrderLines[OrderID] = OrderLines[[#This Row],[OrderID]]))&gt;40,"High Discount","Ok")</f>
        <v>High Discount</v>
      </c>
      <c r="P665">
        <f>OrderLines[[#This Row],[UnitCost]]*OrderLines[[#This Row],[Qty]]</f>
        <v>107.43</v>
      </c>
      <c r="Q665" s="8">
        <f>OrderLines[[#This Row],[LineNetAmount]]-OrderLines[[#This Row],[Food Cost]]</f>
        <v>85.144200000000012</v>
      </c>
    </row>
    <row r="666" spans="1:17" x14ac:dyDescent="0.3">
      <c r="A666" t="s">
        <v>295</v>
      </c>
      <c r="B666" t="s">
        <v>409</v>
      </c>
      <c r="C666">
        <v>1</v>
      </c>
      <c r="D666" cm="1">
        <f t="array" ref="D666">VLOOKUP(OrderLines[[#This Row],[SKU]:[SKU]],Menu[],MATCH(OrderLines[[#Headers],[UnitPrice]],Menu[#Headers],0),FALSE)</f>
        <v>28.43</v>
      </c>
      <c r="E666" cm="1">
        <f t="array" ref="E666">VLOOKUP(OrderLines[[#This Row],[SKU]:[SKU]],Menu[],MATCH(OrderLines[[#Headers],[UnitCost]],Menu[#Headers],0),FALSE)</f>
        <v>13.89</v>
      </c>
      <c r="F666" t="str" cm="1">
        <f t="array" ref="F666">VLOOKUP(OrderLines[[#This Row],[SKU]:[SKU]],Menu[],MATCH(OrderLines[[#Headers],[Category]],Menu[#Headers],0),FALSE)</f>
        <v>Beverage</v>
      </c>
      <c r="G666" t="str" cm="1">
        <f t="array" ref="G666">_xlfn.TEXTJOIN("+",TRUE,_xlfn._xlws.SORT(_xlfn.UNIQUE(_xlfn._xlws.FILTER(OrderLines[Category],OrderLines[OrderID]=OrderLines[[#This Row],[OrderID]]))))</f>
        <v>Beverage+Hot Meal+Snack</v>
      </c>
      <c r="H666" s="2" cm="1">
        <f t="array" ref="H666">INT(VLOOKUP(OrderLines[[#This Row],[OrderID]:[OrderID]],Orders[],MATCH(OrderLines[[#Headers],[OrderDateTime]],Orders[#Headers],0),FALSE))</f>
        <v>45872</v>
      </c>
      <c r="I666" t="str" cm="1">
        <f t="array" ref="I666">VLOOKUP(OrderLines[[#This Row],[OrderID]:[OrderID]],Orders[],MATCH(OrderLines[[#Headers],[Branch]],Orders[#Headers],0),FALSE)</f>
        <v>Plant 2 Canteen</v>
      </c>
      <c r="J666" cm="1">
        <f t="array" ref="J666">VLOOKUP(OrderLines[[#This Row],[OrderID]:[OrderID]],Orders[],MATCH(OrderLines[[#Headers],[DiscountPct]],Orders[#Headers],0),FALSE)</f>
        <v>0.09</v>
      </c>
      <c r="K666" t="str" cm="1">
        <f t="array" ref="K666">VLOOKUP(OrderLines[[#This Row],[OrderID]:[OrderID]],Orders[],MATCH(OrderLines[[#Headers],[PaymentType]],Orders[#Headers],0),FALSE)</f>
        <v>Cash</v>
      </c>
      <c r="L666" t="str" cm="1">
        <f t="array" ref="L666">VLOOKUP(OrderLines[[#This Row],[OrderID]:[OrderID]],Orders[],MATCH(OrderLines[[#Headers],[Shift]],Orders[#Headers],0),FALSE)</f>
        <v>Breakfast</v>
      </c>
      <c r="M666" s="8">
        <f>(OrderLines[[#This Row],[Qty]]*OrderLines[[#This Row],[UnitPrice]])*(1-OrderLines[[#This Row],[DiscountPct]])</f>
        <v>25.871300000000002</v>
      </c>
      <c r="N666" t="str">
        <f>IF(AND(COUNTIFS(OrderLines[OrderID],OrderLines[[#This Row],[OrderID]],OrderLines[Category],"Hot Meal"),COUNTIFS(OrderLines[OrderID],OrderLines[[#This Row],[OrderID]],OrderLines[Category],"Beverage")),"Combo","Single")</f>
        <v>Combo</v>
      </c>
      <c r="O666" s="8" t="str" cm="1">
        <f t="array" ref="O666">IF(SUMPRODUCT(OrderLines[UnitPrice],OrderLines[Qty],OrderLines[DiscountPct],--(OrderLines[OrderID] = OrderLines[[#This Row],[OrderID]]))&gt;40,"High Discount","Ok")</f>
        <v>High Discount</v>
      </c>
      <c r="P666">
        <f>OrderLines[[#This Row],[UnitCost]]*OrderLines[[#This Row],[Qty]]</f>
        <v>13.89</v>
      </c>
      <c r="Q666" s="8">
        <f>OrderLines[[#This Row],[LineNetAmount]]-OrderLines[[#This Row],[Food Cost]]</f>
        <v>11.981300000000001</v>
      </c>
    </row>
    <row r="667" spans="1:17" x14ac:dyDescent="0.3">
      <c r="A667" t="s">
        <v>295</v>
      </c>
      <c r="B667" t="s">
        <v>417</v>
      </c>
      <c r="C667">
        <v>2</v>
      </c>
      <c r="D667" cm="1">
        <f t="array" ref="D667">VLOOKUP(OrderLines[[#This Row],[SKU]:[SKU]],Menu[],MATCH(OrderLines[[#Headers],[UnitPrice]],Menu[#Headers],0),FALSE)</f>
        <v>146.4</v>
      </c>
      <c r="E667" cm="1">
        <f t="array" ref="E667">VLOOKUP(OrderLines[[#This Row],[SKU]:[SKU]],Menu[],MATCH(OrderLines[[#Headers],[UnitCost]],Menu[#Headers],0),FALSE)</f>
        <v>80.92</v>
      </c>
      <c r="F667" t="str" cm="1">
        <f t="array" ref="F667">VLOOKUP(OrderLines[[#This Row],[SKU]:[SKU]],Menu[],MATCH(OrderLines[[#Headers],[Category]],Menu[#Headers],0),FALSE)</f>
        <v>Hot Meal</v>
      </c>
      <c r="G667" t="str" cm="1">
        <f t="array" ref="G667">_xlfn.TEXTJOIN("+",TRUE,_xlfn._xlws.SORT(_xlfn.UNIQUE(_xlfn._xlws.FILTER(OrderLines[Category],OrderLines[OrderID]=OrderLines[[#This Row],[OrderID]]))))</f>
        <v>Beverage+Hot Meal+Snack</v>
      </c>
      <c r="H667" s="2" cm="1">
        <f t="array" ref="H667">INT(VLOOKUP(OrderLines[[#This Row],[OrderID]:[OrderID]],Orders[],MATCH(OrderLines[[#Headers],[OrderDateTime]],Orders[#Headers],0),FALSE))</f>
        <v>45872</v>
      </c>
      <c r="I667" t="str" cm="1">
        <f t="array" ref="I667">VLOOKUP(OrderLines[[#This Row],[OrderID]:[OrderID]],Orders[],MATCH(OrderLines[[#Headers],[Branch]],Orders[#Headers],0),FALSE)</f>
        <v>Plant 2 Canteen</v>
      </c>
      <c r="J667" cm="1">
        <f t="array" ref="J667">VLOOKUP(OrderLines[[#This Row],[OrderID]:[OrderID]],Orders[],MATCH(OrderLines[[#Headers],[DiscountPct]],Orders[#Headers],0),FALSE)</f>
        <v>0.09</v>
      </c>
      <c r="K667" t="str" cm="1">
        <f t="array" ref="K667">VLOOKUP(OrderLines[[#This Row],[OrderID]:[OrderID]],Orders[],MATCH(OrderLines[[#Headers],[PaymentType]],Orders[#Headers],0),FALSE)</f>
        <v>Cash</v>
      </c>
      <c r="L667" t="str" cm="1">
        <f t="array" ref="L667">VLOOKUP(OrderLines[[#This Row],[OrderID]:[OrderID]],Orders[],MATCH(OrderLines[[#Headers],[Shift]],Orders[#Headers],0),FALSE)</f>
        <v>Breakfast</v>
      </c>
      <c r="M667" s="8">
        <f>(OrderLines[[#This Row],[Qty]]*OrderLines[[#This Row],[UnitPrice]])*(1-OrderLines[[#This Row],[DiscountPct]])</f>
        <v>266.44800000000004</v>
      </c>
      <c r="N667" t="str">
        <f>IF(AND(COUNTIFS(OrderLines[OrderID],OrderLines[[#This Row],[OrderID]],OrderLines[Category],"Hot Meal"),COUNTIFS(OrderLines[OrderID],OrderLines[[#This Row],[OrderID]],OrderLines[Category],"Beverage")),"Combo","Single")</f>
        <v>Combo</v>
      </c>
      <c r="O667" s="8" t="str" cm="1">
        <f t="array" ref="O667">IF(SUMPRODUCT(OrderLines[UnitPrice],OrderLines[Qty],OrderLines[DiscountPct],--(OrderLines[OrderID] = OrderLines[[#This Row],[OrderID]]))&gt;40,"High Discount","Ok")</f>
        <v>High Discount</v>
      </c>
      <c r="P667">
        <f>OrderLines[[#This Row],[UnitCost]]*OrderLines[[#This Row],[Qty]]</f>
        <v>161.84</v>
      </c>
      <c r="Q667" s="8">
        <f>OrderLines[[#This Row],[LineNetAmount]]-OrderLines[[#This Row],[Food Cost]]</f>
        <v>104.60800000000003</v>
      </c>
    </row>
    <row r="668" spans="1:17" x14ac:dyDescent="0.3">
      <c r="A668" t="s">
        <v>296</v>
      </c>
      <c r="B668" t="s">
        <v>407</v>
      </c>
      <c r="C668">
        <v>1</v>
      </c>
      <c r="D668" cm="1">
        <f t="array" ref="D668">VLOOKUP(OrderLines[[#This Row],[SKU]:[SKU]],Menu[],MATCH(OrderLines[[#Headers],[UnitPrice]],Menu[#Headers],0),FALSE)</f>
        <v>246.09</v>
      </c>
      <c r="E668" cm="1">
        <f t="array" ref="E668">VLOOKUP(OrderLines[[#This Row],[SKU]:[SKU]],Menu[],MATCH(OrderLines[[#Headers],[UnitCost]],Menu[#Headers],0),FALSE)</f>
        <v>112.08</v>
      </c>
      <c r="F668" t="str" cm="1">
        <f t="array" ref="F668">VLOOKUP(OrderLines[[#This Row],[SKU]:[SKU]],Menu[],MATCH(OrderLines[[#Headers],[Category]],Menu[#Headers],0),FALSE)</f>
        <v>Hot Meal</v>
      </c>
      <c r="G668" t="str" cm="1">
        <f t="array" ref="G668">_xlfn.TEXTJOIN("+",TRUE,_xlfn._xlws.SORT(_xlfn.UNIQUE(_xlfn._xlws.FILTER(OrderLines[Category],OrderLines[OrderID]=OrderLines[[#This Row],[OrderID]]))))</f>
        <v>Hot Meal+Snack</v>
      </c>
      <c r="H668" s="2" cm="1">
        <f t="array" ref="H668">INT(VLOOKUP(OrderLines[[#This Row],[OrderID]:[OrderID]],Orders[],MATCH(OrderLines[[#Headers],[OrderDateTime]],Orders[#Headers],0),FALSE))</f>
        <v>45894</v>
      </c>
      <c r="I668" t="str" cm="1">
        <f t="array" ref="I668">VLOOKUP(OrderLines[[#This Row],[OrderID]:[OrderID]],Orders[],MATCH(OrderLines[[#Headers],[Branch]],Orders[#Headers],0),FALSE)</f>
        <v>Head Office Café</v>
      </c>
      <c r="J668" cm="1">
        <f t="array" ref="J668">VLOOKUP(OrderLines[[#This Row],[OrderID]:[OrderID]],Orders[],MATCH(OrderLines[[#Headers],[DiscountPct]],Orders[#Headers],0),FALSE)</f>
        <v>0.03</v>
      </c>
      <c r="K668" t="str" cm="1">
        <f t="array" ref="K668">VLOOKUP(OrderLines[[#This Row],[OrderID]:[OrderID]],Orders[],MATCH(OrderLines[[#Headers],[PaymentType]],Orders[#Headers],0),FALSE)</f>
        <v>Cash</v>
      </c>
      <c r="L668" t="str" cm="1">
        <f t="array" ref="L668">VLOOKUP(OrderLines[[#This Row],[OrderID]:[OrderID]],Orders[],MATCH(OrderLines[[#Headers],[Shift]],Orders[#Headers],0),FALSE)</f>
        <v>Breakfast</v>
      </c>
      <c r="M668" s="8">
        <f>(OrderLines[[#This Row],[Qty]]*OrderLines[[#This Row],[UnitPrice]])*(1-OrderLines[[#This Row],[DiscountPct]])</f>
        <v>238.7073</v>
      </c>
      <c r="N668" t="str">
        <f>IF(AND(COUNTIFS(OrderLines[OrderID],OrderLines[[#This Row],[OrderID]],OrderLines[Category],"Hot Meal"),COUNTIFS(OrderLines[OrderID],OrderLines[[#This Row],[OrderID]],OrderLines[Category],"Beverage")),"Combo","Single")</f>
        <v>Single</v>
      </c>
      <c r="O668" s="8" t="str" cm="1">
        <f t="array" ref="O668">IF(SUMPRODUCT(OrderLines[UnitPrice],OrderLines[Qty],OrderLines[DiscountPct],--(OrderLines[OrderID] = OrderLines[[#This Row],[OrderID]]))&gt;40,"High Discount","Ok")</f>
        <v>Ok</v>
      </c>
      <c r="P668">
        <f>OrderLines[[#This Row],[UnitCost]]*OrderLines[[#This Row],[Qty]]</f>
        <v>112.08</v>
      </c>
      <c r="Q668" s="8">
        <f>OrderLines[[#This Row],[LineNetAmount]]-OrderLines[[#This Row],[Food Cost]]</f>
        <v>126.62730000000001</v>
      </c>
    </row>
    <row r="669" spans="1:17" x14ac:dyDescent="0.3">
      <c r="A669" t="s">
        <v>296</v>
      </c>
      <c r="B669" t="s">
        <v>408</v>
      </c>
      <c r="C669">
        <v>2</v>
      </c>
      <c r="D669" cm="1">
        <f t="array" ref="D669">VLOOKUP(OrderLines[[#This Row],[SKU]:[SKU]],Menu[],MATCH(OrderLines[[#Headers],[UnitPrice]],Menu[#Headers],0),FALSE)</f>
        <v>70.540000000000006</v>
      </c>
      <c r="E669" cm="1">
        <f t="array" ref="E669">VLOOKUP(OrderLines[[#This Row],[SKU]:[SKU]],Menu[],MATCH(OrderLines[[#Headers],[UnitCost]],Menu[#Headers],0),FALSE)</f>
        <v>35.81</v>
      </c>
      <c r="F669" t="str" cm="1">
        <f t="array" ref="F669">VLOOKUP(OrderLines[[#This Row],[SKU]:[SKU]],Menu[],MATCH(OrderLines[[#Headers],[Category]],Menu[#Headers],0),FALSE)</f>
        <v>Snack</v>
      </c>
      <c r="G669" t="str" cm="1">
        <f t="array" ref="G669">_xlfn.TEXTJOIN("+",TRUE,_xlfn._xlws.SORT(_xlfn.UNIQUE(_xlfn._xlws.FILTER(OrderLines[Category],OrderLines[OrderID]=OrderLines[[#This Row],[OrderID]]))))</f>
        <v>Hot Meal+Snack</v>
      </c>
      <c r="H669" s="2" cm="1">
        <f t="array" ref="H669">INT(VLOOKUP(OrderLines[[#This Row],[OrderID]:[OrderID]],Orders[],MATCH(OrderLines[[#Headers],[OrderDateTime]],Orders[#Headers],0),FALSE))</f>
        <v>45894</v>
      </c>
      <c r="I669" t="str" cm="1">
        <f t="array" ref="I669">VLOOKUP(OrderLines[[#This Row],[OrderID]:[OrderID]],Orders[],MATCH(OrderLines[[#Headers],[Branch]],Orders[#Headers],0),FALSE)</f>
        <v>Head Office Café</v>
      </c>
      <c r="J669" cm="1">
        <f t="array" ref="J669">VLOOKUP(OrderLines[[#This Row],[OrderID]:[OrderID]],Orders[],MATCH(OrderLines[[#Headers],[DiscountPct]],Orders[#Headers],0),FALSE)</f>
        <v>0.03</v>
      </c>
      <c r="K669" t="str" cm="1">
        <f t="array" ref="K669">VLOOKUP(OrderLines[[#This Row],[OrderID]:[OrderID]],Orders[],MATCH(OrderLines[[#Headers],[PaymentType]],Orders[#Headers],0),FALSE)</f>
        <v>Cash</v>
      </c>
      <c r="L669" t="str" cm="1">
        <f t="array" ref="L669">VLOOKUP(OrderLines[[#This Row],[OrderID]:[OrderID]],Orders[],MATCH(OrderLines[[#Headers],[Shift]],Orders[#Headers],0),FALSE)</f>
        <v>Breakfast</v>
      </c>
      <c r="M669" s="8">
        <f>(OrderLines[[#This Row],[Qty]]*OrderLines[[#This Row],[UnitPrice]])*(1-OrderLines[[#This Row],[DiscountPct]])</f>
        <v>136.8476</v>
      </c>
      <c r="N669" t="str">
        <f>IF(AND(COUNTIFS(OrderLines[OrderID],OrderLines[[#This Row],[OrderID]],OrderLines[Category],"Hot Meal"),COUNTIFS(OrderLines[OrderID],OrderLines[[#This Row],[OrderID]],OrderLines[Category],"Beverage")),"Combo","Single")</f>
        <v>Single</v>
      </c>
      <c r="O669" s="8" t="str" cm="1">
        <f t="array" ref="O669">IF(SUMPRODUCT(OrderLines[UnitPrice],OrderLines[Qty],OrderLines[DiscountPct],--(OrderLines[OrderID] = OrderLines[[#This Row],[OrderID]]))&gt;40,"High Discount","Ok")</f>
        <v>Ok</v>
      </c>
      <c r="P669">
        <f>OrderLines[[#This Row],[UnitCost]]*OrderLines[[#This Row],[Qty]]</f>
        <v>71.62</v>
      </c>
      <c r="Q669" s="8">
        <f>OrderLines[[#This Row],[LineNetAmount]]-OrderLines[[#This Row],[Food Cost]]</f>
        <v>65.227599999999995</v>
      </c>
    </row>
    <row r="670" spans="1:17" x14ac:dyDescent="0.3">
      <c r="A670" t="s">
        <v>297</v>
      </c>
      <c r="B670" t="s">
        <v>416</v>
      </c>
      <c r="C670">
        <v>1</v>
      </c>
      <c r="D670" cm="1">
        <f t="array" ref="D670">VLOOKUP(OrderLines[[#This Row],[SKU]:[SKU]],Menu[],MATCH(OrderLines[[#Headers],[UnitPrice]],Menu[#Headers],0),FALSE)</f>
        <v>227.61</v>
      </c>
      <c r="E670" cm="1">
        <f t="array" ref="E670">VLOOKUP(OrderLines[[#This Row],[SKU]:[SKU]],Menu[],MATCH(OrderLines[[#Headers],[UnitCost]],Menu[#Headers],0),FALSE)</f>
        <v>96.22</v>
      </c>
      <c r="F670" t="str" cm="1">
        <f t="array" ref="F670">VLOOKUP(OrderLines[[#This Row],[SKU]:[SKU]],Menu[],MATCH(OrderLines[[#Headers],[Category]],Menu[#Headers],0),FALSE)</f>
        <v>Hot Meal</v>
      </c>
      <c r="G670" t="str" cm="1">
        <f t="array" ref="G670">_xlfn.TEXTJOIN("+",TRUE,_xlfn._xlws.SORT(_xlfn.UNIQUE(_xlfn._xlws.FILTER(OrderLines[Category],OrderLines[OrderID]=OrderLines[[#This Row],[OrderID]]))))</f>
        <v>Hot Meal</v>
      </c>
      <c r="H670" s="2" cm="1">
        <f t="array" ref="H670">INT(VLOOKUP(OrderLines[[#This Row],[OrderID]:[OrderID]],Orders[],MATCH(OrderLines[[#Headers],[OrderDateTime]],Orders[#Headers],0),FALSE))</f>
        <v>45842</v>
      </c>
      <c r="I670" t="str" cm="1">
        <f t="array" ref="I670">VLOOKUP(OrderLines[[#This Row],[OrderID]:[OrderID]],Orders[],MATCH(OrderLines[[#Headers],[Branch]],Orders[#Headers],0),FALSE)</f>
        <v>Plant 1 Canteen</v>
      </c>
      <c r="J670" cm="1">
        <f t="array" ref="J670">VLOOKUP(OrderLines[[#This Row],[OrderID]:[OrderID]],Orders[],MATCH(OrderLines[[#Headers],[DiscountPct]],Orders[#Headers],0),FALSE)</f>
        <v>0.04</v>
      </c>
      <c r="K670" t="str" cm="1">
        <f t="array" ref="K670">VLOOKUP(OrderLines[[#This Row],[OrderID]:[OrderID]],Orders[],MATCH(OrderLines[[#Headers],[PaymentType]],Orders[#Headers],0),FALSE)</f>
        <v>UPI</v>
      </c>
      <c r="L670" t="str" cm="1">
        <f t="array" ref="L670">VLOOKUP(OrderLines[[#This Row],[OrderID]:[OrderID]],Orders[],MATCH(OrderLines[[#Headers],[Shift]],Orders[#Headers],0),FALSE)</f>
        <v>Breakfast</v>
      </c>
      <c r="M670" s="8">
        <f>(OrderLines[[#This Row],[Qty]]*OrderLines[[#This Row],[UnitPrice]])*(1-OrderLines[[#This Row],[DiscountPct]])</f>
        <v>218.50560000000002</v>
      </c>
      <c r="N670" t="str">
        <f>IF(AND(COUNTIFS(OrderLines[OrderID],OrderLines[[#This Row],[OrderID]],OrderLines[Category],"Hot Meal"),COUNTIFS(OrderLines[OrderID],OrderLines[[#This Row],[OrderID]],OrderLines[Category],"Beverage")),"Combo","Single")</f>
        <v>Single</v>
      </c>
      <c r="O670" s="8" t="str" cm="1">
        <f t="array" ref="O670">IF(SUMPRODUCT(OrderLines[UnitPrice],OrderLines[Qty],OrderLines[DiscountPct],--(OrderLines[OrderID] = OrderLines[[#This Row],[OrderID]]))&gt;40,"High Discount","Ok")</f>
        <v>Ok</v>
      </c>
      <c r="P670">
        <f>OrderLines[[#This Row],[UnitCost]]*OrderLines[[#This Row],[Qty]]</f>
        <v>96.22</v>
      </c>
      <c r="Q670" s="8">
        <f>OrderLines[[#This Row],[LineNetAmount]]-OrderLines[[#This Row],[Food Cost]]</f>
        <v>122.28560000000002</v>
      </c>
    </row>
    <row r="671" spans="1:17" x14ac:dyDescent="0.3">
      <c r="A671" t="s">
        <v>297</v>
      </c>
      <c r="B671" t="s">
        <v>417</v>
      </c>
      <c r="C671">
        <v>2</v>
      </c>
      <c r="D671" cm="1">
        <f t="array" ref="D671">VLOOKUP(OrderLines[[#This Row],[SKU]:[SKU]],Menu[],MATCH(OrderLines[[#Headers],[UnitPrice]],Menu[#Headers],0),FALSE)</f>
        <v>146.4</v>
      </c>
      <c r="E671" cm="1">
        <f t="array" ref="E671">VLOOKUP(OrderLines[[#This Row],[SKU]:[SKU]],Menu[],MATCH(OrderLines[[#Headers],[UnitCost]],Menu[#Headers],0),FALSE)</f>
        <v>80.92</v>
      </c>
      <c r="F671" t="str" cm="1">
        <f t="array" ref="F671">VLOOKUP(OrderLines[[#This Row],[SKU]:[SKU]],Menu[],MATCH(OrderLines[[#Headers],[Category]],Menu[#Headers],0),FALSE)</f>
        <v>Hot Meal</v>
      </c>
      <c r="G671" t="str" cm="1">
        <f t="array" ref="G671">_xlfn.TEXTJOIN("+",TRUE,_xlfn._xlws.SORT(_xlfn.UNIQUE(_xlfn._xlws.FILTER(OrderLines[Category],OrderLines[OrderID]=OrderLines[[#This Row],[OrderID]]))))</f>
        <v>Hot Meal</v>
      </c>
      <c r="H671" s="2" cm="1">
        <f t="array" ref="H671">INT(VLOOKUP(OrderLines[[#This Row],[OrderID]:[OrderID]],Orders[],MATCH(OrderLines[[#Headers],[OrderDateTime]],Orders[#Headers],0),FALSE))</f>
        <v>45842</v>
      </c>
      <c r="I671" t="str" cm="1">
        <f t="array" ref="I671">VLOOKUP(OrderLines[[#This Row],[OrderID]:[OrderID]],Orders[],MATCH(OrderLines[[#Headers],[Branch]],Orders[#Headers],0),FALSE)</f>
        <v>Plant 1 Canteen</v>
      </c>
      <c r="J671" cm="1">
        <f t="array" ref="J671">VLOOKUP(OrderLines[[#This Row],[OrderID]:[OrderID]],Orders[],MATCH(OrderLines[[#Headers],[DiscountPct]],Orders[#Headers],0),FALSE)</f>
        <v>0.04</v>
      </c>
      <c r="K671" t="str" cm="1">
        <f t="array" ref="K671">VLOOKUP(OrderLines[[#This Row],[OrderID]:[OrderID]],Orders[],MATCH(OrderLines[[#Headers],[PaymentType]],Orders[#Headers],0),FALSE)</f>
        <v>UPI</v>
      </c>
      <c r="L671" t="str" cm="1">
        <f t="array" ref="L671">VLOOKUP(OrderLines[[#This Row],[OrderID]:[OrderID]],Orders[],MATCH(OrderLines[[#Headers],[Shift]],Orders[#Headers],0),FALSE)</f>
        <v>Breakfast</v>
      </c>
      <c r="M671" s="8">
        <f>(OrderLines[[#This Row],[Qty]]*OrderLines[[#This Row],[UnitPrice]])*(1-OrderLines[[#This Row],[DiscountPct]])</f>
        <v>281.08800000000002</v>
      </c>
      <c r="N671" t="str">
        <f>IF(AND(COUNTIFS(OrderLines[OrderID],OrderLines[[#This Row],[OrderID]],OrderLines[Category],"Hot Meal"),COUNTIFS(OrderLines[OrderID],OrderLines[[#This Row],[OrderID]],OrderLines[Category],"Beverage")),"Combo","Single")</f>
        <v>Single</v>
      </c>
      <c r="O671" s="8" t="str" cm="1">
        <f t="array" ref="O671">IF(SUMPRODUCT(OrderLines[UnitPrice],OrderLines[Qty],OrderLines[DiscountPct],--(OrderLines[OrderID] = OrderLines[[#This Row],[OrderID]]))&gt;40,"High Discount","Ok")</f>
        <v>Ok</v>
      </c>
      <c r="P671">
        <f>OrderLines[[#This Row],[UnitCost]]*OrderLines[[#This Row],[Qty]]</f>
        <v>161.84</v>
      </c>
      <c r="Q671" s="8">
        <f>OrderLines[[#This Row],[LineNetAmount]]-OrderLines[[#This Row],[Food Cost]]</f>
        <v>119.24800000000002</v>
      </c>
    </row>
    <row r="672" spans="1:17" x14ac:dyDescent="0.3">
      <c r="A672" t="s">
        <v>298</v>
      </c>
      <c r="B672" t="s">
        <v>409</v>
      </c>
      <c r="C672">
        <v>2</v>
      </c>
      <c r="D672" cm="1">
        <f t="array" ref="D672">VLOOKUP(OrderLines[[#This Row],[SKU]:[SKU]],Menu[],MATCH(OrderLines[[#Headers],[UnitPrice]],Menu[#Headers],0),FALSE)</f>
        <v>28.43</v>
      </c>
      <c r="E672" cm="1">
        <f t="array" ref="E672">VLOOKUP(OrderLines[[#This Row],[SKU]:[SKU]],Menu[],MATCH(OrderLines[[#Headers],[UnitCost]],Menu[#Headers],0),FALSE)</f>
        <v>13.89</v>
      </c>
      <c r="F672" t="str" cm="1">
        <f t="array" ref="F672">VLOOKUP(OrderLines[[#This Row],[SKU]:[SKU]],Menu[],MATCH(OrderLines[[#Headers],[Category]],Menu[#Headers],0),FALSE)</f>
        <v>Beverage</v>
      </c>
      <c r="G672" t="str" cm="1">
        <f t="array" ref="G672">_xlfn.TEXTJOIN("+",TRUE,_xlfn._xlws.SORT(_xlfn.UNIQUE(_xlfn._xlws.FILTER(OrderLines[Category],OrderLines[OrderID]=OrderLines[[#This Row],[OrderID]]))))</f>
        <v>Beverage+Hot Meal+Snack</v>
      </c>
      <c r="H672" s="2" cm="1">
        <f t="array" ref="H672">INT(VLOOKUP(OrderLines[[#This Row],[OrderID]:[OrderID]],Orders[],MATCH(OrderLines[[#Headers],[OrderDateTime]],Orders[#Headers],0),FALSE))</f>
        <v>45875</v>
      </c>
      <c r="I672" t="str" cm="1">
        <f t="array" ref="I672">VLOOKUP(OrderLines[[#This Row],[OrderID]:[OrderID]],Orders[],MATCH(OrderLines[[#Headers],[Branch]],Orders[#Headers],0),FALSE)</f>
        <v>Plant 2 Canteen</v>
      </c>
      <c r="J672" cm="1">
        <f t="array" ref="J672">VLOOKUP(OrderLines[[#This Row],[OrderID]:[OrderID]],Orders[],MATCH(OrderLines[[#Headers],[DiscountPct]],Orders[#Headers],0),FALSE)</f>
        <v>0.09</v>
      </c>
      <c r="K672" t="str" cm="1">
        <f t="array" ref="K672">VLOOKUP(OrderLines[[#This Row],[OrderID]:[OrderID]],Orders[],MATCH(OrderLines[[#Headers],[PaymentType]],Orders[#Headers],0),FALSE)</f>
        <v>Card</v>
      </c>
      <c r="L672" t="str" cm="1">
        <f t="array" ref="L672">VLOOKUP(OrderLines[[#This Row],[OrderID]:[OrderID]],Orders[],MATCH(OrderLines[[#Headers],[Shift]],Orders[#Headers],0),FALSE)</f>
        <v>Dinner</v>
      </c>
      <c r="M672" s="8">
        <f>(OrderLines[[#This Row],[Qty]]*OrderLines[[#This Row],[UnitPrice]])*(1-OrderLines[[#This Row],[DiscountPct]])</f>
        <v>51.742600000000003</v>
      </c>
      <c r="N672" t="str">
        <f>IF(AND(COUNTIFS(OrderLines[OrderID],OrderLines[[#This Row],[OrderID]],OrderLines[Category],"Hot Meal"),COUNTIFS(OrderLines[OrderID],OrderLines[[#This Row],[OrderID]],OrderLines[Category],"Beverage")),"Combo","Single")</f>
        <v>Combo</v>
      </c>
      <c r="O672" s="8" t="str" cm="1">
        <f t="array" ref="O672">IF(SUMPRODUCT(OrderLines[UnitPrice],OrderLines[Qty],OrderLines[DiscountPct],--(OrderLines[OrderID] = OrderLines[[#This Row],[OrderID]]))&gt;40,"High Discount","Ok")</f>
        <v>Ok</v>
      </c>
      <c r="P672">
        <f>OrderLines[[#This Row],[UnitCost]]*OrderLines[[#This Row],[Qty]]</f>
        <v>27.78</v>
      </c>
      <c r="Q672" s="8">
        <f>OrderLines[[#This Row],[LineNetAmount]]-OrderLines[[#This Row],[Food Cost]]</f>
        <v>23.962600000000002</v>
      </c>
    </row>
    <row r="673" spans="1:17" x14ac:dyDescent="0.3">
      <c r="A673" t="s">
        <v>298</v>
      </c>
      <c r="B673" t="s">
        <v>401</v>
      </c>
      <c r="C673">
        <v>1</v>
      </c>
      <c r="D673" cm="1">
        <f t="array" ref="D673">VLOOKUP(OrderLines[[#This Row],[SKU]:[SKU]],Menu[],MATCH(OrderLines[[#Headers],[UnitPrice]],Menu[#Headers],0),FALSE)</f>
        <v>52.45</v>
      </c>
      <c r="E673" cm="1">
        <f t="array" ref="E673">VLOOKUP(OrderLines[[#This Row],[SKU]:[SKU]],Menu[],MATCH(OrderLines[[#Headers],[UnitCost]],Menu[#Headers],0),FALSE)</f>
        <v>25.8</v>
      </c>
      <c r="F673" t="str" cm="1">
        <f t="array" ref="F673">VLOOKUP(OrderLines[[#This Row],[SKU]:[SKU]],Menu[],MATCH(OrderLines[[#Headers],[Category]],Menu[#Headers],0),FALSE)</f>
        <v>Snack</v>
      </c>
      <c r="G673" t="str" cm="1">
        <f t="array" ref="G673">_xlfn.TEXTJOIN("+",TRUE,_xlfn._xlws.SORT(_xlfn.UNIQUE(_xlfn._xlws.FILTER(OrderLines[Category],OrderLines[OrderID]=OrderLines[[#This Row],[OrderID]]))))</f>
        <v>Beverage+Hot Meal+Snack</v>
      </c>
      <c r="H673" s="2" cm="1">
        <f t="array" ref="H673">INT(VLOOKUP(OrderLines[[#This Row],[OrderID]:[OrderID]],Orders[],MATCH(OrderLines[[#Headers],[OrderDateTime]],Orders[#Headers],0),FALSE))</f>
        <v>45875</v>
      </c>
      <c r="I673" t="str" cm="1">
        <f t="array" ref="I673">VLOOKUP(OrderLines[[#This Row],[OrderID]:[OrderID]],Orders[],MATCH(OrderLines[[#Headers],[Branch]],Orders[#Headers],0),FALSE)</f>
        <v>Plant 2 Canteen</v>
      </c>
      <c r="J673" cm="1">
        <f t="array" ref="J673">VLOOKUP(OrderLines[[#This Row],[OrderID]:[OrderID]],Orders[],MATCH(OrderLines[[#Headers],[DiscountPct]],Orders[#Headers],0),FALSE)</f>
        <v>0.09</v>
      </c>
      <c r="K673" t="str" cm="1">
        <f t="array" ref="K673">VLOOKUP(OrderLines[[#This Row],[OrderID]:[OrderID]],Orders[],MATCH(OrderLines[[#Headers],[PaymentType]],Orders[#Headers],0),FALSE)</f>
        <v>Card</v>
      </c>
      <c r="L673" t="str" cm="1">
        <f t="array" ref="L673">VLOOKUP(OrderLines[[#This Row],[OrderID]:[OrderID]],Orders[],MATCH(OrderLines[[#Headers],[Shift]],Orders[#Headers],0),FALSE)</f>
        <v>Dinner</v>
      </c>
      <c r="M673" s="8">
        <f>(OrderLines[[#This Row],[Qty]]*OrderLines[[#This Row],[UnitPrice]])*(1-OrderLines[[#This Row],[DiscountPct]])</f>
        <v>47.729500000000002</v>
      </c>
      <c r="N673" t="str">
        <f>IF(AND(COUNTIFS(OrderLines[OrderID],OrderLines[[#This Row],[OrderID]],OrderLines[Category],"Hot Meal"),COUNTIFS(OrderLines[OrderID],OrderLines[[#This Row],[OrderID]],OrderLines[Category],"Beverage")),"Combo","Single")</f>
        <v>Combo</v>
      </c>
      <c r="O673" s="8" t="str" cm="1">
        <f t="array" ref="O673">IF(SUMPRODUCT(OrderLines[UnitPrice],OrderLines[Qty],OrderLines[DiscountPct],--(OrderLines[OrderID] = OrderLines[[#This Row],[OrderID]]))&gt;40,"High Discount","Ok")</f>
        <v>Ok</v>
      </c>
      <c r="P673">
        <f>OrderLines[[#This Row],[UnitCost]]*OrderLines[[#This Row],[Qty]]</f>
        <v>25.8</v>
      </c>
      <c r="Q673" s="8">
        <f>OrderLines[[#This Row],[LineNetAmount]]-OrderLines[[#This Row],[Food Cost]]</f>
        <v>21.929500000000001</v>
      </c>
    </row>
    <row r="674" spans="1:17" x14ac:dyDescent="0.3">
      <c r="A674" t="s">
        <v>298</v>
      </c>
      <c r="B674" t="s">
        <v>417</v>
      </c>
      <c r="C674">
        <v>1</v>
      </c>
      <c r="D674" cm="1">
        <f t="array" ref="D674">VLOOKUP(OrderLines[[#This Row],[SKU]:[SKU]],Menu[],MATCH(OrderLines[[#Headers],[UnitPrice]],Menu[#Headers],0),FALSE)</f>
        <v>146.4</v>
      </c>
      <c r="E674" cm="1">
        <f t="array" ref="E674">VLOOKUP(OrderLines[[#This Row],[SKU]:[SKU]],Menu[],MATCH(OrderLines[[#Headers],[UnitCost]],Menu[#Headers],0),FALSE)</f>
        <v>80.92</v>
      </c>
      <c r="F674" t="str" cm="1">
        <f t="array" ref="F674">VLOOKUP(OrderLines[[#This Row],[SKU]:[SKU]],Menu[],MATCH(OrderLines[[#Headers],[Category]],Menu[#Headers],0),FALSE)</f>
        <v>Hot Meal</v>
      </c>
      <c r="G674" t="str" cm="1">
        <f t="array" ref="G674">_xlfn.TEXTJOIN("+",TRUE,_xlfn._xlws.SORT(_xlfn.UNIQUE(_xlfn._xlws.FILTER(OrderLines[Category],OrderLines[OrderID]=OrderLines[[#This Row],[OrderID]]))))</f>
        <v>Beverage+Hot Meal+Snack</v>
      </c>
      <c r="H674" s="2" cm="1">
        <f t="array" ref="H674">INT(VLOOKUP(OrderLines[[#This Row],[OrderID]:[OrderID]],Orders[],MATCH(OrderLines[[#Headers],[OrderDateTime]],Orders[#Headers],0),FALSE))</f>
        <v>45875</v>
      </c>
      <c r="I674" t="str" cm="1">
        <f t="array" ref="I674">VLOOKUP(OrderLines[[#This Row],[OrderID]:[OrderID]],Orders[],MATCH(OrderLines[[#Headers],[Branch]],Orders[#Headers],0),FALSE)</f>
        <v>Plant 2 Canteen</v>
      </c>
      <c r="J674" cm="1">
        <f t="array" ref="J674">VLOOKUP(OrderLines[[#This Row],[OrderID]:[OrderID]],Orders[],MATCH(OrderLines[[#Headers],[DiscountPct]],Orders[#Headers],0),FALSE)</f>
        <v>0.09</v>
      </c>
      <c r="K674" t="str" cm="1">
        <f t="array" ref="K674">VLOOKUP(OrderLines[[#This Row],[OrderID]:[OrderID]],Orders[],MATCH(OrderLines[[#Headers],[PaymentType]],Orders[#Headers],0),FALSE)</f>
        <v>Card</v>
      </c>
      <c r="L674" t="str" cm="1">
        <f t="array" ref="L674">VLOOKUP(OrderLines[[#This Row],[OrderID]:[OrderID]],Orders[],MATCH(OrderLines[[#Headers],[Shift]],Orders[#Headers],0),FALSE)</f>
        <v>Dinner</v>
      </c>
      <c r="M674" s="8">
        <f>(OrderLines[[#This Row],[Qty]]*OrderLines[[#This Row],[UnitPrice]])*(1-OrderLines[[#This Row],[DiscountPct]])</f>
        <v>133.22400000000002</v>
      </c>
      <c r="N674" t="str">
        <f>IF(AND(COUNTIFS(OrderLines[OrderID],OrderLines[[#This Row],[OrderID]],OrderLines[Category],"Hot Meal"),COUNTIFS(OrderLines[OrderID],OrderLines[[#This Row],[OrderID]],OrderLines[Category],"Beverage")),"Combo","Single")</f>
        <v>Combo</v>
      </c>
      <c r="O674" s="8" t="str" cm="1">
        <f t="array" ref="O674">IF(SUMPRODUCT(OrderLines[UnitPrice],OrderLines[Qty],OrderLines[DiscountPct],--(OrderLines[OrderID] = OrderLines[[#This Row],[OrderID]]))&gt;40,"High Discount","Ok")</f>
        <v>Ok</v>
      </c>
      <c r="P674">
        <f>OrderLines[[#This Row],[UnitCost]]*OrderLines[[#This Row],[Qty]]</f>
        <v>80.92</v>
      </c>
      <c r="Q674" s="8">
        <f>OrderLines[[#This Row],[LineNetAmount]]-OrderLines[[#This Row],[Food Cost]]</f>
        <v>52.304000000000016</v>
      </c>
    </row>
    <row r="675" spans="1:17" x14ac:dyDescent="0.3">
      <c r="A675" t="s">
        <v>299</v>
      </c>
      <c r="B675" t="s">
        <v>403</v>
      </c>
      <c r="C675">
        <v>2</v>
      </c>
      <c r="D675" cm="1">
        <f t="array" ref="D675">VLOOKUP(OrderLines[[#This Row],[SKU]:[SKU]],Menu[],MATCH(OrderLines[[#Headers],[UnitPrice]],Menu[#Headers],0),FALSE)</f>
        <v>76.55</v>
      </c>
      <c r="E675" cm="1">
        <f t="array" ref="E675">VLOOKUP(OrderLines[[#This Row],[SKU]:[SKU]],Menu[],MATCH(OrderLines[[#Headers],[UnitCost]],Menu[#Headers],0),FALSE)</f>
        <v>38.229999999999997</v>
      </c>
      <c r="F675" t="str" cm="1">
        <f t="array" ref="F675">VLOOKUP(OrderLines[[#This Row],[SKU]:[SKU]],Menu[],MATCH(OrderLines[[#Headers],[Category]],Menu[#Headers],0),FALSE)</f>
        <v>Dessert</v>
      </c>
      <c r="G675" t="str" cm="1">
        <f t="array" ref="G675">_xlfn.TEXTJOIN("+",TRUE,_xlfn._xlws.SORT(_xlfn.UNIQUE(_xlfn._xlws.FILTER(OrderLines[Category],OrderLines[OrderID]=OrderLines[[#This Row],[OrderID]]))))</f>
        <v>Dessert+Hot Meal</v>
      </c>
      <c r="H675" s="2" cm="1">
        <f t="array" ref="H675">INT(VLOOKUP(OrderLines[[#This Row],[OrderID]:[OrderID]],Orders[],MATCH(OrderLines[[#Headers],[OrderDateTime]],Orders[#Headers],0),FALSE))</f>
        <v>45875</v>
      </c>
      <c r="I675" t="str" cm="1">
        <f t="array" ref="I675">VLOOKUP(OrderLines[[#This Row],[OrderID]:[OrderID]],Orders[],MATCH(OrderLines[[#Headers],[Branch]],Orders[#Headers],0),FALSE)</f>
        <v>Plant 2 Canteen</v>
      </c>
      <c r="J675" cm="1">
        <f t="array" ref="J675">VLOOKUP(OrderLines[[#This Row],[OrderID]:[OrderID]],Orders[],MATCH(OrderLines[[#Headers],[DiscountPct]],Orders[#Headers],0),FALSE)</f>
        <v>0.08</v>
      </c>
      <c r="K675" t="str" cm="1">
        <f t="array" ref="K675">VLOOKUP(OrderLines[[#This Row],[OrderID]:[OrderID]],Orders[],MATCH(OrderLines[[#Headers],[PaymentType]],Orders[#Headers],0),FALSE)</f>
        <v>Card</v>
      </c>
      <c r="L675" t="str" cm="1">
        <f t="array" ref="L675">VLOOKUP(OrderLines[[#This Row],[OrderID]:[OrderID]],Orders[],MATCH(OrderLines[[#Headers],[Shift]],Orders[#Headers],0),FALSE)</f>
        <v>Breakfast</v>
      </c>
      <c r="M675" s="8">
        <f>(OrderLines[[#This Row],[Qty]]*OrderLines[[#This Row],[UnitPrice]])*(1-OrderLines[[#This Row],[DiscountPct]])</f>
        <v>140.852</v>
      </c>
      <c r="N675" t="str">
        <f>IF(AND(COUNTIFS(OrderLines[OrderID],OrderLines[[#This Row],[OrderID]],OrderLines[Category],"Hot Meal"),COUNTIFS(OrderLines[OrderID],OrderLines[[#This Row],[OrderID]],OrderLines[Category],"Beverage")),"Combo","Single")</f>
        <v>Single</v>
      </c>
      <c r="O675" s="8" t="str" cm="1">
        <f t="array" ref="O675">IF(SUMPRODUCT(OrderLines[UnitPrice],OrderLines[Qty],OrderLines[DiscountPct],--(OrderLines[OrderID] = OrderLines[[#This Row],[OrderID]]))&gt;40,"High Discount","Ok")</f>
        <v>High Discount</v>
      </c>
      <c r="P675">
        <f>OrderLines[[#This Row],[UnitCost]]*OrderLines[[#This Row],[Qty]]</f>
        <v>76.459999999999994</v>
      </c>
      <c r="Q675" s="8">
        <f>OrderLines[[#This Row],[LineNetAmount]]-OrderLines[[#This Row],[Food Cost]]</f>
        <v>64.39200000000001</v>
      </c>
    </row>
    <row r="676" spans="1:17" x14ac:dyDescent="0.3">
      <c r="A676" t="s">
        <v>299</v>
      </c>
      <c r="B676" t="s">
        <v>413</v>
      </c>
      <c r="C676">
        <v>1</v>
      </c>
      <c r="D676" cm="1">
        <f t="array" ref="D676">VLOOKUP(OrderLines[[#This Row],[SKU]:[SKU]],Menu[],MATCH(OrderLines[[#Headers],[UnitPrice]],Menu[#Headers],0),FALSE)</f>
        <v>54.2</v>
      </c>
      <c r="E676" cm="1">
        <f t="array" ref="E676">VLOOKUP(OrderLines[[#This Row],[SKU]:[SKU]],Menu[],MATCH(OrderLines[[#Headers],[UnitCost]],Menu[#Headers],0),FALSE)</f>
        <v>21.95</v>
      </c>
      <c r="F676" t="str" cm="1">
        <f t="array" ref="F676">VLOOKUP(OrderLines[[#This Row],[SKU]:[SKU]],Menu[],MATCH(OrderLines[[#Headers],[Category]],Menu[#Headers],0),FALSE)</f>
        <v>Dessert</v>
      </c>
      <c r="G676" t="str" cm="1">
        <f t="array" ref="G676">_xlfn.TEXTJOIN("+",TRUE,_xlfn._xlws.SORT(_xlfn.UNIQUE(_xlfn._xlws.FILTER(OrderLines[Category],OrderLines[OrderID]=OrderLines[[#This Row],[OrderID]]))))</f>
        <v>Dessert+Hot Meal</v>
      </c>
      <c r="H676" s="2" cm="1">
        <f t="array" ref="H676">INT(VLOOKUP(OrderLines[[#This Row],[OrderID]:[OrderID]],Orders[],MATCH(OrderLines[[#Headers],[OrderDateTime]],Orders[#Headers],0),FALSE))</f>
        <v>45875</v>
      </c>
      <c r="I676" t="str" cm="1">
        <f t="array" ref="I676">VLOOKUP(OrderLines[[#This Row],[OrderID]:[OrderID]],Orders[],MATCH(OrderLines[[#Headers],[Branch]],Orders[#Headers],0),FALSE)</f>
        <v>Plant 2 Canteen</v>
      </c>
      <c r="J676" cm="1">
        <f t="array" ref="J676">VLOOKUP(OrderLines[[#This Row],[OrderID]:[OrderID]],Orders[],MATCH(OrderLines[[#Headers],[DiscountPct]],Orders[#Headers],0),FALSE)</f>
        <v>0.08</v>
      </c>
      <c r="K676" t="str" cm="1">
        <f t="array" ref="K676">VLOOKUP(OrderLines[[#This Row],[OrderID]:[OrderID]],Orders[],MATCH(OrderLines[[#Headers],[PaymentType]],Orders[#Headers],0),FALSE)</f>
        <v>Card</v>
      </c>
      <c r="L676" t="str" cm="1">
        <f t="array" ref="L676">VLOOKUP(OrderLines[[#This Row],[OrderID]:[OrderID]],Orders[],MATCH(OrderLines[[#Headers],[Shift]],Orders[#Headers],0),FALSE)</f>
        <v>Breakfast</v>
      </c>
      <c r="M676" s="8">
        <f>(OrderLines[[#This Row],[Qty]]*OrderLines[[#This Row],[UnitPrice]])*(1-OrderLines[[#This Row],[DiscountPct]])</f>
        <v>49.864000000000004</v>
      </c>
      <c r="N676" t="str">
        <f>IF(AND(COUNTIFS(OrderLines[OrderID],OrderLines[[#This Row],[OrderID]],OrderLines[Category],"Hot Meal"),COUNTIFS(OrderLines[OrderID],OrderLines[[#This Row],[OrderID]],OrderLines[Category],"Beverage")),"Combo","Single")</f>
        <v>Single</v>
      </c>
      <c r="O676" s="8" t="str" cm="1">
        <f t="array" ref="O676">IF(SUMPRODUCT(OrderLines[UnitPrice],OrderLines[Qty],OrderLines[DiscountPct],--(OrderLines[OrderID] = OrderLines[[#This Row],[OrderID]]))&gt;40,"High Discount","Ok")</f>
        <v>High Discount</v>
      </c>
      <c r="P676">
        <f>OrderLines[[#This Row],[UnitCost]]*OrderLines[[#This Row],[Qty]]</f>
        <v>21.95</v>
      </c>
      <c r="Q676" s="8">
        <f>OrderLines[[#This Row],[LineNetAmount]]-OrderLines[[#This Row],[Food Cost]]</f>
        <v>27.914000000000005</v>
      </c>
    </row>
    <row r="677" spans="1:17" x14ac:dyDescent="0.3">
      <c r="A677" t="s">
        <v>299</v>
      </c>
      <c r="B677" t="s">
        <v>415</v>
      </c>
      <c r="C677">
        <v>2</v>
      </c>
      <c r="D677" cm="1">
        <f t="array" ref="D677">VLOOKUP(OrderLines[[#This Row],[SKU]:[SKU]],Menu[],MATCH(OrderLines[[#Headers],[UnitPrice]],Menu[#Headers],0),FALSE)</f>
        <v>256.91000000000003</v>
      </c>
      <c r="E677" cm="1">
        <f t="array" ref="E677">VLOOKUP(OrderLines[[#This Row],[SKU]:[SKU]],Menu[],MATCH(OrderLines[[#Headers],[UnitCost]],Menu[#Headers],0),FALSE)</f>
        <v>121.24</v>
      </c>
      <c r="F677" t="str" cm="1">
        <f t="array" ref="F677">VLOOKUP(OrderLines[[#This Row],[SKU]:[SKU]],Menu[],MATCH(OrderLines[[#Headers],[Category]],Menu[#Headers],0),FALSE)</f>
        <v>Hot Meal</v>
      </c>
      <c r="G677" t="str" cm="1">
        <f t="array" ref="G677">_xlfn.TEXTJOIN("+",TRUE,_xlfn._xlws.SORT(_xlfn.UNIQUE(_xlfn._xlws.FILTER(OrderLines[Category],OrderLines[OrderID]=OrderLines[[#This Row],[OrderID]]))))</f>
        <v>Dessert+Hot Meal</v>
      </c>
      <c r="H677" s="2" cm="1">
        <f t="array" ref="H677">INT(VLOOKUP(OrderLines[[#This Row],[OrderID]:[OrderID]],Orders[],MATCH(OrderLines[[#Headers],[OrderDateTime]],Orders[#Headers],0),FALSE))</f>
        <v>45875</v>
      </c>
      <c r="I677" t="str" cm="1">
        <f t="array" ref="I677">VLOOKUP(OrderLines[[#This Row],[OrderID]:[OrderID]],Orders[],MATCH(OrderLines[[#Headers],[Branch]],Orders[#Headers],0),FALSE)</f>
        <v>Plant 2 Canteen</v>
      </c>
      <c r="J677" cm="1">
        <f t="array" ref="J677">VLOOKUP(OrderLines[[#This Row],[OrderID]:[OrderID]],Orders[],MATCH(OrderLines[[#Headers],[DiscountPct]],Orders[#Headers],0),FALSE)</f>
        <v>0.08</v>
      </c>
      <c r="K677" t="str" cm="1">
        <f t="array" ref="K677">VLOOKUP(OrderLines[[#This Row],[OrderID]:[OrderID]],Orders[],MATCH(OrderLines[[#Headers],[PaymentType]],Orders[#Headers],0),FALSE)</f>
        <v>Card</v>
      </c>
      <c r="L677" t="str" cm="1">
        <f t="array" ref="L677">VLOOKUP(OrderLines[[#This Row],[OrderID]:[OrderID]],Orders[],MATCH(OrderLines[[#Headers],[Shift]],Orders[#Headers],0),FALSE)</f>
        <v>Breakfast</v>
      </c>
      <c r="M677" s="8">
        <f>(OrderLines[[#This Row],[Qty]]*OrderLines[[#This Row],[UnitPrice]])*(1-OrderLines[[#This Row],[DiscountPct]])</f>
        <v>472.71440000000007</v>
      </c>
      <c r="N677" t="str">
        <f>IF(AND(COUNTIFS(OrderLines[OrderID],OrderLines[[#This Row],[OrderID]],OrderLines[Category],"Hot Meal"),COUNTIFS(OrderLines[OrderID],OrderLines[[#This Row],[OrderID]],OrderLines[Category],"Beverage")),"Combo","Single")</f>
        <v>Single</v>
      </c>
      <c r="O677" s="8" t="str" cm="1">
        <f t="array" ref="O677">IF(SUMPRODUCT(OrderLines[UnitPrice],OrderLines[Qty],OrderLines[DiscountPct],--(OrderLines[OrderID] = OrderLines[[#This Row],[OrderID]]))&gt;40,"High Discount","Ok")</f>
        <v>High Discount</v>
      </c>
      <c r="P677">
        <f>OrderLines[[#This Row],[UnitCost]]*OrderLines[[#This Row],[Qty]]</f>
        <v>242.48</v>
      </c>
      <c r="Q677" s="8">
        <f>OrderLines[[#This Row],[LineNetAmount]]-OrderLines[[#This Row],[Food Cost]]</f>
        <v>230.23440000000008</v>
      </c>
    </row>
    <row r="678" spans="1:17" x14ac:dyDescent="0.3">
      <c r="A678" t="s">
        <v>300</v>
      </c>
      <c r="B678" t="s">
        <v>415</v>
      </c>
      <c r="C678">
        <v>1</v>
      </c>
      <c r="D678" cm="1">
        <f t="array" ref="D678">VLOOKUP(OrderLines[[#This Row],[SKU]:[SKU]],Menu[],MATCH(OrderLines[[#Headers],[UnitPrice]],Menu[#Headers],0),FALSE)</f>
        <v>256.91000000000003</v>
      </c>
      <c r="E678" cm="1">
        <f t="array" ref="E678">VLOOKUP(OrderLines[[#This Row],[SKU]:[SKU]],Menu[],MATCH(OrderLines[[#Headers],[UnitCost]],Menu[#Headers],0),FALSE)</f>
        <v>121.24</v>
      </c>
      <c r="F678" t="str" cm="1">
        <f t="array" ref="F678">VLOOKUP(OrderLines[[#This Row],[SKU]:[SKU]],Menu[],MATCH(OrderLines[[#Headers],[Category]],Menu[#Headers],0),FALSE)</f>
        <v>Hot Meal</v>
      </c>
      <c r="G678" t="str" cm="1">
        <f t="array" ref="G678">_xlfn.TEXTJOIN("+",TRUE,_xlfn._xlws.SORT(_xlfn.UNIQUE(_xlfn._xlws.FILTER(OrderLines[Category],OrderLines[OrderID]=OrderLines[[#This Row],[OrderID]]))))</f>
        <v>Dessert+Hot Meal</v>
      </c>
      <c r="H678" s="2" cm="1">
        <f t="array" ref="H678">INT(VLOOKUP(OrderLines[[#This Row],[OrderID]:[OrderID]],Orders[],MATCH(OrderLines[[#Headers],[OrderDateTime]],Orders[#Headers],0),FALSE))</f>
        <v>45844</v>
      </c>
      <c r="I678" t="str" cm="1">
        <f t="array" ref="I678">VLOOKUP(OrderLines[[#This Row],[OrderID]:[OrderID]],Orders[],MATCH(OrderLines[[#Headers],[Branch]],Orders[#Headers],0),FALSE)</f>
        <v>Plant 1 Canteen</v>
      </c>
      <c r="J678" cm="1">
        <f t="array" ref="J678">VLOOKUP(OrderLines[[#This Row],[OrderID]:[OrderID]],Orders[],MATCH(OrderLines[[#Headers],[DiscountPct]],Orders[#Headers],0),FALSE)</f>
        <v>0.06</v>
      </c>
      <c r="K678" t="str" cm="1">
        <f t="array" ref="K678">VLOOKUP(OrderLines[[#This Row],[OrderID]:[OrderID]],Orders[],MATCH(OrderLines[[#Headers],[PaymentType]],Orders[#Headers],0),FALSE)</f>
        <v>UPI</v>
      </c>
      <c r="L678" t="str" cm="1">
        <f t="array" ref="L678">VLOOKUP(OrderLines[[#This Row],[OrderID]:[OrderID]],Orders[],MATCH(OrderLines[[#Headers],[Shift]],Orders[#Headers],0),FALSE)</f>
        <v>Breakfast</v>
      </c>
      <c r="M678" s="8">
        <f>(OrderLines[[#This Row],[Qty]]*OrderLines[[#This Row],[UnitPrice]])*(1-OrderLines[[#This Row],[DiscountPct]])</f>
        <v>241.49540000000002</v>
      </c>
      <c r="N678" t="str">
        <f>IF(AND(COUNTIFS(OrderLines[OrderID],OrderLines[[#This Row],[OrderID]],OrderLines[Category],"Hot Meal"),COUNTIFS(OrderLines[OrderID],OrderLines[[#This Row],[OrderID]],OrderLines[Category],"Beverage")),"Combo","Single")</f>
        <v>Single</v>
      </c>
      <c r="O678" s="8" t="str" cm="1">
        <f t="array" ref="O678">IF(SUMPRODUCT(OrderLines[UnitPrice],OrderLines[Qty],OrderLines[DiscountPct],--(OrderLines[OrderID] = OrderLines[[#This Row],[OrderID]]))&gt;40,"High Discount","Ok")</f>
        <v>Ok</v>
      </c>
      <c r="P678">
        <f>OrderLines[[#This Row],[UnitCost]]*OrderLines[[#This Row],[Qty]]</f>
        <v>121.24</v>
      </c>
      <c r="Q678" s="8">
        <f>OrderLines[[#This Row],[LineNetAmount]]-OrderLines[[#This Row],[Food Cost]]</f>
        <v>120.25540000000002</v>
      </c>
    </row>
    <row r="679" spans="1:17" x14ac:dyDescent="0.3">
      <c r="A679" t="s">
        <v>300</v>
      </c>
      <c r="B679" t="s">
        <v>403</v>
      </c>
      <c r="C679">
        <v>2</v>
      </c>
      <c r="D679" cm="1">
        <f t="array" ref="D679">VLOOKUP(OrderLines[[#This Row],[SKU]:[SKU]],Menu[],MATCH(OrderLines[[#Headers],[UnitPrice]],Menu[#Headers],0),FALSE)</f>
        <v>76.55</v>
      </c>
      <c r="E679" cm="1">
        <f t="array" ref="E679">VLOOKUP(OrderLines[[#This Row],[SKU]:[SKU]],Menu[],MATCH(OrderLines[[#Headers],[UnitCost]],Menu[#Headers],0),FALSE)</f>
        <v>38.229999999999997</v>
      </c>
      <c r="F679" t="str" cm="1">
        <f t="array" ref="F679">VLOOKUP(OrderLines[[#This Row],[SKU]:[SKU]],Menu[],MATCH(OrderLines[[#Headers],[Category]],Menu[#Headers],0),FALSE)</f>
        <v>Dessert</v>
      </c>
      <c r="G679" t="str" cm="1">
        <f t="array" ref="G679">_xlfn.TEXTJOIN("+",TRUE,_xlfn._xlws.SORT(_xlfn.UNIQUE(_xlfn._xlws.FILTER(OrderLines[Category],OrderLines[OrderID]=OrderLines[[#This Row],[OrderID]]))))</f>
        <v>Dessert+Hot Meal</v>
      </c>
      <c r="H679" s="2" cm="1">
        <f t="array" ref="H679">INT(VLOOKUP(OrderLines[[#This Row],[OrderID]:[OrderID]],Orders[],MATCH(OrderLines[[#Headers],[OrderDateTime]],Orders[#Headers],0),FALSE))</f>
        <v>45844</v>
      </c>
      <c r="I679" t="str" cm="1">
        <f t="array" ref="I679">VLOOKUP(OrderLines[[#This Row],[OrderID]:[OrderID]],Orders[],MATCH(OrderLines[[#Headers],[Branch]],Orders[#Headers],0),FALSE)</f>
        <v>Plant 1 Canteen</v>
      </c>
      <c r="J679" cm="1">
        <f t="array" ref="J679">VLOOKUP(OrderLines[[#This Row],[OrderID]:[OrderID]],Orders[],MATCH(OrderLines[[#Headers],[DiscountPct]],Orders[#Headers],0),FALSE)</f>
        <v>0.06</v>
      </c>
      <c r="K679" t="str" cm="1">
        <f t="array" ref="K679">VLOOKUP(OrderLines[[#This Row],[OrderID]:[OrderID]],Orders[],MATCH(OrderLines[[#Headers],[PaymentType]],Orders[#Headers],0),FALSE)</f>
        <v>UPI</v>
      </c>
      <c r="L679" t="str" cm="1">
        <f t="array" ref="L679">VLOOKUP(OrderLines[[#This Row],[OrderID]:[OrderID]],Orders[],MATCH(OrderLines[[#Headers],[Shift]],Orders[#Headers],0),FALSE)</f>
        <v>Breakfast</v>
      </c>
      <c r="M679" s="8">
        <f>(OrderLines[[#This Row],[Qty]]*OrderLines[[#This Row],[UnitPrice]])*(1-OrderLines[[#This Row],[DiscountPct]])</f>
        <v>143.91399999999999</v>
      </c>
      <c r="N679" t="str">
        <f>IF(AND(COUNTIFS(OrderLines[OrderID],OrderLines[[#This Row],[OrderID]],OrderLines[Category],"Hot Meal"),COUNTIFS(OrderLines[OrderID],OrderLines[[#This Row],[OrderID]],OrderLines[Category],"Beverage")),"Combo","Single")</f>
        <v>Single</v>
      </c>
      <c r="O679" s="8" t="str" cm="1">
        <f t="array" ref="O679">IF(SUMPRODUCT(OrderLines[UnitPrice],OrderLines[Qty],OrderLines[DiscountPct],--(OrderLines[OrderID] = OrderLines[[#This Row],[OrderID]]))&gt;40,"High Discount","Ok")</f>
        <v>Ok</v>
      </c>
      <c r="P679">
        <f>OrderLines[[#This Row],[UnitCost]]*OrderLines[[#This Row],[Qty]]</f>
        <v>76.459999999999994</v>
      </c>
      <c r="Q679" s="8">
        <f>OrderLines[[#This Row],[LineNetAmount]]-OrderLines[[#This Row],[Food Cost]]</f>
        <v>67.453999999999994</v>
      </c>
    </row>
    <row r="680" spans="1:17" x14ac:dyDescent="0.3">
      <c r="A680" t="s">
        <v>301</v>
      </c>
      <c r="B680" t="s">
        <v>409</v>
      </c>
      <c r="C680">
        <v>1</v>
      </c>
      <c r="D680" cm="1">
        <f t="array" ref="D680">VLOOKUP(OrderLines[[#This Row],[SKU]:[SKU]],Menu[],MATCH(OrderLines[[#Headers],[UnitPrice]],Menu[#Headers],0),FALSE)</f>
        <v>28.43</v>
      </c>
      <c r="E680" cm="1">
        <f t="array" ref="E680">VLOOKUP(OrderLines[[#This Row],[SKU]:[SKU]],Menu[],MATCH(OrderLines[[#Headers],[UnitCost]],Menu[#Headers],0),FALSE)</f>
        <v>13.89</v>
      </c>
      <c r="F680" t="str" cm="1">
        <f t="array" ref="F680">VLOOKUP(OrderLines[[#This Row],[SKU]:[SKU]],Menu[],MATCH(OrderLines[[#Headers],[Category]],Menu[#Headers],0),FALSE)</f>
        <v>Beverage</v>
      </c>
      <c r="G680" t="str" cm="1">
        <f t="array" ref="G680">_xlfn.TEXTJOIN("+",TRUE,_xlfn._xlws.SORT(_xlfn.UNIQUE(_xlfn._xlws.FILTER(OrderLines[Category],OrderLines[OrderID]=OrderLines[[#This Row],[OrderID]]))))</f>
        <v>Beverage+Dessert</v>
      </c>
      <c r="H680" s="2" cm="1">
        <f t="array" ref="H680">INT(VLOOKUP(OrderLines[[#This Row],[OrderID]:[OrderID]],Orders[],MATCH(OrderLines[[#Headers],[OrderDateTime]],Orders[#Headers],0),FALSE))</f>
        <v>45847</v>
      </c>
      <c r="I680" t="str" cm="1">
        <f t="array" ref="I680">VLOOKUP(OrderLines[[#This Row],[OrderID]:[OrderID]],Orders[],MATCH(OrderLines[[#Headers],[Branch]],Orders[#Headers],0),FALSE)</f>
        <v>Plant 2 Canteen</v>
      </c>
      <c r="J680" cm="1">
        <f t="array" ref="J680">VLOOKUP(OrderLines[[#This Row],[OrderID]:[OrderID]],Orders[],MATCH(OrderLines[[#Headers],[DiscountPct]],Orders[#Headers],0),FALSE)</f>
        <v>0.06</v>
      </c>
      <c r="K680" t="str" cm="1">
        <f t="array" ref="K680">VLOOKUP(OrderLines[[#This Row],[OrderID]:[OrderID]],Orders[],MATCH(OrderLines[[#Headers],[PaymentType]],Orders[#Headers],0),FALSE)</f>
        <v>UPI</v>
      </c>
      <c r="L680" t="str" cm="1">
        <f t="array" ref="L680">VLOOKUP(OrderLines[[#This Row],[OrderID]:[OrderID]],Orders[],MATCH(OrderLines[[#Headers],[Shift]],Orders[#Headers],0),FALSE)</f>
        <v>Breakfast</v>
      </c>
      <c r="M680" s="8">
        <f>(OrderLines[[#This Row],[Qty]]*OrderLines[[#This Row],[UnitPrice]])*(1-OrderLines[[#This Row],[DiscountPct]])</f>
        <v>26.7242</v>
      </c>
      <c r="N680" t="str">
        <f>IF(AND(COUNTIFS(OrderLines[OrderID],OrderLines[[#This Row],[OrderID]],OrderLines[Category],"Hot Meal"),COUNTIFS(OrderLines[OrderID],OrderLines[[#This Row],[OrderID]],OrderLines[Category],"Beverage")),"Combo","Single")</f>
        <v>Single</v>
      </c>
      <c r="O680" s="8" t="str" cm="1">
        <f t="array" ref="O680">IF(SUMPRODUCT(OrderLines[UnitPrice],OrderLines[Qty],OrderLines[DiscountPct],--(OrderLines[OrderID] = OrderLines[[#This Row],[OrderID]]))&gt;40,"High Discount","Ok")</f>
        <v>Ok</v>
      </c>
      <c r="P680">
        <f>OrderLines[[#This Row],[UnitCost]]*OrderLines[[#This Row],[Qty]]</f>
        <v>13.89</v>
      </c>
      <c r="Q680" s="8">
        <f>OrderLines[[#This Row],[LineNetAmount]]-OrderLines[[#This Row],[Food Cost]]</f>
        <v>12.834199999999999</v>
      </c>
    </row>
    <row r="681" spans="1:17" x14ac:dyDescent="0.3">
      <c r="A681" t="s">
        <v>301</v>
      </c>
      <c r="B681" t="s">
        <v>403</v>
      </c>
      <c r="C681">
        <v>2</v>
      </c>
      <c r="D681" cm="1">
        <f t="array" ref="D681">VLOOKUP(OrderLines[[#This Row],[SKU]:[SKU]],Menu[],MATCH(OrderLines[[#Headers],[UnitPrice]],Menu[#Headers],0),FALSE)</f>
        <v>76.55</v>
      </c>
      <c r="E681" cm="1">
        <f t="array" ref="E681">VLOOKUP(OrderLines[[#This Row],[SKU]:[SKU]],Menu[],MATCH(OrderLines[[#Headers],[UnitCost]],Menu[#Headers],0),FALSE)</f>
        <v>38.229999999999997</v>
      </c>
      <c r="F681" t="str" cm="1">
        <f t="array" ref="F681">VLOOKUP(OrderLines[[#This Row],[SKU]:[SKU]],Menu[],MATCH(OrderLines[[#Headers],[Category]],Menu[#Headers],0),FALSE)</f>
        <v>Dessert</v>
      </c>
      <c r="G681" t="str" cm="1">
        <f t="array" ref="G681">_xlfn.TEXTJOIN("+",TRUE,_xlfn._xlws.SORT(_xlfn.UNIQUE(_xlfn._xlws.FILTER(OrderLines[Category],OrderLines[OrderID]=OrderLines[[#This Row],[OrderID]]))))</f>
        <v>Beverage+Dessert</v>
      </c>
      <c r="H681" s="2" cm="1">
        <f t="array" ref="H681">INT(VLOOKUP(OrderLines[[#This Row],[OrderID]:[OrderID]],Orders[],MATCH(OrderLines[[#Headers],[OrderDateTime]],Orders[#Headers],0),FALSE))</f>
        <v>45847</v>
      </c>
      <c r="I681" t="str" cm="1">
        <f t="array" ref="I681">VLOOKUP(OrderLines[[#This Row],[OrderID]:[OrderID]],Orders[],MATCH(OrderLines[[#Headers],[Branch]],Orders[#Headers],0),FALSE)</f>
        <v>Plant 2 Canteen</v>
      </c>
      <c r="J681" cm="1">
        <f t="array" ref="J681">VLOOKUP(OrderLines[[#This Row],[OrderID]:[OrderID]],Orders[],MATCH(OrderLines[[#Headers],[DiscountPct]],Orders[#Headers],0),FALSE)</f>
        <v>0.06</v>
      </c>
      <c r="K681" t="str" cm="1">
        <f t="array" ref="K681">VLOOKUP(OrderLines[[#This Row],[OrderID]:[OrderID]],Orders[],MATCH(OrderLines[[#Headers],[PaymentType]],Orders[#Headers],0),FALSE)</f>
        <v>UPI</v>
      </c>
      <c r="L681" t="str" cm="1">
        <f t="array" ref="L681">VLOOKUP(OrderLines[[#This Row],[OrderID]:[OrderID]],Orders[],MATCH(OrderLines[[#Headers],[Shift]],Orders[#Headers],0),FALSE)</f>
        <v>Breakfast</v>
      </c>
      <c r="M681" s="8">
        <f>(OrderLines[[#This Row],[Qty]]*OrderLines[[#This Row],[UnitPrice]])*(1-OrderLines[[#This Row],[DiscountPct]])</f>
        <v>143.91399999999999</v>
      </c>
      <c r="N681" t="str">
        <f>IF(AND(COUNTIFS(OrderLines[OrderID],OrderLines[[#This Row],[OrderID]],OrderLines[Category],"Hot Meal"),COUNTIFS(OrderLines[OrderID],OrderLines[[#This Row],[OrderID]],OrderLines[Category],"Beverage")),"Combo","Single")</f>
        <v>Single</v>
      </c>
      <c r="O681" s="8" t="str" cm="1">
        <f t="array" ref="O681">IF(SUMPRODUCT(OrderLines[UnitPrice],OrderLines[Qty],OrderLines[DiscountPct],--(OrderLines[OrderID] = OrderLines[[#This Row],[OrderID]]))&gt;40,"High Discount","Ok")</f>
        <v>Ok</v>
      </c>
      <c r="P681">
        <f>OrderLines[[#This Row],[UnitCost]]*OrderLines[[#This Row],[Qty]]</f>
        <v>76.459999999999994</v>
      </c>
      <c r="Q681" s="8">
        <f>OrderLines[[#This Row],[LineNetAmount]]-OrderLines[[#This Row],[Food Cost]]</f>
        <v>67.453999999999994</v>
      </c>
    </row>
    <row r="682" spans="1:17" x14ac:dyDescent="0.3">
      <c r="A682" t="s">
        <v>301</v>
      </c>
      <c r="B682" t="s">
        <v>414</v>
      </c>
      <c r="C682">
        <v>3</v>
      </c>
      <c r="D682" cm="1">
        <f t="array" ref="D682">VLOOKUP(OrderLines[[#This Row],[SKU]:[SKU]],Menu[],MATCH(OrderLines[[#Headers],[UnitPrice]],Menu[#Headers],0),FALSE)</f>
        <v>116.8</v>
      </c>
      <c r="E682" cm="1">
        <f t="array" ref="E682">VLOOKUP(OrderLines[[#This Row],[SKU]:[SKU]],Menu[],MATCH(OrderLines[[#Headers],[UnitCost]],Menu[#Headers],0),FALSE)</f>
        <v>48.97</v>
      </c>
      <c r="F682" t="str" cm="1">
        <f t="array" ref="F682">VLOOKUP(OrderLines[[#This Row],[SKU]:[SKU]],Menu[],MATCH(OrderLines[[#Headers],[Category]],Menu[#Headers],0),FALSE)</f>
        <v>Dessert</v>
      </c>
      <c r="G682" t="str" cm="1">
        <f t="array" ref="G682">_xlfn.TEXTJOIN("+",TRUE,_xlfn._xlws.SORT(_xlfn.UNIQUE(_xlfn._xlws.FILTER(OrderLines[Category],OrderLines[OrderID]=OrderLines[[#This Row],[OrderID]]))))</f>
        <v>Beverage+Dessert</v>
      </c>
      <c r="H682" s="2" cm="1">
        <f t="array" ref="H682">INT(VLOOKUP(OrderLines[[#This Row],[OrderID]:[OrderID]],Orders[],MATCH(OrderLines[[#Headers],[OrderDateTime]],Orders[#Headers],0),FALSE))</f>
        <v>45847</v>
      </c>
      <c r="I682" t="str" cm="1">
        <f t="array" ref="I682">VLOOKUP(OrderLines[[#This Row],[OrderID]:[OrderID]],Orders[],MATCH(OrderLines[[#Headers],[Branch]],Orders[#Headers],0),FALSE)</f>
        <v>Plant 2 Canteen</v>
      </c>
      <c r="J682" cm="1">
        <f t="array" ref="J682">VLOOKUP(OrderLines[[#This Row],[OrderID]:[OrderID]],Orders[],MATCH(OrderLines[[#Headers],[DiscountPct]],Orders[#Headers],0),FALSE)</f>
        <v>0.06</v>
      </c>
      <c r="K682" t="str" cm="1">
        <f t="array" ref="K682">VLOOKUP(OrderLines[[#This Row],[OrderID]:[OrderID]],Orders[],MATCH(OrderLines[[#Headers],[PaymentType]],Orders[#Headers],0),FALSE)</f>
        <v>UPI</v>
      </c>
      <c r="L682" t="str" cm="1">
        <f t="array" ref="L682">VLOOKUP(OrderLines[[#This Row],[OrderID]:[OrderID]],Orders[],MATCH(OrderLines[[#Headers],[Shift]],Orders[#Headers],0),FALSE)</f>
        <v>Breakfast</v>
      </c>
      <c r="M682" s="8">
        <f>(OrderLines[[#This Row],[Qty]]*OrderLines[[#This Row],[UnitPrice]])*(1-OrderLines[[#This Row],[DiscountPct]])</f>
        <v>329.37599999999998</v>
      </c>
      <c r="N682" t="str">
        <f>IF(AND(COUNTIFS(OrderLines[OrderID],OrderLines[[#This Row],[OrderID]],OrderLines[Category],"Hot Meal"),COUNTIFS(OrderLines[OrderID],OrderLines[[#This Row],[OrderID]],OrderLines[Category],"Beverage")),"Combo","Single")</f>
        <v>Single</v>
      </c>
      <c r="O682" s="8" t="str" cm="1">
        <f t="array" ref="O682">IF(SUMPRODUCT(OrderLines[UnitPrice],OrderLines[Qty],OrderLines[DiscountPct],--(OrderLines[OrderID] = OrderLines[[#This Row],[OrderID]]))&gt;40,"High Discount","Ok")</f>
        <v>Ok</v>
      </c>
      <c r="P682">
        <f>OrderLines[[#This Row],[UnitCost]]*OrderLines[[#This Row],[Qty]]</f>
        <v>146.91</v>
      </c>
      <c r="Q682" s="8">
        <f>OrderLines[[#This Row],[LineNetAmount]]-OrderLines[[#This Row],[Food Cost]]</f>
        <v>182.46599999999998</v>
      </c>
    </row>
    <row r="683" spans="1:17" x14ac:dyDescent="0.3">
      <c r="A683" t="s">
        <v>302</v>
      </c>
      <c r="B683" t="s">
        <v>402</v>
      </c>
      <c r="C683">
        <v>2</v>
      </c>
      <c r="D683" cm="1">
        <f t="array" ref="D683">VLOOKUP(OrderLines[[#This Row],[SKU]:[SKU]],Menu[],MATCH(OrderLines[[#Headers],[UnitPrice]],Menu[#Headers],0),FALSE)</f>
        <v>30.34</v>
      </c>
      <c r="E683" cm="1">
        <f t="array" ref="E683">VLOOKUP(OrderLines[[#This Row],[SKU]:[SKU]],Menu[],MATCH(OrderLines[[#Headers],[UnitCost]],Menu[#Headers],0),FALSE)</f>
        <v>14.18</v>
      </c>
      <c r="F683" t="str" cm="1">
        <f t="array" ref="F683">VLOOKUP(OrderLines[[#This Row],[SKU]:[SKU]],Menu[],MATCH(OrderLines[[#Headers],[Category]],Menu[#Headers],0),FALSE)</f>
        <v>Beverage</v>
      </c>
      <c r="G683" t="str" cm="1">
        <f t="array" ref="G683">_xlfn.TEXTJOIN("+",TRUE,_xlfn._xlws.SORT(_xlfn.UNIQUE(_xlfn._xlws.FILTER(OrderLines[Category],OrderLines[OrderID]=OrderLines[[#This Row],[OrderID]]))))</f>
        <v>Beverage+Hot Meal</v>
      </c>
      <c r="H683" s="2" cm="1">
        <f t="array" ref="H683">INT(VLOOKUP(OrderLines[[#This Row],[OrderID]:[OrderID]],Orders[],MATCH(OrderLines[[#Headers],[OrderDateTime]],Orders[#Headers],0),FALSE))</f>
        <v>45886</v>
      </c>
      <c r="I683" t="str" cm="1">
        <f t="array" ref="I683">VLOOKUP(OrderLines[[#This Row],[OrderID]:[OrderID]],Orders[],MATCH(OrderLines[[#Headers],[Branch]],Orders[#Headers],0),FALSE)</f>
        <v>Head Office Café</v>
      </c>
      <c r="J683" cm="1">
        <f t="array" ref="J683">VLOOKUP(OrderLines[[#This Row],[OrderID]:[OrderID]],Orders[],MATCH(OrderLines[[#Headers],[DiscountPct]],Orders[#Headers],0),FALSE)</f>
        <v>0.11</v>
      </c>
      <c r="K683" t="str" cm="1">
        <f t="array" ref="K683">VLOOKUP(OrderLines[[#This Row],[OrderID]:[OrderID]],Orders[],MATCH(OrderLines[[#Headers],[PaymentType]],Orders[#Headers],0),FALSE)</f>
        <v>Card</v>
      </c>
      <c r="L683" t="str" cm="1">
        <f t="array" ref="L683">VLOOKUP(OrderLines[[#This Row],[OrderID]:[OrderID]],Orders[],MATCH(OrderLines[[#Headers],[Shift]],Orders[#Headers],0),FALSE)</f>
        <v>Breakfast</v>
      </c>
      <c r="M683" s="8">
        <f>(OrderLines[[#This Row],[Qty]]*OrderLines[[#This Row],[UnitPrice]])*(1-OrderLines[[#This Row],[DiscountPct]])</f>
        <v>54.005200000000002</v>
      </c>
      <c r="N683" t="str">
        <f>IF(AND(COUNTIFS(OrderLines[OrderID],OrderLines[[#This Row],[OrderID]],OrderLines[Category],"Hot Meal"),COUNTIFS(OrderLines[OrderID],OrderLines[[#This Row],[OrderID]],OrderLines[Category],"Beverage")),"Combo","Single")</f>
        <v>Combo</v>
      </c>
      <c r="O683" s="8" t="str" cm="1">
        <f t="array" ref="O683">IF(SUMPRODUCT(OrderLines[UnitPrice],OrderLines[Qty],OrderLines[DiscountPct],--(OrderLines[OrderID] = OrderLines[[#This Row],[OrderID]]))&gt;40,"High Discount","Ok")</f>
        <v>High Discount</v>
      </c>
      <c r="P683">
        <f>OrderLines[[#This Row],[UnitCost]]*OrderLines[[#This Row],[Qty]]</f>
        <v>28.36</v>
      </c>
      <c r="Q683" s="8">
        <f>OrderLines[[#This Row],[LineNetAmount]]-OrderLines[[#This Row],[Food Cost]]</f>
        <v>25.645200000000003</v>
      </c>
    </row>
    <row r="684" spans="1:17" x14ac:dyDescent="0.3">
      <c r="A684" t="s">
        <v>302</v>
      </c>
      <c r="B684" t="s">
        <v>410</v>
      </c>
      <c r="C684">
        <v>2</v>
      </c>
      <c r="D684" cm="1">
        <f t="array" ref="D684">VLOOKUP(OrderLines[[#This Row],[SKU]:[SKU]],Menu[],MATCH(OrderLines[[#Headers],[UnitPrice]],Menu[#Headers],0),FALSE)</f>
        <v>20.11</v>
      </c>
      <c r="E684" cm="1">
        <f t="array" ref="E684">VLOOKUP(OrderLines[[#This Row],[SKU]:[SKU]],Menu[],MATCH(OrderLines[[#Headers],[UnitCost]],Menu[#Headers],0),FALSE)</f>
        <v>8</v>
      </c>
      <c r="F684" t="str" cm="1">
        <f t="array" ref="F684">VLOOKUP(OrderLines[[#This Row],[SKU]:[SKU]],Menu[],MATCH(OrderLines[[#Headers],[Category]],Menu[#Headers],0),FALSE)</f>
        <v>Beverage</v>
      </c>
      <c r="G684" t="str" cm="1">
        <f t="array" ref="G684">_xlfn.TEXTJOIN("+",TRUE,_xlfn._xlws.SORT(_xlfn.UNIQUE(_xlfn._xlws.FILTER(OrderLines[Category],OrderLines[OrderID]=OrderLines[[#This Row],[OrderID]]))))</f>
        <v>Beverage+Hot Meal</v>
      </c>
      <c r="H684" s="2" cm="1">
        <f t="array" ref="H684">INT(VLOOKUP(OrderLines[[#This Row],[OrderID]:[OrderID]],Orders[],MATCH(OrderLines[[#Headers],[OrderDateTime]],Orders[#Headers],0),FALSE))</f>
        <v>45886</v>
      </c>
      <c r="I684" t="str" cm="1">
        <f t="array" ref="I684">VLOOKUP(OrderLines[[#This Row],[OrderID]:[OrderID]],Orders[],MATCH(OrderLines[[#Headers],[Branch]],Orders[#Headers],0),FALSE)</f>
        <v>Head Office Café</v>
      </c>
      <c r="J684" cm="1">
        <f t="array" ref="J684">VLOOKUP(OrderLines[[#This Row],[OrderID]:[OrderID]],Orders[],MATCH(OrderLines[[#Headers],[DiscountPct]],Orders[#Headers],0),FALSE)</f>
        <v>0.11</v>
      </c>
      <c r="K684" t="str" cm="1">
        <f t="array" ref="K684">VLOOKUP(OrderLines[[#This Row],[OrderID]:[OrderID]],Orders[],MATCH(OrderLines[[#Headers],[PaymentType]],Orders[#Headers],0),FALSE)</f>
        <v>Card</v>
      </c>
      <c r="L684" t="str" cm="1">
        <f t="array" ref="L684">VLOOKUP(OrderLines[[#This Row],[OrderID]:[OrderID]],Orders[],MATCH(OrderLines[[#Headers],[Shift]],Orders[#Headers],0),FALSE)</f>
        <v>Breakfast</v>
      </c>
      <c r="M684" s="8">
        <f>(OrderLines[[#This Row],[Qty]]*OrderLines[[#This Row],[UnitPrice]])*(1-OrderLines[[#This Row],[DiscountPct]])</f>
        <v>35.7958</v>
      </c>
      <c r="N684" t="str">
        <f>IF(AND(COUNTIFS(OrderLines[OrderID],OrderLines[[#This Row],[OrderID]],OrderLines[Category],"Hot Meal"),COUNTIFS(OrderLines[OrderID],OrderLines[[#This Row],[OrderID]],OrderLines[Category],"Beverage")),"Combo","Single")</f>
        <v>Combo</v>
      </c>
      <c r="O684" s="8" t="str" cm="1">
        <f t="array" ref="O684">IF(SUMPRODUCT(OrderLines[UnitPrice],OrderLines[Qty],OrderLines[DiscountPct],--(OrderLines[OrderID] = OrderLines[[#This Row],[OrderID]]))&gt;40,"High Discount","Ok")</f>
        <v>High Discount</v>
      </c>
      <c r="P684">
        <f>OrderLines[[#This Row],[UnitCost]]*OrderLines[[#This Row],[Qty]]</f>
        <v>16</v>
      </c>
      <c r="Q684" s="8">
        <f>OrderLines[[#This Row],[LineNetAmount]]-OrderLines[[#This Row],[Food Cost]]</f>
        <v>19.7958</v>
      </c>
    </row>
    <row r="685" spans="1:17" x14ac:dyDescent="0.3">
      <c r="A685" t="s">
        <v>302</v>
      </c>
      <c r="B685" t="s">
        <v>407</v>
      </c>
      <c r="C685">
        <v>2</v>
      </c>
      <c r="D685" cm="1">
        <f t="array" ref="D685">VLOOKUP(OrderLines[[#This Row],[SKU]:[SKU]],Menu[],MATCH(OrderLines[[#Headers],[UnitPrice]],Menu[#Headers],0),FALSE)</f>
        <v>246.09</v>
      </c>
      <c r="E685" cm="1">
        <f t="array" ref="E685">VLOOKUP(OrderLines[[#This Row],[SKU]:[SKU]],Menu[],MATCH(OrderLines[[#Headers],[UnitCost]],Menu[#Headers],0),FALSE)</f>
        <v>112.08</v>
      </c>
      <c r="F685" t="str" cm="1">
        <f t="array" ref="F685">VLOOKUP(OrderLines[[#This Row],[SKU]:[SKU]],Menu[],MATCH(OrderLines[[#Headers],[Category]],Menu[#Headers],0),FALSE)</f>
        <v>Hot Meal</v>
      </c>
      <c r="G685" t="str" cm="1">
        <f t="array" ref="G685">_xlfn.TEXTJOIN("+",TRUE,_xlfn._xlws.SORT(_xlfn.UNIQUE(_xlfn._xlws.FILTER(OrderLines[Category],OrderLines[OrderID]=OrderLines[[#This Row],[OrderID]]))))</f>
        <v>Beverage+Hot Meal</v>
      </c>
      <c r="H685" s="2" cm="1">
        <f t="array" ref="H685">INT(VLOOKUP(OrderLines[[#This Row],[OrderID]:[OrderID]],Orders[],MATCH(OrderLines[[#Headers],[OrderDateTime]],Orders[#Headers],0),FALSE))</f>
        <v>45886</v>
      </c>
      <c r="I685" t="str" cm="1">
        <f t="array" ref="I685">VLOOKUP(OrderLines[[#This Row],[OrderID]:[OrderID]],Orders[],MATCH(OrderLines[[#Headers],[Branch]],Orders[#Headers],0),FALSE)</f>
        <v>Head Office Café</v>
      </c>
      <c r="J685" cm="1">
        <f t="array" ref="J685">VLOOKUP(OrderLines[[#This Row],[OrderID]:[OrderID]],Orders[],MATCH(OrderLines[[#Headers],[DiscountPct]],Orders[#Headers],0),FALSE)</f>
        <v>0.11</v>
      </c>
      <c r="K685" t="str" cm="1">
        <f t="array" ref="K685">VLOOKUP(OrderLines[[#This Row],[OrderID]:[OrderID]],Orders[],MATCH(OrderLines[[#Headers],[PaymentType]],Orders[#Headers],0),FALSE)</f>
        <v>Card</v>
      </c>
      <c r="L685" t="str" cm="1">
        <f t="array" ref="L685">VLOOKUP(OrderLines[[#This Row],[OrderID]:[OrderID]],Orders[],MATCH(OrderLines[[#Headers],[Shift]],Orders[#Headers],0),FALSE)</f>
        <v>Breakfast</v>
      </c>
      <c r="M685" s="8">
        <f>(OrderLines[[#This Row],[Qty]]*OrderLines[[#This Row],[UnitPrice]])*(1-OrderLines[[#This Row],[DiscountPct]])</f>
        <v>438.04020000000003</v>
      </c>
      <c r="N685" t="str">
        <f>IF(AND(COUNTIFS(OrderLines[OrderID],OrderLines[[#This Row],[OrderID]],OrderLines[Category],"Hot Meal"),COUNTIFS(OrderLines[OrderID],OrderLines[[#This Row],[OrderID]],OrderLines[Category],"Beverage")),"Combo","Single")</f>
        <v>Combo</v>
      </c>
      <c r="O685" s="8" t="str" cm="1">
        <f t="array" ref="O685">IF(SUMPRODUCT(OrderLines[UnitPrice],OrderLines[Qty],OrderLines[DiscountPct],--(OrderLines[OrderID] = OrderLines[[#This Row],[OrderID]]))&gt;40,"High Discount","Ok")</f>
        <v>High Discount</v>
      </c>
      <c r="P685">
        <f>OrderLines[[#This Row],[UnitCost]]*OrderLines[[#This Row],[Qty]]</f>
        <v>224.16</v>
      </c>
      <c r="Q685" s="8">
        <f>OrderLines[[#This Row],[LineNetAmount]]-OrderLines[[#This Row],[Food Cost]]</f>
        <v>213.88020000000003</v>
      </c>
    </row>
    <row r="686" spans="1:17" x14ac:dyDescent="0.3">
      <c r="A686" t="s">
        <v>303</v>
      </c>
      <c r="B686" t="s">
        <v>414</v>
      </c>
      <c r="C686">
        <v>2</v>
      </c>
      <c r="D686" cm="1">
        <f t="array" ref="D686">VLOOKUP(OrderLines[[#This Row],[SKU]:[SKU]],Menu[],MATCH(OrderLines[[#Headers],[UnitPrice]],Menu[#Headers],0),FALSE)</f>
        <v>116.8</v>
      </c>
      <c r="E686" cm="1">
        <f t="array" ref="E686">VLOOKUP(OrderLines[[#This Row],[SKU]:[SKU]],Menu[],MATCH(OrderLines[[#Headers],[UnitCost]],Menu[#Headers],0),FALSE)</f>
        <v>48.97</v>
      </c>
      <c r="F686" t="str" cm="1">
        <f t="array" ref="F686">VLOOKUP(OrderLines[[#This Row],[SKU]:[SKU]],Menu[],MATCH(OrderLines[[#Headers],[Category]],Menu[#Headers],0),FALSE)</f>
        <v>Dessert</v>
      </c>
      <c r="G686" t="str" cm="1">
        <f t="array" ref="G686">_xlfn.TEXTJOIN("+",TRUE,_xlfn._xlws.SORT(_xlfn.UNIQUE(_xlfn._xlws.FILTER(OrderLines[Category],OrderLines[OrderID]=OrderLines[[#This Row],[OrderID]]))))</f>
        <v>Dessert+Hot Meal</v>
      </c>
      <c r="H686" s="2" cm="1">
        <f t="array" ref="H686">INT(VLOOKUP(OrderLines[[#This Row],[OrderID]:[OrderID]],Orders[],MATCH(OrderLines[[#Headers],[OrderDateTime]],Orders[#Headers],0),FALSE))</f>
        <v>45860</v>
      </c>
      <c r="I686" t="str" cm="1">
        <f t="array" ref="I686">VLOOKUP(OrderLines[[#This Row],[OrderID]:[OrderID]],Orders[],MATCH(OrderLines[[#Headers],[Branch]],Orders[#Headers],0),FALSE)</f>
        <v>Head Office Café</v>
      </c>
      <c r="J686" cm="1">
        <f t="array" ref="J686">VLOOKUP(OrderLines[[#This Row],[OrderID]:[OrderID]],Orders[],MATCH(OrderLines[[#Headers],[DiscountPct]],Orders[#Headers],0),FALSE)</f>
        <v>0.04</v>
      </c>
      <c r="K686" t="str" cm="1">
        <f t="array" ref="K686">VLOOKUP(OrderLines[[#This Row],[OrderID]:[OrderID]],Orders[],MATCH(OrderLines[[#Headers],[PaymentType]],Orders[#Headers],0),FALSE)</f>
        <v>Card</v>
      </c>
      <c r="L686" t="str" cm="1">
        <f t="array" ref="L686">VLOOKUP(OrderLines[[#This Row],[OrderID]:[OrderID]],Orders[],MATCH(OrderLines[[#Headers],[Shift]],Orders[#Headers],0),FALSE)</f>
        <v>Breakfast</v>
      </c>
      <c r="M686" s="8">
        <f>(OrderLines[[#This Row],[Qty]]*OrderLines[[#This Row],[UnitPrice]])*(1-OrderLines[[#This Row],[DiscountPct]])</f>
        <v>224.256</v>
      </c>
      <c r="N686" t="str">
        <f>IF(AND(COUNTIFS(OrderLines[OrderID],OrderLines[[#This Row],[OrderID]],OrderLines[Category],"Hot Meal"),COUNTIFS(OrderLines[OrderID],OrderLines[[#This Row],[OrderID]],OrderLines[Category],"Beverage")),"Combo","Single")</f>
        <v>Single</v>
      </c>
      <c r="O686" s="8" t="str" cm="1">
        <f t="array" ref="O686">IF(SUMPRODUCT(OrderLines[UnitPrice],OrderLines[Qty],OrderLines[DiscountPct],--(OrderLines[OrderID] = OrderLines[[#This Row],[OrderID]]))&gt;40,"High Discount","Ok")</f>
        <v>Ok</v>
      </c>
      <c r="P686">
        <f>OrderLines[[#This Row],[UnitCost]]*OrderLines[[#This Row],[Qty]]</f>
        <v>97.94</v>
      </c>
      <c r="Q686" s="8">
        <f>OrderLines[[#This Row],[LineNetAmount]]-OrderLines[[#This Row],[Food Cost]]</f>
        <v>126.316</v>
      </c>
    </row>
    <row r="687" spans="1:17" x14ac:dyDescent="0.3">
      <c r="A687" t="s">
        <v>303</v>
      </c>
      <c r="B687" t="s">
        <v>416</v>
      </c>
      <c r="C687">
        <v>1</v>
      </c>
      <c r="D687" cm="1">
        <f t="array" ref="D687">VLOOKUP(OrderLines[[#This Row],[SKU]:[SKU]],Menu[],MATCH(OrderLines[[#Headers],[UnitPrice]],Menu[#Headers],0),FALSE)</f>
        <v>227.61</v>
      </c>
      <c r="E687" cm="1">
        <f t="array" ref="E687">VLOOKUP(OrderLines[[#This Row],[SKU]:[SKU]],Menu[],MATCH(OrderLines[[#Headers],[UnitCost]],Menu[#Headers],0),FALSE)</f>
        <v>96.22</v>
      </c>
      <c r="F687" t="str" cm="1">
        <f t="array" ref="F687">VLOOKUP(OrderLines[[#This Row],[SKU]:[SKU]],Menu[],MATCH(OrderLines[[#Headers],[Category]],Menu[#Headers],0),FALSE)</f>
        <v>Hot Meal</v>
      </c>
      <c r="G687" t="str" cm="1">
        <f t="array" ref="G687">_xlfn.TEXTJOIN("+",TRUE,_xlfn._xlws.SORT(_xlfn.UNIQUE(_xlfn._xlws.FILTER(OrderLines[Category],OrderLines[OrderID]=OrderLines[[#This Row],[OrderID]]))))</f>
        <v>Dessert+Hot Meal</v>
      </c>
      <c r="H687" s="2" cm="1">
        <f t="array" ref="H687">INT(VLOOKUP(OrderLines[[#This Row],[OrderID]:[OrderID]],Orders[],MATCH(OrderLines[[#Headers],[OrderDateTime]],Orders[#Headers],0),FALSE))</f>
        <v>45860</v>
      </c>
      <c r="I687" t="str" cm="1">
        <f t="array" ref="I687">VLOOKUP(OrderLines[[#This Row],[OrderID]:[OrderID]],Orders[],MATCH(OrderLines[[#Headers],[Branch]],Orders[#Headers],0),FALSE)</f>
        <v>Head Office Café</v>
      </c>
      <c r="J687" cm="1">
        <f t="array" ref="J687">VLOOKUP(OrderLines[[#This Row],[OrderID]:[OrderID]],Orders[],MATCH(OrderLines[[#Headers],[DiscountPct]],Orders[#Headers],0),FALSE)</f>
        <v>0.04</v>
      </c>
      <c r="K687" t="str" cm="1">
        <f t="array" ref="K687">VLOOKUP(OrderLines[[#This Row],[OrderID]:[OrderID]],Orders[],MATCH(OrderLines[[#Headers],[PaymentType]],Orders[#Headers],0),FALSE)</f>
        <v>Card</v>
      </c>
      <c r="L687" t="str" cm="1">
        <f t="array" ref="L687">VLOOKUP(OrderLines[[#This Row],[OrderID]:[OrderID]],Orders[],MATCH(OrderLines[[#Headers],[Shift]],Orders[#Headers],0),FALSE)</f>
        <v>Breakfast</v>
      </c>
      <c r="M687" s="8">
        <f>(OrderLines[[#This Row],[Qty]]*OrderLines[[#This Row],[UnitPrice]])*(1-OrderLines[[#This Row],[DiscountPct]])</f>
        <v>218.50560000000002</v>
      </c>
      <c r="N687" t="str">
        <f>IF(AND(COUNTIFS(OrderLines[OrderID],OrderLines[[#This Row],[OrderID]],OrderLines[Category],"Hot Meal"),COUNTIFS(OrderLines[OrderID],OrderLines[[#This Row],[OrderID]],OrderLines[Category],"Beverage")),"Combo","Single")</f>
        <v>Single</v>
      </c>
      <c r="O687" s="8" t="str" cm="1">
        <f t="array" ref="O687">IF(SUMPRODUCT(OrderLines[UnitPrice],OrderLines[Qty],OrderLines[DiscountPct],--(OrderLines[OrderID] = OrderLines[[#This Row],[OrderID]]))&gt;40,"High Discount","Ok")</f>
        <v>Ok</v>
      </c>
      <c r="P687">
        <f>OrderLines[[#This Row],[UnitCost]]*OrderLines[[#This Row],[Qty]]</f>
        <v>96.22</v>
      </c>
      <c r="Q687" s="8">
        <f>OrderLines[[#This Row],[LineNetAmount]]-OrderLines[[#This Row],[Food Cost]]</f>
        <v>122.28560000000002</v>
      </c>
    </row>
    <row r="688" spans="1:17" x14ac:dyDescent="0.3">
      <c r="A688" t="s">
        <v>304</v>
      </c>
      <c r="B688" t="s">
        <v>416</v>
      </c>
      <c r="C688">
        <v>1</v>
      </c>
      <c r="D688" cm="1">
        <f t="array" ref="D688">VLOOKUP(OrderLines[[#This Row],[SKU]:[SKU]],Menu[],MATCH(OrderLines[[#Headers],[UnitPrice]],Menu[#Headers],0),FALSE)</f>
        <v>227.61</v>
      </c>
      <c r="E688" cm="1">
        <f t="array" ref="E688">VLOOKUP(OrderLines[[#This Row],[SKU]:[SKU]],Menu[],MATCH(OrderLines[[#Headers],[UnitCost]],Menu[#Headers],0),FALSE)</f>
        <v>96.22</v>
      </c>
      <c r="F688" t="str" cm="1">
        <f t="array" ref="F688">VLOOKUP(OrderLines[[#This Row],[SKU]:[SKU]],Menu[],MATCH(OrderLines[[#Headers],[Category]],Menu[#Headers],0),FALSE)</f>
        <v>Hot Meal</v>
      </c>
      <c r="G688" t="str" cm="1">
        <f t="array" ref="G688">_xlfn.TEXTJOIN("+",TRUE,_xlfn._xlws.SORT(_xlfn.UNIQUE(_xlfn._xlws.FILTER(OrderLines[Category],OrderLines[OrderID]=OrderLines[[#This Row],[OrderID]]))))</f>
        <v>Beverage+Hot Meal</v>
      </c>
      <c r="H688" s="2" cm="1">
        <f t="array" ref="H688">INT(VLOOKUP(OrderLines[[#This Row],[OrderID]:[OrderID]],Orders[],MATCH(OrderLines[[#Headers],[OrderDateTime]],Orders[#Headers],0),FALSE))</f>
        <v>45850</v>
      </c>
      <c r="I688" t="str" cm="1">
        <f t="array" ref="I688">VLOOKUP(OrderLines[[#This Row],[OrderID]:[OrderID]],Orders[],MATCH(OrderLines[[#Headers],[Branch]],Orders[#Headers],0),FALSE)</f>
        <v>Plant 2 Canteen</v>
      </c>
      <c r="J688" cm="1">
        <f t="array" ref="J688">VLOOKUP(OrderLines[[#This Row],[OrderID]:[OrderID]],Orders[],MATCH(OrderLines[[#Headers],[DiscountPct]],Orders[#Headers],0),FALSE)</f>
        <v>0.08</v>
      </c>
      <c r="K688" t="str" cm="1">
        <f t="array" ref="K688">VLOOKUP(OrderLines[[#This Row],[OrderID]:[OrderID]],Orders[],MATCH(OrderLines[[#Headers],[PaymentType]],Orders[#Headers],0),FALSE)</f>
        <v>UPI</v>
      </c>
      <c r="L688" t="str" cm="1">
        <f t="array" ref="L688">VLOOKUP(OrderLines[[#This Row],[OrderID]:[OrderID]],Orders[],MATCH(OrderLines[[#Headers],[Shift]],Orders[#Headers],0),FALSE)</f>
        <v>Breakfast</v>
      </c>
      <c r="M688" s="8">
        <f>(OrderLines[[#This Row],[Qty]]*OrderLines[[#This Row],[UnitPrice]])*(1-OrderLines[[#This Row],[DiscountPct]])</f>
        <v>209.40120000000002</v>
      </c>
      <c r="N688" t="str">
        <f>IF(AND(COUNTIFS(OrderLines[OrderID],OrderLines[[#This Row],[OrderID]],OrderLines[Category],"Hot Meal"),COUNTIFS(OrderLines[OrderID],OrderLines[[#This Row],[OrderID]],OrderLines[Category],"Beverage")),"Combo","Single")</f>
        <v>Combo</v>
      </c>
      <c r="O688" s="8" t="str" cm="1">
        <f t="array" ref="O688">IF(SUMPRODUCT(OrderLines[UnitPrice],OrderLines[Qty],OrderLines[DiscountPct],--(OrderLines[OrderID] = OrderLines[[#This Row],[OrderID]]))&gt;40,"High Discount","Ok")</f>
        <v>High Discount</v>
      </c>
      <c r="P688">
        <f>OrderLines[[#This Row],[UnitCost]]*OrderLines[[#This Row],[Qty]]</f>
        <v>96.22</v>
      </c>
      <c r="Q688" s="8">
        <f>OrderLines[[#This Row],[LineNetAmount]]-OrderLines[[#This Row],[Food Cost]]</f>
        <v>113.18120000000002</v>
      </c>
    </row>
    <row r="689" spans="1:17" x14ac:dyDescent="0.3">
      <c r="A689" t="s">
        <v>304</v>
      </c>
      <c r="B689" t="s">
        <v>407</v>
      </c>
      <c r="C689">
        <v>1</v>
      </c>
      <c r="D689" cm="1">
        <f t="array" ref="D689">VLOOKUP(OrderLines[[#This Row],[SKU]:[SKU]],Menu[],MATCH(OrderLines[[#Headers],[UnitPrice]],Menu[#Headers],0),FALSE)</f>
        <v>246.09</v>
      </c>
      <c r="E689" cm="1">
        <f t="array" ref="E689">VLOOKUP(OrderLines[[#This Row],[SKU]:[SKU]],Menu[],MATCH(OrderLines[[#Headers],[UnitCost]],Menu[#Headers],0),FALSE)</f>
        <v>112.08</v>
      </c>
      <c r="F689" t="str" cm="1">
        <f t="array" ref="F689">VLOOKUP(OrderLines[[#This Row],[SKU]:[SKU]],Menu[],MATCH(OrderLines[[#Headers],[Category]],Menu[#Headers],0),FALSE)</f>
        <v>Hot Meal</v>
      </c>
      <c r="G689" t="str" cm="1">
        <f t="array" ref="G689">_xlfn.TEXTJOIN("+",TRUE,_xlfn._xlws.SORT(_xlfn.UNIQUE(_xlfn._xlws.FILTER(OrderLines[Category],OrderLines[OrderID]=OrderLines[[#This Row],[OrderID]]))))</f>
        <v>Beverage+Hot Meal</v>
      </c>
      <c r="H689" s="2" cm="1">
        <f t="array" ref="H689">INT(VLOOKUP(OrderLines[[#This Row],[OrderID]:[OrderID]],Orders[],MATCH(OrderLines[[#Headers],[OrderDateTime]],Orders[#Headers],0),FALSE))</f>
        <v>45850</v>
      </c>
      <c r="I689" t="str" cm="1">
        <f t="array" ref="I689">VLOOKUP(OrderLines[[#This Row],[OrderID]:[OrderID]],Orders[],MATCH(OrderLines[[#Headers],[Branch]],Orders[#Headers],0),FALSE)</f>
        <v>Plant 2 Canteen</v>
      </c>
      <c r="J689" cm="1">
        <f t="array" ref="J689">VLOOKUP(OrderLines[[#This Row],[OrderID]:[OrderID]],Orders[],MATCH(OrderLines[[#Headers],[DiscountPct]],Orders[#Headers],0),FALSE)</f>
        <v>0.08</v>
      </c>
      <c r="K689" t="str" cm="1">
        <f t="array" ref="K689">VLOOKUP(OrderLines[[#This Row],[OrderID]:[OrderID]],Orders[],MATCH(OrderLines[[#Headers],[PaymentType]],Orders[#Headers],0),FALSE)</f>
        <v>UPI</v>
      </c>
      <c r="L689" t="str" cm="1">
        <f t="array" ref="L689">VLOOKUP(OrderLines[[#This Row],[OrderID]:[OrderID]],Orders[],MATCH(OrderLines[[#Headers],[Shift]],Orders[#Headers],0),FALSE)</f>
        <v>Breakfast</v>
      </c>
      <c r="M689" s="8">
        <f>(OrderLines[[#This Row],[Qty]]*OrderLines[[#This Row],[UnitPrice]])*(1-OrderLines[[#This Row],[DiscountPct]])</f>
        <v>226.40280000000001</v>
      </c>
      <c r="N689" t="str">
        <f>IF(AND(COUNTIFS(OrderLines[OrderID],OrderLines[[#This Row],[OrderID]],OrderLines[Category],"Hot Meal"),COUNTIFS(OrderLines[OrderID],OrderLines[[#This Row],[OrderID]],OrderLines[Category],"Beverage")),"Combo","Single")</f>
        <v>Combo</v>
      </c>
      <c r="O689" s="8" t="str" cm="1">
        <f t="array" ref="O689">IF(SUMPRODUCT(OrderLines[UnitPrice],OrderLines[Qty],OrderLines[DiscountPct],--(OrderLines[OrderID] = OrderLines[[#This Row],[OrderID]]))&gt;40,"High Discount","Ok")</f>
        <v>High Discount</v>
      </c>
      <c r="P689">
        <f>OrderLines[[#This Row],[UnitCost]]*OrderLines[[#This Row],[Qty]]</f>
        <v>112.08</v>
      </c>
      <c r="Q689" s="8">
        <f>OrderLines[[#This Row],[LineNetAmount]]-OrderLines[[#This Row],[Food Cost]]</f>
        <v>114.32280000000002</v>
      </c>
    </row>
    <row r="690" spans="1:17" x14ac:dyDescent="0.3">
      <c r="A690" t="s">
        <v>304</v>
      </c>
      <c r="B690" t="s">
        <v>410</v>
      </c>
      <c r="C690">
        <v>1</v>
      </c>
      <c r="D690" cm="1">
        <f t="array" ref="D690">VLOOKUP(OrderLines[[#This Row],[SKU]:[SKU]],Menu[],MATCH(OrderLines[[#Headers],[UnitPrice]],Menu[#Headers],0),FALSE)</f>
        <v>20.11</v>
      </c>
      <c r="E690" cm="1">
        <f t="array" ref="E690">VLOOKUP(OrderLines[[#This Row],[SKU]:[SKU]],Menu[],MATCH(OrderLines[[#Headers],[UnitCost]],Menu[#Headers],0),FALSE)</f>
        <v>8</v>
      </c>
      <c r="F690" t="str" cm="1">
        <f t="array" ref="F690">VLOOKUP(OrderLines[[#This Row],[SKU]:[SKU]],Menu[],MATCH(OrderLines[[#Headers],[Category]],Menu[#Headers],0),FALSE)</f>
        <v>Beverage</v>
      </c>
      <c r="G690" t="str" cm="1">
        <f t="array" ref="G690">_xlfn.TEXTJOIN("+",TRUE,_xlfn._xlws.SORT(_xlfn.UNIQUE(_xlfn._xlws.FILTER(OrderLines[Category],OrderLines[OrderID]=OrderLines[[#This Row],[OrderID]]))))</f>
        <v>Beverage+Hot Meal</v>
      </c>
      <c r="H690" s="2" cm="1">
        <f t="array" ref="H690">INT(VLOOKUP(OrderLines[[#This Row],[OrderID]:[OrderID]],Orders[],MATCH(OrderLines[[#Headers],[OrderDateTime]],Orders[#Headers],0),FALSE))</f>
        <v>45850</v>
      </c>
      <c r="I690" t="str" cm="1">
        <f t="array" ref="I690">VLOOKUP(OrderLines[[#This Row],[OrderID]:[OrderID]],Orders[],MATCH(OrderLines[[#Headers],[Branch]],Orders[#Headers],0),FALSE)</f>
        <v>Plant 2 Canteen</v>
      </c>
      <c r="J690" cm="1">
        <f t="array" ref="J690">VLOOKUP(OrderLines[[#This Row],[OrderID]:[OrderID]],Orders[],MATCH(OrderLines[[#Headers],[DiscountPct]],Orders[#Headers],0),FALSE)</f>
        <v>0.08</v>
      </c>
      <c r="K690" t="str" cm="1">
        <f t="array" ref="K690">VLOOKUP(OrderLines[[#This Row],[OrderID]:[OrderID]],Orders[],MATCH(OrderLines[[#Headers],[PaymentType]],Orders[#Headers],0),FALSE)</f>
        <v>UPI</v>
      </c>
      <c r="L690" t="str" cm="1">
        <f t="array" ref="L690">VLOOKUP(OrderLines[[#This Row],[OrderID]:[OrderID]],Orders[],MATCH(OrderLines[[#Headers],[Shift]],Orders[#Headers],0),FALSE)</f>
        <v>Breakfast</v>
      </c>
      <c r="M690" s="8">
        <f>(OrderLines[[#This Row],[Qty]]*OrderLines[[#This Row],[UnitPrice]])*(1-OrderLines[[#This Row],[DiscountPct]])</f>
        <v>18.501200000000001</v>
      </c>
      <c r="N690" t="str">
        <f>IF(AND(COUNTIFS(OrderLines[OrderID],OrderLines[[#This Row],[OrderID]],OrderLines[Category],"Hot Meal"),COUNTIFS(OrderLines[OrderID],OrderLines[[#This Row],[OrderID]],OrderLines[Category],"Beverage")),"Combo","Single")</f>
        <v>Combo</v>
      </c>
      <c r="O690" s="8" t="str" cm="1">
        <f t="array" ref="O690">IF(SUMPRODUCT(OrderLines[UnitPrice],OrderLines[Qty],OrderLines[DiscountPct],--(OrderLines[OrderID] = OrderLines[[#This Row],[OrderID]]))&gt;40,"High Discount","Ok")</f>
        <v>High Discount</v>
      </c>
      <c r="P690">
        <f>OrderLines[[#This Row],[UnitCost]]*OrderLines[[#This Row],[Qty]]</f>
        <v>8</v>
      </c>
      <c r="Q690" s="8">
        <f>OrderLines[[#This Row],[LineNetAmount]]-OrderLines[[#This Row],[Food Cost]]</f>
        <v>10.501200000000001</v>
      </c>
    </row>
    <row r="691" spans="1:17" x14ac:dyDescent="0.3">
      <c r="A691" t="s">
        <v>304</v>
      </c>
      <c r="B691" t="s">
        <v>409</v>
      </c>
      <c r="C691">
        <v>3</v>
      </c>
      <c r="D691" cm="1">
        <f t="array" ref="D691">VLOOKUP(OrderLines[[#This Row],[SKU]:[SKU]],Menu[],MATCH(OrderLines[[#Headers],[UnitPrice]],Menu[#Headers],0),FALSE)</f>
        <v>28.43</v>
      </c>
      <c r="E691" cm="1">
        <f t="array" ref="E691">VLOOKUP(OrderLines[[#This Row],[SKU]:[SKU]],Menu[],MATCH(OrderLines[[#Headers],[UnitCost]],Menu[#Headers],0),FALSE)</f>
        <v>13.89</v>
      </c>
      <c r="F691" t="str" cm="1">
        <f t="array" ref="F691">VLOOKUP(OrderLines[[#This Row],[SKU]:[SKU]],Menu[],MATCH(OrderLines[[#Headers],[Category]],Menu[#Headers],0),FALSE)</f>
        <v>Beverage</v>
      </c>
      <c r="G691" t="str" cm="1">
        <f t="array" ref="G691">_xlfn.TEXTJOIN("+",TRUE,_xlfn._xlws.SORT(_xlfn.UNIQUE(_xlfn._xlws.FILTER(OrderLines[Category],OrderLines[OrderID]=OrderLines[[#This Row],[OrderID]]))))</f>
        <v>Beverage+Hot Meal</v>
      </c>
      <c r="H691" s="2" cm="1">
        <f t="array" ref="H691">INT(VLOOKUP(OrderLines[[#This Row],[OrderID]:[OrderID]],Orders[],MATCH(OrderLines[[#Headers],[OrderDateTime]],Orders[#Headers],0),FALSE))</f>
        <v>45850</v>
      </c>
      <c r="I691" t="str" cm="1">
        <f t="array" ref="I691">VLOOKUP(OrderLines[[#This Row],[OrderID]:[OrderID]],Orders[],MATCH(OrderLines[[#Headers],[Branch]],Orders[#Headers],0),FALSE)</f>
        <v>Plant 2 Canteen</v>
      </c>
      <c r="J691" cm="1">
        <f t="array" ref="J691">VLOOKUP(OrderLines[[#This Row],[OrderID]:[OrderID]],Orders[],MATCH(OrderLines[[#Headers],[DiscountPct]],Orders[#Headers],0),FALSE)</f>
        <v>0.08</v>
      </c>
      <c r="K691" t="str" cm="1">
        <f t="array" ref="K691">VLOOKUP(OrderLines[[#This Row],[OrderID]:[OrderID]],Orders[],MATCH(OrderLines[[#Headers],[PaymentType]],Orders[#Headers],0),FALSE)</f>
        <v>UPI</v>
      </c>
      <c r="L691" t="str" cm="1">
        <f t="array" ref="L691">VLOOKUP(OrderLines[[#This Row],[OrderID]:[OrderID]],Orders[],MATCH(OrderLines[[#Headers],[Shift]],Orders[#Headers],0),FALSE)</f>
        <v>Breakfast</v>
      </c>
      <c r="M691" s="8">
        <f>(OrderLines[[#This Row],[Qty]]*OrderLines[[#This Row],[UnitPrice]])*(1-OrderLines[[#This Row],[DiscountPct]])</f>
        <v>78.466799999999992</v>
      </c>
      <c r="N691" t="str">
        <f>IF(AND(COUNTIFS(OrderLines[OrderID],OrderLines[[#This Row],[OrderID]],OrderLines[Category],"Hot Meal"),COUNTIFS(OrderLines[OrderID],OrderLines[[#This Row],[OrderID]],OrderLines[Category],"Beverage")),"Combo","Single")</f>
        <v>Combo</v>
      </c>
      <c r="O691" s="8" t="str" cm="1">
        <f t="array" ref="O691">IF(SUMPRODUCT(OrderLines[UnitPrice],OrderLines[Qty],OrderLines[DiscountPct],--(OrderLines[OrderID] = OrderLines[[#This Row],[OrderID]]))&gt;40,"High Discount","Ok")</f>
        <v>High Discount</v>
      </c>
      <c r="P691">
        <f>OrderLines[[#This Row],[UnitCost]]*OrderLines[[#This Row],[Qty]]</f>
        <v>41.67</v>
      </c>
      <c r="Q691" s="8">
        <f>OrderLines[[#This Row],[LineNetAmount]]-OrderLines[[#This Row],[Food Cost]]</f>
        <v>36.79679999999999</v>
      </c>
    </row>
    <row r="692" spans="1:17" x14ac:dyDescent="0.3">
      <c r="A692" t="s">
        <v>305</v>
      </c>
      <c r="B692" t="s">
        <v>419</v>
      </c>
      <c r="C692">
        <v>1</v>
      </c>
      <c r="D692" cm="1">
        <f t="array" ref="D692">VLOOKUP(OrderLines[[#This Row],[SKU]:[SKU]],Menu[],MATCH(OrderLines[[#Headers],[UnitPrice]],Menu[#Headers],0),FALSE)</f>
        <v>50.19</v>
      </c>
      <c r="E692" cm="1">
        <f t="array" ref="E692">VLOOKUP(OrderLines[[#This Row],[SKU]:[SKU]],Menu[],MATCH(OrderLines[[#Headers],[UnitCost]],Menu[#Headers],0),FALSE)</f>
        <v>22.61</v>
      </c>
      <c r="F692" t="str" cm="1">
        <f t="array" ref="F692">VLOOKUP(OrderLines[[#This Row],[SKU]:[SKU]],Menu[],MATCH(OrderLines[[#Headers],[Category]],Menu[#Headers],0),FALSE)</f>
        <v>Snack</v>
      </c>
      <c r="G692" t="str" cm="1">
        <f t="array" ref="G692">_xlfn.TEXTJOIN("+",TRUE,_xlfn._xlws.SORT(_xlfn.UNIQUE(_xlfn._xlws.FILTER(OrderLines[Category],OrderLines[OrderID]=OrderLines[[#This Row],[OrderID]]))))</f>
        <v>Dessert+Hot Meal+Snack</v>
      </c>
      <c r="H692" s="2" cm="1">
        <f t="array" ref="H692">INT(VLOOKUP(OrderLines[[#This Row],[OrderID]:[OrderID]],Orders[],MATCH(OrderLines[[#Headers],[OrderDateTime]],Orders[#Headers],0),FALSE))</f>
        <v>45890</v>
      </c>
      <c r="I692" t="str" cm="1">
        <f t="array" ref="I692">VLOOKUP(OrderLines[[#This Row],[OrderID]:[OrderID]],Orders[],MATCH(OrderLines[[#Headers],[Branch]],Orders[#Headers],0),FALSE)</f>
        <v>Head Office Café</v>
      </c>
      <c r="J692" cm="1">
        <f t="array" ref="J692">VLOOKUP(OrderLines[[#This Row],[OrderID]:[OrderID]],Orders[],MATCH(OrderLines[[#Headers],[DiscountPct]],Orders[#Headers],0),FALSE)</f>
        <v>0.05</v>
      </c>
      <c r="K692" t="str" cm="1">
        <f t="array" ref="K692">VLOOKUP(OrderLines[[#This Row],[OrderID]:[OrderID]],Orders[],MATCH(OrderLines[[#Headers],[PaymentType]],Orders[#Headers],0),FALSE)</f>
        <v>Cash</v>
      </c>
      <c r="L692" t="str" cm="1">
        <f t="array" ref="L692">VLOOKUP(OrderLines[[#This Row],[OrderID]:[OrderID]],Orders[],MATCH(OrderLines[[#Headers],[Shift]],Orders[#Headers],0),FALSE)</f>
        <v>Breakfast</v>
      </c>
      <c r="M692" s="8">
        <f>(OrderLines[[#This Row],[Qty]]*OrderLines[[#This Row],[UnitPrice]])*(1-OrderLines[[#This Row],[DiscountPct]])</f>
        <v>47.680499999999995</v>
      </c>
      <c r="N692" t="str">
        <f>IF(AND(COUNTIFS(OrderLines[OrderID],OrderLines[[#This Row],[OrderID]],OrderLines[Category],"Hot Meal"),COUNTIFS(OrderLines[OrderID],OrderLines[[#This Row],[OrderID]],OrderLines[Category],"Beverage")),"Combo","Single")</f>
        <v>Single</v>
      </c>
      <c r="O692" s="8" t="str" cm="1">
        <f t="array" ref="O692">IF(SUMPRODUCT(OrderLines[UnitPrice],OrderLines[Qty],OrderLines[DiscountPct],--(OrderLines[OrderID] = OrderLines[[#This Row],[OrderID]]))&gt;40,"High Discount","Ok")</f>
        <v>High Discount</v>
      </c>
      <c r="P692">
        <f>OrderLines[[#This Row],[UnitCost]]*OrderLines[[#This Row],[Qty]]</f>
        <v>22.61</v>
      </c>
      <c r="Q692" s="8">
        <f>OrderLines[[#This Row],[LineNetAmount]]-OrderLines[[#This Row],[Food Cost]]</f>
        <v>25.070499999999996</v>
      </c>
    </row>
    <row r="693" spans="1:17" x14ac:dyDescent="0.3">
      <c r="A693" t="s">
        <v>305</v>
      </c>
      <c r="B693" t="s">
        <v>415</v>
      </c>
      <c r="C693">
        <v>3</v>
      </c>
      <c r="D693" cm="1">
        <f t="array" ref="D693">VLOOKUP(OrderLines[[#This Row],[SKU]:[SKU]],Menu[],MATCH(OrderLines[[#Headers],[UnitPrice]],Menu[#Headers],0),FALSE)</f>
        <v>256.91000000000003</v>
      </c>
      <c r="E693" cm="1">
        <f t="array" ref="E693">VLOOKUP(OrderLines[[#This Row],[SKU]:[SKU]],Menu[],MATCH(OrderLines[[#Headers],[UnitCost]],Menu[#Headers],0),FALSE)</f>
        <v>121.24</v>
      </c>
      <c r="F693" t="str" cm="1">
        <f t="array" ref="F693">VLOOKUP(OrderLines[[#This Row],[SKU]:[SKU]],Menu[],MATCH(OrderLines[[#Headers],[Category]],Menu[#Headers],0),FALSE)</f>
        <v>Hot Meal</v>
      </c>
      <c r="G693" t="str" cm="1">
        <f t="array" ref="G693">_xlfn.TEXTJOIN("+",TRUE,_xlfn._xlws.SORT(_xlfn.UNIQUE(_xlfn._xlws.FILTER(OrderLines[Category],OrderLines[OrderID]=OrderLines[[#This Row],[OrderID]]))))</f>
        <v>Dessert+Hot Meal+Snack</v>
      </c>
      <c r="H693" s="2" cm="1">
        <f t="array" ref="H693">INT(VLOOKUP(OrderLines[[#This Row],[OrderID]:[OrderID]],Orders[],MATCH(OrderLines[[#Headers],[OrderDateTime]],Orders[#Headers],0),FALSE))</f>
        <v>45890</v>
      </c>
      <c r="I693" t="str" cm="1">
        <f t="array" ref="I693">VLOOKUP(OrderLines[[#This Row],[OrderID]:[OrderID]],Orders[],MATCH(OrderLines[[#Headers],[Branch]],Orders[#Headers],0),FALSE)</f>
        <v>Head Office Café</v>
      </c>
      <c r="J693" cm="1">
        <f t="array" ref="J693">VLOOKUP(OrderLines[[#This Row],[OrderID]:[OrderID]],Orders[],MATCH(OrderLines[[#Headers],[DiscountPct]],Orders[#Headers],0),FALSE)</f>
        <v>0.05</v>
      </c>
      <c r="K693" t="str" cm="1">
        <f t="array" ref="K693">VLOOKUP(OrderLines[[#This Row],[OrderID]:[OrderID]],Orders[],MATCH(OrderLines[[#Headers],[PaymentType]],Orders[#Headers],0),FALSE)</f>
        <v>Cash</v>
      </c>
      <c r="L693" t="str" cm="1">
        <f t="array" ref="L693">VLOOKUP(OrderLines[[#This Row],[OrderID]:[OrderID]],Orders[],MATCH(OrderLines[[#Headers],[Shift]],Orders[#Headers],0),FALSE)</f>
        <v>Breakfast</v>
      </c>
      <c r="M693" s="8">
        <f>(OrderLines[[#This Row],[Qty]]*OrderLines[[#This Row],[UnitPrice]])*(1-OrderLines[[#This Row],[DiscountPct]])</f>
        <v>732.19349999999997</v>
      </c>
      <c r="N693" t="str">
        <f>IF(AND(COUNTIFS(OrderLines[OrderID],OrderLines[[#This Row],[OrderID]],OrderLines[Category],"Hot Meal"),COUNTIFS(OrderLines[OrderID],OrderLines[[#This Row],[OrderID]],OrderLines[Category],"Beverage")),"Combo","Single")</f>
        <v>Single</v>
      </c>
      <c r="O693" s="8" t="str" cm="1">
        <f t="array" ref="O693">IF(SUMPRODUCT(OrderLines[UnitPrice],OrderLines[Qty],OrderLines[DiscountPct],--(OrderLines[OrderID] = OrderLines[[#This Row],[OrderID]]))&gt;40,"High Discount","Ok")</f>
        <v>High Discount</v>
      </c>
      <c r="P693">
        <f>OrderLines[[#This Row],[UnitCost]]*OrderLines[[#This Row],[Qty]]</f>
        <v>363.71999999999997</v>
      </c>
      <c r="Q693" s="8">
        <f>OrderLines[[#This Row],[LineNetAmount]]-OrderLines[[#This Row],[Food Cost]]</f>
        <v>368.4735</v>
      </c>
    </row>
    <row r="694" spans="1:17" x14ac:dyDescent="0.3">
      <c r="A694" t="s">
        <v>305</v>
      </c>
      <c r="B694" t="s">
        <v>412</v>
      </c>
      <c r="C694">
        <v>3</v>
      </c>
      <c r="D694" cm="1">
        <f t="array" ref="D694">VLOOKUP(OrderLines[[#This Row],[SKU]:[SKU]],Menu[],MATCH(OrderLines[[#Headers],[UnitPrice]],Menu[#Headers],0),FALSE)</f>
        <v>57.07</v>
      </c>
      <c r="E694" cm="1">
        <f t="array" ref="E694">VLOOKUP(OrderLines[[#This Row],[SKU]:[SKU]],Menu[],MATCH(OrderLines[[#Headers],[UnitCost]],Menu[#Headers],0),FALSE)</f>
        <v>29.14</v>
      </c>
      <c r="F694" t="str" cm="1">
        <f t="array" ref="F694">VLOOKUP(OrderLines[[#This Row],[SKU]:[SKU]],Menu[],MATCH(OrderLines[[#Headers],[Category]],Menu[#Headers],0),FALSE)</f>
        <v>Dessert</v>
      </c>
      <c r="G694" t="str" cm="1">
        <f t="array" ref="G694">_xlfn.TEXTJOIN("+",TRUE,_xlfn._xlws.SORT(_xlfn.UNIQUE(_xlfn._xlws.FILTER(OrderLines[Category],OrderLines[OrderID]=OrderLines[[#This Row],[OrderID]]))))</f>
        <v>Dessert+Hot Meal+Snack</v>
      </c>
      <c r="H694" s="2" cm="1">
        <f t="array" ref="H694">INT(VLOOKUP(OrderLines[[#This Row],[OrderID]:[OrderID]],Orders[],MATCH(OrderLines[[#Headers],[OrderDateTime]],Orders[#Headers],0),FALSE))</f>
        <v>45890</v>
      </c>
      <c r="I694" t="str" cm="1">
        <f t="array" ref="I694">VLOOKUP(OrderLines[[#This Row],[OrderID]:[OrderID]],Orders[],MATCH(OrderLines[[#Headers],[Branch]],Orders[#Headers],0),FALSE)</f>
        <v>Head Office Café</v>
      </c>
      <c r="J694" cm="1">
        <f t="array" ref="J694">VLOOKUP(OrderLines[[#This Row],[OrderID]:[OrderID]],Orders[],MATCH(OrderLines[[#Headers],[DiscountPct]],Orders[#Headers],0),FALSE)</f>
        <v>0.05</v>
      </c>
      <c r="K694" t="str" cm="1">
        <f t="array" ref="K694">VLOOKUP(OrderLines[[#This Row],[OrderID]:[OrderID]],Orders[],MATCH(OrderLines[[#Headers],[PaymentType]],Orders[#Headers],0),FALSE)</f>
        <v>Cash</v>
      </c>
      <c r="L694" t="str" cm="1">
        <f t="array" ref="L694">VLOOKUP(OrderLines[[#This Row],[OrderID]:[OrderID]],Orders[],MATCH(OrderLines[[#Headers],[Shift]],Orders[#Headers],0),FALSE)</f>
        <v>Breakfast</v>
      </c>
      <c r="M694" s="8">
        <f>(OrderLines[[#This Row],[Qty]]*OrderLines[[#This Row],[UnitPrice]])*(1-OrderLines[[#This Row],[DiscountPct]])</f>
        <v>162.64949999999999</v>
      </c>
      <c r="N694" t="str">
        <f>IF(AND(COUNTIFS(OrderLines[OrderID],OrderLines[[#This Row],[OrderID]],OrderLines[Category],"Hot Meal"),COUNTIFS(OrderLines[OrderID],OrderLines[[#This Row],[OrderID]],OrderLines[Category],"Beverage")),"Combo","Single")</f>
        <v>Single</v>
      </c>
      <c r="O694" s="8" t="str" cm="1">
        <f t="array" ref="O694">IF(SUMPRODUCT(OrderLines[UnitPrice],OrderLines[Qty],OrderLines[DiscountPct],--(OrderLines[OrderID] = OrderLines[[#This Row],[OrderID]]))&gt;40,"High Discount","Ok")</f>
        <v>High Discount</v>
      </c>
      <c r="P694">
        <f>OrderLines[[#This Row],[UnitCost]]*OrderLines[[#This Row],[Qty]]</f>
        <v>87.42</v>
      </c>
      <c r="Q694" s="8">
        <f>OrderLines[[#This Row],[LineNetAmount]]-OrderLines[[#This Row],[Food Cost]]</f>
        <v>75.229499999999987</v>
      </c>
    </row>
    <row r="695" spans="1:17" x14ac:dyDescent="0.3">
      <c r="A695" t="s">
        <v>306</v>
      </c>
      <c r="B695" t="s">
        <v>415</v>
      </c>
      <c r="C695">
        <v>3</v>
      </c>
      <c r="D695" cm="1">
        <f t="array" ref="D695">VLOOKUP(OrderLines[[#This Row],[SKU]:[SKU]],Menu[],MATCH(OrderLines[[#Headers],[UnitPrice]],Menu[#Headers],0),FALSE)</f>
        <v>256.91000000000003</v>
      </c>
      <c r="E695" cm="1">
        <f t="array" ref="E695">VLOOKUP(OrderLines[[#This Row],[SKU]:[SKU]],Menu[],MATCH(OrderLines[[#Headers],[UnitCost]],Menu[#Headers],0),FALSE)</f>
        <v>121.24</v>
      </c>
      <c r="F695" t="str" cm="1">
        <f t="array" ref="F695">VLOOKUP(OrderLines[[#This Row],[SKU]:[SKU]],Menu[],MATCH(OrderLines[[#Headers],[Category]],Menu[#Headers],0),FALSE)</f>
        <v>Hot Meal</v>
      </c>
      <c r="G695" t="str" cm="1">
        <f t="array" ref="G695">_xlfn.TEXTJOIN("+",TRUE,_xlfn._xlws.SORT(_xlfn.UNIQUE(_xlfn._xlws.FILTER(OrderLines[Category],OrderLines[OrderID]=OrderLines[[#This Row],[OrderID]]))))</f>
        <v>Beverage+Hot Meal+Snack</v>
      </c>
      <c r="H695" s="2" cm="1">
        <f t="array" ref="H695">INT(VLOOKUP(OrderLines[[#This Row],[OrderID]:[OrderID]],Orders[],MATCH(OrderLines[[#Headers],[OrderDateTime]],Orders[#Headers],0),FALSE))</f>
        <v>45877</v>
      </c>
      <c r="I695" t="str" cm="1">
        <f t="array" ref="I695">VLOOKUP(OrderLines[[#This Row],[OrderID]:[OrderID]],Orders[],MATCH(OrderLines[[#Headers],[Branch]],Orders[#Headers],0),FALSE)</f>
        <v>Head Office Café</v>
      </c>
      <c r="J695" cm="1">
        <f t="array" ref="J695">VLOOKUP(OrderLines[[#This Row],[OrderID]:[OrderID]],Orders[],MATCH(OrderLines[[#Headers],[DiscountPct]],Orders[#Headers],0),FALSE)</f>
        <v>0.05</v>
      </c>
      <c r="K695" t="str" cm="1">
        <f t="array" ref="K695">VLOOKUP(OrderLines[[#This Row],[OrderID]:[OrderID]],Orders[],MATCH(OrderLines[[#Headers],[PaymentType]],Orders[#Headers],0),FALSE)</f>
        <v>Cash</v>
      </c>
      <c r="L695" t="str" cm="1">
        <f t="array" ref="L695">VLOOKUP(OrderLines[[#This Row],[OrderID]:[OrderID]],Orders[],MATCH(OrderLines[[#Headers],[Shift]],Orders[#Headers],0),FALSE)</f>
        <v>Lunch</v>
      </c>
      <c r="M695" s="8">
        <f>(OrderLines[[#This Row],[Qty]]*OrderLines[[#This Row],[UnitPrice]])*(1-OrderLines[[#This Row],[DiscountPct]])</f>
        <v>732.19349999999997</v>
      </c>
      <c r="N695" t="str">
        <f>IF(AND(COUNTIFS(OrderLines[OrderID],OrderLines[[#This Row],[OrderID]],OrderLines[Category],"Hot Meal"),COUNTIFS(OrderLines[OrderID],OrderLines[[#This Row],[OrderID]],OrderLines[Category],"Beverage")),"Combo","Single")</f>
        <v>Combo</v>
      </c>
      <c r="O695" s="8" t="str" cm="1">
        <f t="array" ref="O695">IF(SUMPRODUCT(OrderLines[UnitPrice],OrderLines[Qty],OrderLines[DiscountPct],--(OrderLines[OrderID] = OrderLines[[#This Row],[OrderID]]))&gt;40,"High Discount","Ok")</f>
        <v>High Discount</v>
      </c>
      <c r="P695">
        <f>OrderLines[[#This Row],[UnitCost]]*OrderLines[[#This Row],[Qty]]</f>
        <v>363.71999999999997</v>
      </c>
      <c r="Q695" s="8">
        <f>OrderLines[[#This Row],[LineNetAmount]]-OrderLines[[#This Row],[Food Cost]]</f>
        <v>368.4735</v>
      </c>
    </row>
    <row r="696" spans="1:17" x14ac:dyDescent="0.3">
      <c r="A696" t="s">
        <v>306</v>
      </c>
      <c r="B696" t="s">
        <v>409</v>
      </c>
      <c r="C696">
        <v>1</v>
      </c>
      <c r="D696" cm="1">
        <f t="array" ref="D696">VLOOKUP(OrderLines[[#This Row],[SKU]:[SKU]],Menu[],MATCH(OrderLines[[#Headers],[UnitPrice]],Menu[#Headers],0),FALSE)</f>
        <v>28.43</v>
      </c>
      <c r="E696" cm="1">
        <f t="array" ref="E696">VLOOKUP(OrderLines[[#This Row],[SKU]:[SKU]],Menu[],MATCH(OrderLines[[#Headers],[UnitCost]],Menu[#Headers],0),FALSE)</f>
        <v>13.89</v>
      </c>
      <c r="F696" t="str" cm="1">
        <f t="array" ref="F696">VLOOKUP(OrderLines[[#This Row],[SKU]:[SKU]],Menu[],MATCH(OrderLines[[#Headers],[Category]],Menu[#Headers],0),FALSE)</f>
        <v>Beverage</v>
      </c>
      <c r="G696" t="str" cm="1">
        <f t="array" ref="G696">_xlfn.TEXTJOIN("+",TRUE,_xlfn._xlws.SORT(_xlfn.UNIQUE(_xlfn._xlws.FILTER(OrderLines[Category],OrderLines[OrderID]=OrderLines[[#This Row],[OrderID]]))))</f>
        <v>Beverage+Hot Meal+Snack</v>
      </c>
      <c r="H696" s="2" cm="1">
        <f t="array" ref="H696">INT(VLOOKUP(OrderLines[[#This Row],[OrderID]:[OrderID]],Orders[],MATCH(OrderLines[[#Headers],[OrderDateTime]],Orders[#Headers],0),FALSE))</f>
        <v>45877</v>
      </c>
      <c r="I696" t="str" cm="1">
        <f t="array" ref="I696">VLOOKUP(OrderLines[[#This Row],[OrderID]:[OrderID]],Orders[],MATCH(OrderLines[[#Headers],[Branch]],Orders[#Headers],0),FALSE)</f>
        <v>Head Office Café</v>
      </c>
      <c r="J696" cm="1">
        <f t="array" ref="J696">VLOOKUP(OrderLines[[#This Row],[OrderID]:[OrderID]],Orders[],MATCH(OrderLines[[#Headers],[DiscountPct]],Orders[#Headers],0),FALSE)</f>
        <v>0.05</v>
      </c>
      <c r="K696" t="str" cm="1">
        <f t="array" ref="K696">VLOOKUP(OrderLines[[#This Row],[OrderID]:[OrderID]],Orders[],MATCH(OrderLines[[#Headers],[PaymentType]],Orders[#Headers],0),FALSE)</f>
        <v>Cash</v>
      </c>
      <c r="L696" t="str" cm="1">
        <f t="array" ref="L696">VLOOKUP(OrderLines[[#This Row],[OrderID]:[OrderID]],Orders[],MATCH(OrderLines[[#Headers],[Shift]],Orders[#Headers],0),FALSE)</f>
        <v>Lunch</v>
      </c>
      <c r="M696" s="8">
        <f>(OrderLines[[#This Row],[Qty]]*OrderLines[[#This Row],[UnitPrice]])*(1-OrderLines[[#This Row],[DiscountPct]])</f>
        <v>27.008499999999998</v>
      </c>
      <c r="N696" t="str">
        <f>IF(AND(COUNTIFS(OrderLines[OrderID],OrderLines[[#This Row],[OrderID]],OrderLines[Category],"Hot Meal"),COUNTIFS(OrderLines[OrderID],OrderLines[[#This Row],[OrderID]],OrderLines[Category],"Beverage")),"Combo","Single")</f>
        <v>Combo</v>
      </c>
      <c r="O696" s="8" t="str" cm="1">
        <f t="array" ref="O696">IF(SUMPRODUCT(OrderLines[UnitPrice],OrderLines[Qty],OrderLines[DiscountPct],--(OrderLines[OrderID] = OrderLines[[#This Row],[OrderID]]))&gt;40,"High Discount","Ok")</f>
        <v>High Discount</v>
      </c>
      <c r="P696">
        <f>OrderLines[[#This Row],[UnitCost]]*OrderLines[[#This Row],[Qty]]</f>
        <v>13.89</v>
      </c>
      <c r="Q696" s="8">
        <f>OrderLines[[#This Row],[LineNetAmount]]-OrderLines[[#This Row],[Food Cost]]</f>
        <v>13.118499999999997</v>
      </c>
    </row>
    <row r="697" spans="1:17" x14ac:dyDescent="0.3">
      <c r="A697" t="s">
        <v>306</v>
      </c>
      <c r="B697" t="s">
        <v>416</v>
      </c>
      <c r="C697">
        <v>1</v>
      </c>
      <c r="D697" cm="1">
        <f t="array" ref="D697">VLOOKUP(OrderLines[[#This Row],[SKU]:[SKU]],Menu[],MATCH(OrderLines[[#Headers],[UnitPrice]],Menu[#Headers],0),FALSE)</f>
        <v>227.61</v>
      </c>
      <c r="E697" cm="1">
        <f t="array" ref="E697">VLOOKUP(OrderLines[[#This Row],[SKU]:[SKU]],Menu[],MATCH(OrderLines[[#Headers],[UnitCost]],Menu[#Headers],0),FALSE)</f>
        <v>96.22</v>
      </c>
      <c r="F697" t="str" cm="1">
        <f t="array" ref="F697">VLOOKUP(OrderLines[[#This Row],[SKU]:[SKU]],Menu[],MATCH(OrderLines[[#Headers],[Category]],Menu[#Headers],0),FALSE)</f>
        <v>Hot Meal</v>
      </c>
      <c r="G697" t="str" cm="1">
        <f t="array" ref="G697">_xlfn.TEXTJOIN("+",TRUE,_xlfn._xlws.SORT(_xlfn.UNIQUE(_xlfn._xlws.FILTER(OrderLines[Category],OrderLines[OrderID]=OrderLines[[#This Row],[OrderID]]))))</f>
        <v>Beverage+Hot Meal+Snack</v>
      </c>
      <c r="H697" s="2" cm="1">
        <f t="array" ref="H697">INT(VLOOKUP(OrderLines[[#This Row],[OrderID]:[OrderID]],Orders[],MATCH(OrderLines[[#Headers],[OrderDateTime]],Orders[#Headers],0),FALSE))</f>
        <v>45877</v>
      </c>
      <c r="I697" t="str" cm="1">
        <f t="array" ref="I697">VLOOKUP(OrderLines[[#This Row],[OrderID]:[OrderID]],Orders[],MATCH(OrderLines[[#Headers],[Branch]],Orders[#Headers],0),FALSE)</f>
        <v>Head Office Café</v>
      </c>
      <c r="J697" cm="1">
        <f t="array" ref="J697">VLOOKUP(OrderLines[[#This Row],[OrderID]:[OrderID]],Orders[],MATCH(OrderLines[[#Headers],[DiscountPct]],Orders[#Headers],0),FALSE)</f>
        <v>0.05</v>
      </c>
      <c r="K697" t="str" cm="1">
        <f t="array" ref="K697">VLOOKUP(OrderLines[[#This Row],[OrderID]:[OrderID]],Orders[],MATCH(OrderLines[[#Headers],[PaymentType]],Orders[#Headers],0),FALSE)</f>
        <v>Cash</v>
      </c>
      <c r="L697" t="str" cm="1">
        <f t="array" ref="L697">VLOOKUP(OrderLines[[#This Row],[OrderID]:[OrderID]],Orders[],MATCH(OrderLines[[#Headers],[Shift]],Orders[#Headers],0),FALSE)</f>
        <v>Lunch</v>
      </c>
      <c r="M697" s="8">
        <f>(OrderLines[[#This Row],[Qty]]*OrderLines[[#This Row],[UnitPrice]])*(1-OrderLines[[#This Row],[DiscountPct]])</f>
        <v>216.2295</v>
      </c>
      <c r="N697" t="str">
        <f>IF(AND(COUNTIFS(OrderLines[OrderID],OrderLines[[#This Row],[OrderID]],OrderLines[Category],"Hot Meal"),COUNTIFS(OrderLines[OrderID],OrderLines[[#This Row],[OrderID]],OrderLines[Category],"Beverage")),"Combo","Single")</f>
        <v>Combo</v>
      </c>
      <c r="O697" s="8" t="str" cm="1">
        <f t="array" ref="O697">IF(SUMPRODUCT(OrderLines[UnitPrice],OrderLines[Qty],OrderLines[DiscountPct],--(OrderLines[OrderID] = OrderLines[[#This Row],[OrderID]]))&gt;40,"High Discount","Ok")</f>
        <v>High Discount</v>
      </c>
      <c r="P697">
        <f>OrderLines[[#This Row],[UnitCost]]*OrderLines[[#This Row],[Qty]]</f>
        <v>96.22</v>
      </c>
      <c r="Q697" s="8">
        <f>OrderLines[[#This Row],[LineNetAmount]]-OrderLines[[#This Row],[Food Cost]]</f>
        <v>120.0095</v>
      </c>
    </row>
    <row r="698" spans="1:17" x14ac:dyDescent="0.3">
      <c r="A698" t="s">
        <v>306</v>
      </c>
      <c r="B698" t="s">
        <v>408</v>
      </c>
      <c r="C698">
        <v>2</v>
      </c>
      <c r="D698" cm="1">
        <f t="array" ref="D698">VLOOKUP(OrderLines[[#This Row],[SKU]:[SKU]],Menu[],MATCH(OrderLines[[#Headers],[UnitPrice]],Menu[#Headers],0),FALSE)</f>
        <v>70.540000000000006</v>
      </c>
      <c r="E698" cm="1">
        <f t="array" ref="E698">VLOOKUP(OrderLines[[#This Row],[SKU]:[SKU]],Menu[],MATCH(OrderLines[[#Headers],[UnitCost]],Menu[#Headers],0),FALSE)</f>
        <v>35.81</v>
      </c>
      <c r="F698" t="str" cm="1">
        <f t="array" ref="F698">VLOOKUP(OrderLines[[#This Row],[SKU]:[SKU]],Menu[],MATCH(OrderLines[[#Headers],[Category]],Menu[#Headers],0),FALSE)</f>
        <v>Snack</v>
      </c>
      <c r="G698" t="str" cm="1">
        <f t="array" ref="G698">_xlfn.TEXTJOIN("+",TRUE,_xlfn._xlws.SORT(_xlfn.UNIQUE(_xlfn._xlws.FILTER(OrderLines[Category],OrderLines[OrderID]=OrderLines[[#This Row],[OrderID]]))))</f>
        <v>Beverage+Hot Meal+Snack</v>
      </c>
      <c r="H698" s="2" cm="1">
        <f t="array" ref="H698">INT(VLOOKUP(OrderLines[[#This Row],[OrderID]:[OrderID]],Orders[],MATCH(OrderLines[[#Headers],[OrderDateTime]],Orders[#Headers],0),FALSE))</f>
        <v>45877</v>
      </c>
      <c r="I698" t="str" cm="1">
        <f t="array" ref="I698">VLOOKUP(OrderLines[[#This Row],[OrderID]:[OrderID]],Orders[],MATCH(OrderLines[[#Headers],[Branch]],Orders[#Headers],0),FALSE)</f>
        <v>Head Office Café</v>
      </c>
      <c r="J698" cm="1">
        <f t="array" ref="J698">VLOOKUP(OrderLines[[#This Row],[OrderID]:[OrderID]],Orders[],MATCH(OrderLines[[#Headers],[DiscountPct]],Orders[#Headers],0),FALSE)</f>
        <v>0.05</v>
      </c>
      <c r="K698" t="str" cm="1">
        <f t="array" ref="K698">VLOOKUP(OrderLines[[#This Row],[OrderID]:[OrderID]],Orders[],MATCH(OrderLines[[#Headers],[PaymentType]],Orders[#Headers],0),FALSE)</f>
        <v>Cash</v>
      </c>
      <c r="L698" t="str" cm="1">
        <f t="array" ref="L698">VLOOKUP(OrderLines[[#This Row],[OrderID]:[OrderID]],Orders[],MATCH(OrderLines[[#Headers],[Shift]],Orders[#Headers],0),FALSE)</f>
        <v>Lunch</v>
      </c>
      <c r="M698" s="8">
        <f>(OrderLines[[#This Row],[Qty]]*OrderLines[[#This Row],[UnitPrice]])*(1-OrderLines[[#This Row],[DiscountPct]])</f>
        <v>134.02600000000001</v>
      </c>
      <c r="N698" t="str">
        <f>IF(AND(COUNTIFS(OrderLines[OrderID],OrderLines[[#This Row],[OrderID]],OrderLines[Category],"Hot Meal"),COUNTIFS(OrderLines[OrderID],OrderLines[[#This Row],[OrderID]],OrderLines[Category],"Beverage")),"Combo","Single")</f>
        <v>Combo</v>
      </c>
      <c r="O698" s="8" t="str" cm="1">
        <f t="array" ref="O698">IF(SUMPRODUCT(OrderLines[UnitPrice],OrderLines[Qty],OrderLines[DiscountPct],--(OrderLines[OrderID] = OrderLines[[#This Row],[OrderID]]))&gt;40,"High Discount","Ok")</f>
        <v>High Discount</v>
      </c>
      <c r="P698">
        <f>OrderLines[[#This Row],[UnitCost]]*OrderLines[[#This Row],[Qty]]</f>
        <v>71.62</v>
      </c>
      <c r="Q698" s="8">
        <f>OrderLines[[#This Row],[LineNetAmount]]-OrderLines[[#This Row],[Food Cost]]</f>
        <v>62.406000000000006</v>
      </c>
    </row>
    <row r="699" spans="1:17" x14ac:dyDescent="0.3">
      <c r="A699" t="s">
        <v>307</v>
      </c>
      <c r="B699" t="s">
        <v>407</v>
      </c>
      <c r="C699">
        <v>3</v>
      </c>
      <c r="D699" cm="1">
        <f t="array" ref="D699">VLOOKUP(OrderLines[[#This Row],[SKU]:[SKU]],Menu[],MATCH(OrderLines[[#Headers],[UnitPrice]],Menu[#Headers],0),FALSE)</f>
        <v>246.09</v>
      </c>
      <c r="E699" cm="1">
        <f t="array" ref="E699">VLOOKUP(OrderLines[[#This Row],[SKU]:[SKU]],Menu[],MATCH(OrderLines[[#Headers],[UnitCost]],Menu[#Headers],0),FALSE)</f>
        <v>112.08</v>
      </c>
      <c r="F699" t="str" cm="1">
        <f t="array" ref="F699">VLOOKUP(OrderLines[[#This Row],[SKU]:[SKU]],Menu[],MATCH(OrderLines[[#Headers],[Category]],Menu[#Headers],0),FALSE)</f>
        <v>Hot Meal</v>
      </c>
      <c r="G699" t="str" cm="1">
        <f t="array" ref="G699">_xlfn.TEXTJOIN("+",TRUE,_xlfn._xlws.SORT(_xlfn.UNIQUE(_xlfn._xlws.FILTER(OrderLines[Category],OrderLines[OrderID]=OrderLines[[#This Row],[OrderID]]))))</f>
        <v>Hot Meal+Snack</v>
      </c>
      <c r="H699" s="2" cm="1">
        <f t="array" ref="H699">INT(VLOOKUP(OrderLines[[#This Row],[OrderID]:[OrderID]],Orders[],MATCH(OrderLines[[#Headers],[OrderDateTime]],Orders[#Headers],0),FALSE))</f>
        <v>45868</v>
      </c>
      <c r="I699" t="str" cm="1">
        <f t="array" ref="I699">VLOOKUP(OrderLines[[#This Row],[OrderID]:[OrderID]],Orders[],MATCH(OrderLines[[#Headers],[Branch]],Orders[#Headers],0),FALSE)</f>
        <v>Plant 1 Canteen</v>
      </c>
      <c r="J699" cm="1">
        <f t="array" ref="J699">VLOOKUP(OrderLines[[#This Row],[OrderID]:[OrderID]],Orders[],MATCH(OrderLines[[#Headers],[DiscountPct]],Orders[#Headers],0),FALSE)</f>
        <v>0.1</v>
      </c>
      <c r="K699" t="str" cm="1">
        <f t="array" ref="K699">VLOOKUP(OrderLines[[#This Row],[OrderID]:[OrderID]],Orders[],MATCH(OrderLines[[#Headers],[PaymentType]],Orders[#Headers],0),FALSE)</f>
        <v>Card</v>
      </c>
      <c r="L699" t="str" cm="1">
        <f t="array" ref="L699">VLOOKUP(OrderLines[[#This Row],[OrderID]:[OrderID]],Orders[],MATCH(OrderLines[[#Headers],[Shift]],Orders[#Headers],0),FALSE)</f>
        <v>Lunch</v>
      </c>
      <c r="M699" s="8">
        <f>(OrderLines[[#This Row],[Qty]]*OrderLines[[#This Row],[UnitPrice]])*(1-OrderLines[[#This Row],[DiscountPct]])</f>
        <v>664.44299999999998</v>
      </c>
      <c r="N699" t="str">
        <f>IF(AND(COUNTIFS(OrderLines[OrderID],OrderLines[[#This Row],[OrderID]],OrderLines[Category],"Hot Meal"),COUNTIFS(OrderLines[OrderID],OrderLines[[#This Row],[OrderID]],OrderLines[Category],"Beverage")),"Combo","Single")</f>
        <v>Single</v>
      </c>
      <c r="O699" s="8" t="str" cm="1">
        <f t="array" ref="O699">IF(SUMPRODUCT(OrderLines[UnitPrice],OrderLines[Qty],OrderLines[DiscountPct],--(OrderLines[OrderID] = OrderLines[[#This Row],[OrderID]]))&gt;40,"High Discount","Ok")</f>
        <v>High Discount</v>
      </c>
      <c r="P699">
        <f>OrderLines[[#This Row],[UnitCost]]*OrderLines[[#This Row],[Qty]]</f>
        <v>336.24</v>
      </c>
      <c r="Q699" s="8">
        <f>OrderLines[[#This Row],[LineNetAmount]]-OrderLines[[#This Row],[Food Cost]]</f>
        <v>328.20299999999997</v>
      </c>
    </row>
    <row r="700" spans="1:17" x14ac:dyDescent="0.3">
      <c r="A700" t="s">
        <v>307</v>
      </c>
      <c r="B700" t="s">
        <v>415</v>
      </c>
      <c r="C700">
        <v>3</v>
      </c>
      <c r="D700" cm="1">
        <f t="array" ref="D700">VLOOKUP(OrderLines[[#This Row],[SKU]:[SKU]],Menu[],MATCH(OrderLines[[#Headers],[UnitPrice]],Menu[#Headers],0),FALSE)</f>
        <v>256.91000000000003</v>
      </c>
      <c r="E700" cm="1">
        <f t="array" ref="E700">VLOOKUP(OrderLines[[#This Row],[SKU]:[SKU]],Menu[],MATCH(OrderLines[[#Headers],[UnitCost]],Menu[#Headers],0),FALSE)</f>
        <v>121.24</v>
      </c>
      <c r="F700" t="str" cm="1">
        <f t="array" ref="F700">VLOOKUP(OrderLines[[#This Row],[SKU]:[SKU]],Menu[],MATCH(OrderLines[[#Headers],[Category]],Menu[#Headers],0),FALSE)</f>
        <v>Hot Meal</v>
      </c>
      <c r="G700" t="str" cm="1">
        <f t="array" ref="G700">_xlfn.TEXTJOIN("+",TRUE,_xlfn._xlws.SORT(_xlfn.UNIQUE(_xlfn._xlws.FILTER(OrderLines[Category],OrderLines[OrderID]=OrderLines[[#This Row],[OrderID]]))))</f>
        <v>Hot Meal+Snack</v>
      </c>
      <c r="H700" s="2" cm="1">
        <f t="array" ref="H700">INT(VLOOKUP(OrderLines[[#This Row],[OrderID]:[OrderID]],Orders[],MATCH(OrderLines[[#Headers],[OrderDateTime]],Orders[#Headers],0),FALSE))</f>
        <v>45868</v>
      </c>
      <c r="I700" t="str" cm="1">
        <f t="array" ref="I700">VLOOKUP(OrderLines[[#This Row],[OrderID]:[OrderID]],Orders[],MATCH(OrderLines[[#Headers],[Branch]],Orders[#Headers],0),FALSE)</f>
        <v>Plant 1 Canteen</v>
      </c>
      <c r="J700" cm="1">
        <f t="array" ref="J700">VLOOKUP(OrderLines[[#This Row],[OrderID]:[OrderID]],Orders[],MATCH(OrderLines[[#Headers],[DiscountPct]],Orders[#Headers],0),FALSE)</f>
        <v>0.1</v>
      </c>
      <c r="K700" t="str" cm="1">
        <f t="array" ref="K700">VLOOKUP(OrderLines[[#This Row],[OrderID]:[OrderID]],Orders[],MATCH(OrderLines[[#Headers],[PaymentType]],Orders[#Headers],0),FALSE)</f>
        <v>Card</v>
      </c>
      <c r="L700" t="str" cm="1">
        <f t="array" ref="L700">VLOOKUP(OrderLines[[#This Row],[OrderID]:[OrderID]],Orders[],MATCH(OrderLines[[#Headers],[Shift]],Orders[#Headers],0),FALSE)</f>
        <v>Lunch</v>
      </c>
      <c r="M700" s="8">
        <f>(OrderLines[[#This Row],[Qty]]*OrderLines[[#This Row],[UnitPrice]])*(1-OrderLines[[#This Row],[DiscountPct]])</f>
        <v>693.65700000000004</v>
      </c>
      <c r="N700" t="str">
        <f>IF(AND(COUNTIFS(OrderLines[OrderID],OrderLines[[#This Row],[OrderID]],OrderLines[Category],"Hot Meal"),COUNTIFS(OrderLines[OrderID],OrderLines[[#This Row],[OrderID]],OrderLines[Category],"Beverage")),"Combo","Single")</f>
        <v>Single</v>
      </c>
      <c r="O700" s="8" t="str" cm="1">
        <f t="array" ref="O700">IF(SUMPRODUCT(OrderLines[UnitPrice],OrderLines[Qty],OrderLines[DiscountPct],--(OrderLines[OrderID] = OrderLines[[#This Row],[OrderID]]))&gt;40,"High Discount","Ok")</f>
        <v>High Discount</v>
      </c>
      <c r="P700">
        <f>OrderLines[[#This Row],[UnitCost]]*OrderLines[[#This Row],[Qty]]</f>
        <v>363.71999999999997</v>
      </c>
      <c r="Q700" s="8">
        <f>OrderLines[[#This Row],[LineNetAmount]]-OrderLines[[#This Row],[Food Cost]]</f>
        <v>329.93700000000007</v>
      </c>
    </row>
    <row r="701" spans="1:17" x14ac:dyDescent="0.3">
      <c r="A701" t="s">
        <v>307</v>
      </c>
      <c r="B701" t="s">
        <v>408</v>
      </c>
      <c r="C701">
        <v>2</v>
      </c>
      <c r="D701" cm="1">
        <f t="array" ref="D701">VLOOKUP(OrderLines[[#This Row],[SKU]:[SKU]],Menu[],MATCH(OrderLines[[#Headers],[UnitPrice]],Menu[#Headers],0),FALSE)</f>
        <v>70.540000000000006</v>
      </c>
      <c r="E701" cm="1">
        <f t="array" ref="E701">VLOOKUP(OrderLines[[#This Row],[SKU]:[SKU]],Menu[],MATCH(OrderLines[[#Headers],[UnitCost]],Menu[#Headers],0),FALSE)</f>
        <v>35.81</v>
      </c>
      <c r="F701" t="str" cm="1">
        <f t="array" ref="F701">VLOOKUP(OrderLines[[#This Row],[SKU]:[SKU]],Menu[],MATCH(OrderLines[[#Headers],[Category]],Menu[#Headers],0),FALSE)</f>
        <v>Snack</v>
      </c>
      <c r="G701" t="str" cm="1">
        <f t="array" ref="G701">_xlfn.TEXTJOIN("+",TRUE,_xlfn._xlws.SORT(_xlfn.UNIQUE(_xlfn._xlws.FILTER(OrderLines[Category],OrderLines[OrderID]=OrderLines[[#This Row],[OrderID]]))))</f>
        <v>Hot Meal+Snack</v>
      </c>
      <c r="H701" s="2" cm="1">
        <f t="array" ref="H701">INT(VLOOKUP(OrderLines[[#This Row],[OrderID]:[OrderID]],Orders[],MATCH(OrderLines[[#Headers],[OrderDateTime]],Orders[#Headers],0),FALSE))</f>
        <v>45868</v>
      </c>
      <c r="I701" t="str" cm="1">
        <f t="array" ref="I701">VLOOKUP(OrderLines[[#This Row],[OrderID]:[OrderID]],Orders[],MATCH(OrderLines[[#Headers],[Branch]],Orders[#Headers],0),FALSE)</f>
        <v>Plant 1 Canteen</v>
      </c>
      <c r="J701" cm="1">
        <f t="array" ref="J701">VLOOKUP(OrderLines[[#This Row],[OrderID]:[OrderID]],Orders[],MATCH(OrderLines[[#Headers],[DiscountPct]],Orders[#Headers],0),FALSE)</f>
        <v>0.1</v>
      </c>
      <c r="K701" t="str" cm="1">
        <f t="array" ref="K701">VLOOKUP(OrderLines[[#This Row],[OrderID]:[OrderID]],Orders[],MATCH(OrderLines[[#Headers],[PaymentType]],Orders[#Headers],0),FALSE)</f>
        <v>Card</v>
      </c>
      <c r="L701" t="str" cm="1">
        <f t="array" ref="L701">VLOOKUP(OrderLines[[#This Row],[OrderID]:[OrderID]],Orders[],MATCH(OrderLines[[#Headers],[Shift]],Orders[#Headers],0),FALSE)</f>
        <v>Lunch</v>
      </c>
      <c r="M701" s="8">
        <f>(OrderLines[[#This Row],[Qty]]*OrderLines[[#This Row],[UnitPrice]])*(1-OrderLines[[#This Row],[DiscountPct]])</f>
        <v>126.97200000000001</v>
      </c>
      <c r="N701" t="str">
        <f>IF(AND(COUNTIFS(OrderLines[OrderID],OrderLines[[#This Row],[OrderID]],OrderLines[Category],"Hot Meal"),COUNTIFS(OrderLines[OrderID],OrderLines[[#This Row],[OrderID]],OrderLines[Category],"Beverage")),"Combo","Single")</f>
        <v>Single</v>
      </c>
      <c r="O701" s="8" t="str" cm="1">
        <f t="array" ref="O701">IF(SUMPRODUCT(OrderLines[UnitPrice],OrderLines[Qty],OrderLines[DiscountPct],--(OrderLines[OrderID] = OrderLines[[#This Row],[OrderID]]))&gt;40,"High Discount","Ok")</f>
        <v>High Discount</v>
      </c>
      <c r="P701">
        <f>OrderLines[[#This Row],[UnitCost]]*OrderLines[[#This Row],[Qty]]</f>
        <v>71.62</v>
      </c>
      <c r="Q701" s="8">
        <f>OrderLines[[#This Row],[LineNetAmount]]-OrderLines[[#This Row],[Food Cost]]</f>
        <v>55.352000000000004</v>
      </c>
    </row>
    <row r="702" spans="1:17" x14ac:dyDescent="0.3">
      <c r="A702" t="s">
        <v>308</v>
      </c>
      <c r="B702" t="s">
        <v>411</v>
      </c>
      <c r="C702">
        <v>1</v>
      </c>
      <c r="D702" cm="1">
        <f t="array" ref="D702">VLOOKUP(OrderLines[[#This Row],[SKU]:[SKU]],Menu[],MATCH(OrderLines[[#Headers],[UnitPrice]],Menu[#Headers],0),FALSE)</f>
        <v>22.2</v>
      </c>
      <c r="E702" cm="1">
        <f t="array" ref="E702">VLOOKUP(OrderLines[[#This Row],[SKU]:[SKU]],Menu[],MATCH(OrderLines[[#Headers],[UnitCost]],Menu[#Headers],0),FALSE)</f>
        <v>9.3800000000000008</v>
      </c>
      <c r="F702" t="str" cm="1">
        <f t="array" ref="F702">VLOOKUP(OrderLines[[#This Row],[SKU]:[SKU]],Menu[],MATCH(OrderLines[[#Headers],[Category]],Menu[#Headers],0),FALSE)</f>
        <v>Beverage</v>
      </c>
      <c r="G702" t="str" cm="1">
        <f t="array" ref="G702">_xlfn.TEXTJOIN("+",TRUE,_xlfn._xlws.SORT(_xlfn.UNIQUE(_xlfn._xlws.FILTER(OrderLines[Category],OrderLines[OrderID]=OrderLines[[#This Row],[OrderID]]))))</f>
        <v>Beverage+Dessert</v>
      </c>
      <c r="H702" s="2" cm="1">
        <f t="array" ref="H702">INT(VLOOKUP(OrderLines[[#This Row],[OrderID]:[OrderID]],Orders[],MATCH(OrderLines[[#Headers],[OrderDateTime]],Orders[#Headers],0),FALSE))</f>
        <v>45871</v>
      </c>
      <c r="I702" t="str" cm="1">
        <f t="array" ref="I702">VLOOKUP(OrderLines[[#This Row],[OrderID]:[OrderID]],Orders[],MATCH(OrderLines[[#Headers],[Branch]],Orders[#Headers],0),FALSE)</f>
        <v>Plant 1 Canteen</v>
      </c>
      <c r="J702" cm="1">
        <f t="array" ref="J702">VLOOKUP(OrderLines[[#This Row],[OrderID]:[OrderID]],Orders[],MATCH(OrderLines[[#Headers],[DiscountPct]],Orders[#Headers],0),FALSE)</f>
        <v>0.09</v>
      </c>
      <c r="K702" t="str" cm="1">
        <f t="array" ref="K702">VLOOKUP(OrderLines[[#This Row],[OrderID]:[OrderID]],Orders[],MATCH(OrderLines[[#Headers],[PaymentType]],Orders[#Headers],0),FALSE)</f>
        <v>Card</v>
      </c>
      <c r="L702" t="str" cm="1">
        <f t="array" ref="L702">VLOOKUP(OrderLines[[#This Row],[OrderID]:[OrderID]],Orders[],MATCH(OrderLines[[#Headers],[Shift]],Orders[#Headers],0),FALSE)</f>
        <v>Breakfast</v>
      </c>
      <c r="M702" s="8">
        <f>(OrderLines[[#This Row],[Qty]]*OrderLines[[#This Row],[UnitPrice]])*(1-OrderLines[[#This Row],[DiscountPct]])</f>
        <v>20.202000000000002</v>
      </c>
      <c r="N702" t="str">
        <f>IF(AND(COUNTIFS(OrderLines[OrderID],OrderLines[[#This Row],[OrderID]],OrderLines[Category],"Hot Meal"),COUNTIFS(OrderLines[OrderID],OrderLines[[#This Row],[OrderID]],OrderLines[Category],"Beverage")),"Combo","Single")</f>
        <v>Single</v>
      </c>
      <c r="O702" s="8" t="str" cm="1">
        <f t="array" ref="O702">IF(SUMPRODUCT(OrderLines[UnitPrice],OrderLines[Qty],OrderLines[DiscountPct],--(OrderLines[OrderID] = OrderLines[[#This Row],[OrderID]]))&gt;40,"High Discount","Ok")</f>
        <v>Ok</v>
      </c>
      <c r="P702">
        <f>OrderLines[[#This Row],[UnitCost]]*OrderLines[[#This Row],[Qty]]</f>
        <v>9.3800000000000008</v>
      </c>
      <c r="Q702" s="8">
        <f>OrderLines[[#This Row],[LineNetAmount]]-OrderLines[[#This Row],[Food Cost]]</f>
        <v>10.822000000000001</v>
      </c>
    </row>
    <row r="703" spans="1:17" x14ac:dyDescent="0.3">
      <c r="A703" t="s">
        <v>308</v>
      </c>
      <c r="B703" t="s">
        <v>403</v>
      </c>
      <c r="C703">
        <v>1</v>
      </c>
      <c r="D703" cm="1">
        <f t="array" ref="D703">VLOOKUP(OrderLines[[#This Row],[SKU]:[SKU]],Menu[],MATCH(OrderLines[[#Headers],[UnitPrice]],Menu[#Headers],0),FALSE)</f>
        <v>76.55</v>
      </c>
      <c r="E703" cm="1">
        <f t="array" ref="E703">VLOOKUP(OrderLines[[#This Row],[SKU]:[SKU]],Menu[],MATCH(OrderLines[[#Headers],[UnitCost]],Menu[#Headers],0),FALSE)</f>
        <v>38.229999999999997</v>
      </c>
      <c r="F703" t="str" cm="1">
        <f t="array" ref="F703">VLOOKUP(OrderLines[[#This Row],[SKU]:[SKU]],Menu[],MATCH(OrderLines[[#Headers],[Category]],Menu[#Headers],0),FALSE)</f>
        <v>Dessert</v>
      </c>
      <c r="G703" t="str" cm="1">
        <f t="array" ref="G703">_xlfn.TEXTJOIN("+",TRUE,_xlfn._xlws.SORT(_xlfn.UNIQUE(_xlfn._xlws.FILTER(OrderLines[Category],OrderLines[OrderID]=OrderLines[[#This Row],[OrderID]]))))</f>
        <v>Beverage+Dessert</v>
      </c>
      <c r="H703" s="2" cm="1">
        <f t="array" ref="H703">INT(VLOOKUP(OrderLines[[#This Row],[OrderID]:[OrderID]],Orders[],MATCH(OrderLines[[#Headers],[OrderDateTime]],Orders[#Headers],0),FALSE))</f>
        <v>45871</v>
      </c>
      <c r="I703" t="str" cm="1">
        <f t="array" ref="I703">VLOOKUP(OrderLines[[#This Row],[OrderID]:[OrderID]],Orders[],MATCH(OrderLines[[#Headers],[Branch]],Orders[#Headers],0),FALSE)</f>
        <v>Plant 1 Canteen</v>
      </c>
      <c r="J703" cm="1">
        <f t="array" ref="J703">VLOOKUP(OrderLines[[#This Row],[OrderID]:[OrderID]],Orders[],MATCH(OrderLines[[#Headers],[DiscountPct]],Orders[#Headers],0),FALSE)</f>
        <v>0.09</v>
      </c>
      <c r="K703" t="str" cm="1">
        <f t="array" ref="K703">VLOOKUP(OrderLines[[#This Row],[OrderID]:[OrderID]],Orders[],MATCH(OrderLines[[#Headers],[PaymentType]],Orders[#Headers],0),FALSE)</f>
        <v>Card</v>
      </c>
      <c r="L703" t="str" cm="1">
        <f t="array" ref="L703">VLOOKUP(OrderLines[[#This Row],[OrderID]:[OrderID]],Orders[],MATCH(OrderLines[[#Headers],[Shift]],Orders[#Headers],0),FALSE)</f>
        <v>Breakfast</v>
      </c>
      <c r="M703" s="8">
        <f>(OrderLines[[#This Row],[Qty]]*OrderLines[[#This Row],[UnitPrice]])*(1-OrderLines[[#This Row],[DiscountPct]])</f>
        <v>69.660499999999999</v>
      </c>
      <c r="N703" t="str">
        <f>IF(AND(COUNTIFS(OrderLines[OrderID],OrderLines[[#This Row],[OrderID]],OrderLines[Category],"Hot Meal"),COUNTIFS(OrderLines[OrderID],OrderLines[[#This Row],[OrderID]],OrderLines[Category],"Beverage")),"Combo","Single")</f>
        <v>Single</v>
      </c>
      <c r="O703" s="8" t="str" cm="1">
        <f t="array" ref="O703">IF(SUMPRODUCT(OrderLines[UnitPrice],OrderLines[Qty],OrderLines[DiscountPct],--(OrderLines[OrderID] = OrderLines[[#This Row],[OrderID]]))&gt;40,"High Discount","Ok")</f>
        <v>Ok</v>
      </c>
      <c r="P703">
        <f>OrderLines[[#This Row],[UnitCost]]*OrderLines[[#This Row],[Qty]]</f>
        <v>38.229999999999997</v>
      </c>
      <c r="Q703" s="8">
        <f>OrderLines[[#This Row],[LineNetAmount]]-OrderLines[[#This Row],[Food Cost]]</f>
        <v>31.430500000000002</v>
      </c>
    </row>
    <row r="704" spans="1:17" x14ac:dyDescent="0.3">
      <c r="A704" t="s">
        <v>308</v>
      </c>
      <c r="B704" t="s">
        <v>413</v>
      </c>
      <c r="C704">
        <v>1</v>
      </c>
      <c r="D704" cm="1">
        <f t="array" ref="D704">VLOOKUP(OrderLines[[#This Row],[SKU]:[SKU]],Menu[],MATCH(OrderLines[[#Headers],[UnitPrice]],Menu[#Headers],0),FALSE)</f>
        <v>54.2</v>
      </c>
      <c r="E704" cm="1">
        <f t="array" ref="E704">VLOOKUP(OrderLines[[#This Row],[SKU]:[SKU]],Menu[],MATCH(OrderLines[[#Headers],[UnitCost]],Menu[#Headers],0),FALSE)</f>
        <v>21.95</v>
      </c>
      <c r="F704" t="str" cm="1">
        <f t="array" ref="F704">VLOOKUP(OrderLines[[#This Row],[SKU]:[SKU]],Menu[],MATCH(OrderLines[[#Headers],[Category]],Menu[#Headers],0),FALSE)</f>
        <v>Dessert</v>
      </c>
      <c r="G704" t="str" cm="1">
        <f t="array" ref="G704">_xlfn.TEXTJOIN("+",TRUE,_xlfn._xlws.SORT(_xlfn.UNIQUE(_xlfn._xlws.FILTER(OrderLines[Category],OrderLines[OrderID]=OrderLines[[#This Row],[OrderID]]))))</f>
        <v>Beverage+Dessert</v>
      </c>
      <c r="H704" s="2" cm="1">
        <f t="array" ref="H704">INT(VLOOKUP(OrderLines[[#This Row],[OrderID]:[OrderID]],Orders[],MATCH(OrderLines[[#Headers],[OrderDateTime]],Orders[#Headers],0),FALSE))</f>
        <v>45871</v>
      </c>
      <c r="I704" t="str" cm="1">
        <f t="array" ref="I704">VLOOKUP(OrderLines[[#This Row],[OrderID]:[OrderID]],Orders[],MATCH(OrderLines[[#Headers],[Branch]],Orders[#Headers],0),FALSE)</f>
        <v>Plant 1 Canteen</v>
      </c>
      <c r="J704" cm="1">
        <f t="array" ref="J704">VLOOKUP(OrderLines[[#This Row],[OrderID]:[OrderID]],Orders[],MATCH(OrderLines[[#Headers],[DiscountPct]],Orders[#Headers],0),FALSE)</f>
        <v>0.09</v>
      </c>
      <c r="K704" t="str" cm="1">
        <f t="array" ref="K704">VLOOKUP(OrderLines[[#This Row],[OrderID]:[OrderID]],Orders[],MATCH(OrderLines[[#Headers],[PaymentType]],Orders[#Headers],0),FALSE)</f>
        <v>Card</v>
      </c>
      <c r="L704" t="str" cm="1">
        <f t="array" ref="L704">VLOOKUP(OrderLines[[#This Row],[OrderID]:[OrderID]],Orders[],MATCH(OrderLines[[#Headers],[Shift]],Orders[#Headers],0),FALSE)</f>
        <v>Breakfast</v>
      </c>
      <c r="M704" s="8">
        <f>(OrderLines[[#This Row],[Qty]]*OrderLines[[#This Row],[UnitPrice]])*(1-OrderLines[[#This Row],[DiscountPct]])</f>
        <v>49.322000000000003</v>
      </c>
      <c r="N704" t="str">
        <f>IF(AND(COUNTIFS(OrderLines[OrderID],OrderLines[[#This Row],[OrderID]],OrderLines[Category],"Hot Meal"),COUNTIFS(OrderLines[OrderID],OrderLines[[#This Row],[OrderID]],OrderLines[Category],"Beverage")),"Combo","Single")</f>
        <v>Single</v>
      </c>
      <c r="O704" s="8" t="str" cm="1">
        <f t="array" ref="O704">IF(SUMPRODUCT(OrderLines[UnitPrice],OrderLines[Qty],OrderLines[DiscountPct],--(OrderLines[OrderID] = OrderLines[[#This Row],[OrderID]]))&gt;40,"High Discount","Ok")</f>
        <v>Ok</v>
      </c>
      <c r="P704">
        <f>OrderLines[[#This Row],[UnitCost]]*OrderLines[[#This Row],[Qty]]</f>
        <v>21.95</v>
      </c>
      <c r="Q704" s="8">
        <f>OrderLines[[#This Row],[LineNetAmount]]-OrderLines[[#This Row],[Food Cost]]</f>
        <v>27.372000000000003</v>
      </c>
    </row>
    <row r="705" spans="1:17" x14ac:dyDescent="0.3">
      <c r="A705" t="s">
        <v>309</v>
      </c>
      <c r="B705" t="s">
        <v>417</v>
      </c>
      <c r="C705">
        <v>1</v>
      </c>
      <c r="D705" cm="1">
        <f t="array" ref="D705">VLOOKUP(OrderLines[[#This Row],[SKU]:[SKU]],Menu[],MATCH(OrderLines[[#Headers],[UnitPrice]],Menu[#Headers],0),FALSE)</f>
        <v>146.4</v>
      </c>
      <c r="E705" cm="1">
        <f t="array" ref="E705">VLOOKUP(OrderLines[[#This Row],[SKU]:[SKU]],Menu[],MATCH(OrderLines[[#Headers],[UnitCost]],Menu[#Headers],0),FALSE)</f>
        <v>80.92</v>
      </c>
      <c r="F705" t="str" cm="1">
        <f t="array" ref="F705">VLOOKUP(OrderLines[[#This Row],[SKU]:[SKU]],Menu[],MATCH(OrderLines[[#Headers],[Category]],Menu[#Headers],0),FALSE)</f>
        <v>Hot Meal</v>
      </c>
      <c r="G705" t="str" cm="1">
        <f t="array" ref="G705">_xlfn.TEXTJOIN("+",TRUE,_xlfn._xlws.SORT(_xlfn.UNIQUE(_xlfn._xlws.FILTER(OrderLines[Category],OrderLines[OrderID]=OrderLines[[#This Row],[OrderID]]))))</f>
        <v>Beverage+Hot Meal+Snack</v>
      </c>
      <c r="H705" s="2" cm="1">
        <f t="array" ref="H705">INT(VLOOKUP(OrderLines[[#This Row],[OrderID]:[OrderID]],Orders[],MATCH(OrderLines[[#Headers],[OrderDateTime]],Orders[#Headers],0),FALSE))</f>
        <v>45856</v>
      </c>
      <c r="I705" t="str" cm="1">
        <f t="array" ref="I705">VLOOKUP(OrderLines[[#This Row],[OrderID]:[OrderID]],Orders[],MATCH(OrderLines[[#Headers],[Branch]],Orders[#Headers],0),FALSE)</f>
        <v>Plant 1 Canteen</v>
      </c>
      <c r="J705" cm="1">
        <f t="array" ref="J705">VLOOKUP(OrderLines[[#This Row],[OrderID]:[OrderID]],Orders[],MATCH(OrderLines[[#Headers],[DiscountPct]],Orders[#Headers],0),FALSE)</f>
        <v>0.09</v>
      </c>
      <c r="K705" t="str" cm="1">
        <f t="array" ref="K705">VLOOKUP(OrderLines[[#This Row],[OrderID]:[OrderID]],Orders[],MATCH(OrderLines[[#Headers],[PaymentType]],Orders[#Headers],0),FALSE)</f>
        <v>UPI</v>
      </c>
      <c r="L705" t="str" cm="1">
        <f t="array" ref="L705">VLOOKUP(OrderLines[[#This Row],[OrderID]:[OrderID]],Orders[],MATCH(OrderLines[[#Headers],[Shift]],Orders[#Headers],0),FALSE)</f>
        <v>Breakfast</v>
      </c>
      <c r="M705" s="8">
        <f>(OrderLines[[#This Row],[Qty]]*OrderLines[[#This Row],[UnitPrice]])*(1-OrderLines[[#This Row],[DiscountPct]])</f>
        <v>133.22400000000002</v>
      </c>
      <c r="N705" t="str">
        <f>IF(AND(COUNTIFS(OrderLines[OrderID],OrderLines[[#This Row],[OrderID]],OrderLines[Category],"Hot Meal"),COUNTIFS(OrderLines[OrderID],OrderLines[[#This Row],[OrderID]],OrderLines[Category],"Beverage")),"Combo","Single")</f>
        <v>Combo</v>
      </c>
      <c r="O705" s="8" t="str" cm="1">
        <f t="array" ref="O705">IF(SUMPRODUCT(OrderLines[UnitPrice],OrderLines[Qty],OrderLines[DiscountPct],--(OrderLines[OrderID] = OrderLines[[#This Row],[OrderID]]))&gt;40,"High Discount","Ok")</f>
        <v>Ok</v>
      </c>
      <c r="P705">
        <f>OrderLines[[#This Row],[UnitCost]]*OrderLines[[#This Row],[Qty]]</f>
        <v>80.92</v>
      </c>
      <c r="Q705" s="8">
        <f>OrderLines[[#This Row],[LineNetAmount]]-OrderLines[[#This Row],[Food Cost]]</f>
        <v>52.304000000000016</v>
      </c>
    </row>
    <row r="706" spans="1:17" x14ac:dyDescent="0.3">
      <c r="A706" t="s">
        <v>309</v>
      </c>
      <c r="B706" t="s">
        <v>411</v>
      </c>
      <c r="C706">
        <v>3</v>
      </c>
      <c r="D706" cm="1">
        <f t="array" ref="D706">VLOOKUP(OrderLines[[#This Row],[SKU]:[SKU]],Menu[],MATCH(OrderLines[[#Headers],[UnitPrice]],Menu[#Headers],0),FALSE)</f>
        <v>22.2</v>
      </c>
      <c r="E706" cm="1">
        <f t="array" ref="E706">VLOOKUP(OrderLines[[#This Row],[SKU]:[SKU]],Menu[],MATCH(OrderLines[[#Headers],[UnitCost]],Menu[#Headers],0),FALSE)</f>
        <v>9.3800000000000008</v>
      </c>
      <c r="F706" t="str" cm="1">
        <f t="array" ref="F706">VLOOKUP(OrderLines[[#This Row],[SKU]:[SKU]],Menu[],MATCH(OrderLines[[#Headers],[Category]],Menu[#Headers],0),FALSE)</f>
        <v>Beverage</v>
      </c>
      <c r="G706" t="str" cm="1">
        <f t="array" ref="G706">_xlfn.TEXTJOIN("+",TRUE,_xlfn._xlws.SORT(_xlfn.UNIQUE(_xlfn._xlws.FILTER(OrderLines[Category],OrderLines[OrderID]=OrderLines[[#This Row],[OrderID]]))))</f>
        <v>Beverage+Hot Meal+Snack</v>
      </c>
      <c r="H706" s="2" cm="1">
        <f t="array" ref="H706">INT(VLOOKUP(OrderLines[[#This Row],[OrderID]:[OrderID]],Orders[],MATCH(OrderLines[[#Headers],[OrderDateTime]],Orders[#Headers],0),FALSE))</f>
        <v>45856</v>
      </c>
      <c r="I706" t="str" cm="1">
        <f t="array" ref="I706">VLOOKUP(OrderLines[[#This Row],[OrderID]:[OrderID]],Orders[],MATCH(OrderLines[[#Headers],[Branch]],Orders[#Headers],0),FALSE)</f>
        <v>Plant 1 Canteen</v>
      </c>
      <c r="J706" cm="1">
        <f t="array" ref="J706">VLOOKUP(OrderLines[[#This Row],[OrderID]:[OrderID]],Orders[],MATCH(OrderLines[[#Headers],[DiscountPct]],Orders[#Headers],0),FALSE)</f>
        <v>0.09</v>
      </c>
      <c r="K706" t="str" cm="1">
        <f t="array" ref="K706">VLOOKUP(OrderLines[[#This Row],[OrderID]:[OrderID]],Orders[],MATCH(OrderLines[[#Headers],[PaymentType]],Orders[#Headers],0),FALSE)</f>
        <v>UPI</v>
      </c>
      <c r="L706" t="str" cm="1">
        <f t="array" ref="L706">VLOOKUP(OrderLines[[#This Row],[OrderID]:[OrderID]],Orders[],MATCH(OrderLines[[#Headers],[Shift]],Orders[#Headers],0),FALSE)</f>
        <v>Breakfast</v>
      </c>
      <c r="M706" s="8">
        <f>(OrderLines[[#This Row],[Qty]]*OrderLines[[#This Row],[UnitPrice]])*(1-OrderLines[[#This Row],[DiscountPct]])</f>
        <v>60.605999999999995</v>
      </c>
      <c r="N706" t="str">
        <f>IF(AND(COUNTIFS(OrderLines[OrderID],OrderLines[[#This Row],[OrderID]],OrderLines[Category],"Hot Meal"),COUNTIFS(OrderLines[OrderID],OrderLines[[#This Row],[OrderID]],OrderLines[Category],"Beverage")),"Combo","Single")</f>
        <v>Combo</v>
      </c>
      <c r="O706" s="8" t="str" cm="1">
        <f t="array" ref="O706">IF(SUMPRODUCT(OrderLines[UnitPrice],OrderLines[Qty],OrderLines[DiscountPct],--(OrderLines[OrderID] = OrderLines[[#This Row],[OrderID]]))&gt;40,"High Discount","Ok")</f>
        <v>Ok</v>
      </c>
      <c r="P706">
        <f>OrderLines[[#This Row],[UnitCost]]*OrderLines[[#This Row],[Qty]]</f>
        <v>28.14</v>
      </c>
      <c r="Q706" s="8">
        <f>OrderLines[[#This Row],[LineNetAmount]]-OrderLines[[#This Row],[Food Cost]]</f>
        <v>32.465999999999994</v>
      </c>
    </row>
    <row r="707" spans="1:17" x14ac:dyDescent="0.3">
      <c r="A707" t="s">
        <v>309</v>
      </c>
      <c r="B707" t="s">
        <v>406</v>
      </c>
      <c r="C707">
        <v>1</v>
      </c>
      <c r="D707" cm="1">
        <f t="array" ref="D707">VLOOKUP(OrderLines[[#This Row],[SKU]:[SKU]],Menu[],MATCH(OrderLines[[#Headers],[UnitPrice]],Menu[#Headers],0),FALSE)</f>
        <v>38.06</v>
      </c>
      <c r="E707" cm="1">
        <f t="array" ref="E707">VLOOKUP(OrderLines[[#This Row],[SKU]:[SKU]],Menu[],MATCH(OrderLines[[#Headers],[UnitCost]],Menu[#Headers],0),FALSE)</f>
        <v>19.55</v>
      </c>
      <c r="F707" t="str" cm="1">
        <f t="array" ref="F707">VLOOKUP(OrderLines[[#This Row],[SKU]:[SKU]],Menu[],MATCH(OrderLines[[#Headers],[Category]],Menu[#Headers],0),FALSE)</f>
        <v>Snack</v>
      </c>
      <c r="G707" t="str" cm="1">
        <f t="array" ref="G707">_xlfn.TEXTJOIN("+",TRUE,_xlfn._xlws.SORT(_xlfn.UNIQUE(_xlfn._xlws.FILTER(OrderLines[Category],OrderLines[OrderID]=OrderLines[[#This Row],[OrderID]]))))</f>
        <v>Beverage+Hot Meal+Snack</v>
      </c>
      <c r="H707" s="2" cm="1">
        <f t="array" ref="H707">INT(VLOOKUP(OrderLines[[#This Row],[OrderID]:[OrderID]],Orders[],MATCH(OrderLines[[#Headers],[OrderDateTime]],Orders[#Headers],0),FALSE))</f>
        <v>45856</v>
      </c>
      <c r="I707" t="str" cm="1">
        <f t="array" ref="I707">VLOOKUP(OrderLines[[#This Row],[OrderID]:[OrderID]],Orders[],MATCH(OrderLines[[#Headers],[Branch]],Orders[#Headers],0),FALSE)</f>
        <v>Plant 1 Canteen</v>
      </c>
      <c r="J707" cm="1">
        <f t="array" ref="J707">VLOOKUP(OrderLines[[#This Row],[OrderID]:[OrderID]],Orders[],MATCH(OrderLines[[#Headers],[DiscountPct]],Orders[#Headers],0),FALSE)</f>
        <v>0.09</v>
      </c>
      <c r="K707" t="str" cm="1">
        <f t="array" ref="K707">VLOOKUP(OrderLines[[#This Row],[OrderID]:[OrderID]],Orders[],MATCH(OrderLines[[#Headers],[PaymentType]],Orders[#Headers],0),FALSE)</f>
        <v>UPI</v>
      </c>
      <c r="L707" t="str" cm="1">
        <f t="array" ref="L707">VLOOKUP(OrderLines[[#This Row],[OrderID]:[OrderID]],Orders[],MATCH(OrderLines[[#Headers],[Shift]],Orders[#Headers],0),FALSE)</f>
        <v>Breakfast</v>
      </c>
      <c r="M707" s="8">
        <f>(OrderLines[[#This Row],[Qty]]*OrderLines[[#This Row],[UnitPrice]])*(1-OrderLines[[#This Row],[DiscountPct]])</f>
        <v>34.634600000000006</v>
      </c>
      <c r="N707" t="str">
        <f>IF(AND(COUNTIFS(OrderLines[OrderID],OrderLines[[#This Row],[OrderID]],OrderLines[Category],"Hot Meal"),COUNTIFS(OrderLines[OrderID],OrderLines[[#This Row],[OrderID]],OrderLines[Category],"Beverage")),"Combo","Single")</f>
        <v>Combo</v>
      </c>
      <c r="O707" s="8" t="str" cm="1">
        <f t="array" ref="O707">IF(SUMPRODUCT(OrderLines[UnitPrice],OrderLines[Qty],OrderLines[DiscountPct],--(OrderLines[OrderID] = OrderLines[[#This Row],[OrderID]]))&gt;40,"High Discount","Ok")</f>
        <v>Ok</v>
      </c>
      <c r="P707">
        <f>OrderLines[[#This Row],[UnitCost]]*OrderLines[[#This Row],[Qty]]</f>
        <v>19.55</v>
      </c>
      <c r="Q707" s="8">
        <f>OrderLines[[#This Row],[LineNetAmount]]-OrderLines[[#This Row],[Food Cost]]</f>
        <v>15.084600000000005</v>
      </c>
    </row>
    <row r="708" spans="1:17" x14ac:dyDescent="0.3">
      <c r="A708" t="s">
        <v>310</v>
      </c>
      <c r="B708" t="s">
        <v>414</v>
      </c>
      <c r="C708">
        <v>3</v>
      </c>
      <c r="D708" cm="1">
        <f t="array" ref="D708">VLOOKUP(OrderLines[[#This Row],[SKU]:[SKU]],Menu[],MATCH(OrderLines[[#Headers],[UnitPrice]],Menu[#Headers],0),FALSE)</f>
        <v>116.8</v>
      </c>
      <c r="E708" cm="1">
        <f t="array" ref="E708">VLOOKUP(OrderLines[[#This Row],[SKU]:[SKU]],Menu[],MATCH(OrderLines[[#Headers],[UnitCost]],Menu[#Headers],0),FALSE)</f>
        <v>48.97</v>
      </c>
      <c r="F708" t="str" cm="1">
        <f t="array" ref="F708">VLOOKUP(OrderLines[[#This Row],[SKU]:[SKU]],Menu[],MATCH(OrderLines[[#Headers],[Category]],Menu[#Headers],0),FALSE)</f>
        <v>Dessert</v>
      </c>
      <c r="G708" t="str" cm="1">
        <f t="array" ref="G708">_xlfn.TEXTJOIN("+",TRUE,_xlfn._xlws.SORT(_xlfn.UNIQUE(_xlfn._xlws.FILTER(OrderLines[Category],OrderLines[OrderID]=OrderLines[[#This Row],[OrderID]]))))</f>
        <v>Dessert</v>
      </c>
      <c r="H708" s="2" cm="1">
        <f t="array" ref="H708">INT(VLOOKUP(OrderLines[[#This Row],[OrderID]:[OrderID]],Orders[],MATCH(OrderLines[[#Headers],[OrderDateTime]],Orders[#Headers],0),FALSE))</f>
        <v>45887</v>
      </c>
      <c r="I708" t="str" cm="1">
        <f t="array" ref="I708">VLOOKUP(OrderLines[[#This Row],[OrderID]:[OrderID]],Orders[],MATCH(OrderLines[[#Headers],[Branch]],Orders[#Headers],0),FALSE)</f>
        <v>Head Office Café</v>
      </c>
      <c r="J708" cm="1">
        <f t="array" ref="J708">VLOOKUP(OrderLines[[#This Row],[OrderID]:[OrderID]],Orders[],MATCH(OrderLines[[#Headers],[DiscountPct]],Orders[#Headers],0),FALSE)</f>
        <v>0.11</v>
      </c>
      <c r="K708" t="str" cm="1">
        <f t="array" ref="K708">VLOOKUP(OrderLines[[#This Row],[OrderID]:[OrderID]],Orders[],MATCH(OrderLines[[#Headers],[PaymentType]],Orders[#Headers],0),FALSE)</f>
        <v>Card</v>
      </c>
      <c r="L708" t="str" cm="1">
        <f t="array" ref="L708">VLOOKUP(OrderLines[[#This Row],[OrderID]:[OrderID]],Orders[],MATCH(OrderLines[[#Headers],[Shift]],Orders[#Headers],0),FALSE)</f>
        <v>Dinner</v>
      </c>
      <c r="M708" s="8">
        <f>(OrderLines[[#This Row],[Qty]]*OrderLines[[#This Row],[UnitPrice]])*(1-OrderLines[[#This Row],[DiscountPct]])</f>
        <v>311.85599999999999</v>
      </c>
      <c r="N708" t="str">
        <f>IF(AND(COUNTIFS(OrderLines[OrderID],OrderLines[[#This Row],[OrderID]],OrderLines[Category],"Hot Meal"),COUNTIFS(OrderLines[OrderID],OrderLines[[#This Row],[OrderID]],OrderLines[Category],"Beverage")),"Combo","Single")</f>
        <v>Single</v>
      </c>
      <c r="O708" s="8" t="str" cm="1">
        <f t="array" ref="O708">IF(SUMPRODUCT(OrderLines[UnitPrice],OrderLines[Qty],OrderLines[DiscountPct],--(OrderLines[OrderID] = OrderLines[[#This Row],[OrderID]]))&gt;40,"High Discount","Ok")</f>
        <v>Ok</v>
      </c>
      <c r="P708">
        <f>OrderLines[[#This Row],[UnitCost]]*OrderLines[[#This Row],[Qty]]</f>
        <v>146.91</v>
      </c>
      <c r="Q708" s="8">
        <f>OrderLines[[#This Row],[LineNetAmount]]-OrderLines[[#This Row],[Food Cost]]</f>
        <v>164.946</v>
      </c>
    </row>
    <row r="709" spans="1:17" x14ac:dyDescent="0.3">
      <c r="A709" t="s">
        <v>311</v>
      </c>
      <c r="B709" t="s">
        <v>406</v>
      </c>
      <c r="C709">
        <v>1</v>
      </c>
      <c r="D709" cm="1">
        <f t="array" ref="D709">VLOOKUP(OrderLines[[#This Row],[SKU]:[SKU]],Menu[],MATCH(OrderLines[[#Headers],[UnitPrice]],Menu[#Headers],0),FALSE)</f>
        <v>38.06</v>
      </c>
      <c r="E709" cm="1">
        <f t="array" ref="E709">VLOOKUP(OrderLines[[#This Row],[SKU]:[SKU]],Menu[],MATCH(OrderLines[[#Headers],[UnitCost]],Menu[#Headers],0),FALSE)</f>
        <v>19.55</v>
      </c>
      <c r="F709" t="str" cm="1">
        <f t="array" ref="F709">VLOOKUP(OrderLines[[#This Row],[SKU]:[SKU]],Menu[],MATCH(OrderLines[[#Headers],[Category]],Menu[#Headers],0),FALSE)</f>
        <v>Snack</v>
      </c>
      <c r="G709" t="str" cm="1">
        <f t="array" ref="G709">_xlfn.TEXTJOIN("+",TRUE,_xlfn._xlws.SORT(_xlfn.UNIQUE(_xlfn._xlws.FILTER(OrderLines[Category],OrderLines[OrderID]=OrderLines[[#This Row],[OrderID]]))))</f>
        <v>Beverage+Hot Meal+Snack</v>
      </c>
      <c r="H709" s="2" cm="1">
        <f t="array" ref="H709">INT(VLOOKUP(OrderLines[[#This Row],[OrderID]:[OrderID]],Orders[],MATCH(OrderLines[[#Headers],[OrderDateTime]],Orders[#Headers],0),FALSE))</f>
        <v>45877</v>
      </c>
      <c r="I709" t="str" cm="1">
        <f t="array" ref="I709">VLOOKUP(OrderLines[[#This Row],[OrderID]:[OrderID]],Orders[],MATCH(OrderLines[[#Headers],[Branch]],Orders[#Headers],0),FALSE)</f>
        <v>Head Office Café</v>
      </c>
      <c r="J709" cm="1">
        <f t="array" ref="J709">VLOOKUP(OrderLines[[#This Row],[OrderID]:[OrderID]],Orders[],MATCH(OrderLines[[#Headers],[DiscountPct]],Orders[#Headers],0),FALSE)</f>
        <v>0.06</v>
      </c>
      <c r="K709" t="str" cm="1">
        <f t="array" ref="K709">VLOOKUP(OrderLines[[#This Row],[OrderID]:[OrderID]],Orders[],MATCH(OrderLines[[#Headers],[PaymentType]],Orders[#Headers],0),FALSE)</f>
        <v>Card</v>
      </c>
      <c r="L709" t="str" cm="1">
        <f t="array" ref="L709">VLOOKUP(OrderLines[[#This Row],[OrderID]:[OrderID]],Orders[],MATCH(OrderLines[[#Headers],[Shift]],Orders[#Headers],0),FALSE)</f>
        <v>Dinner</v>
      </c>
      <c r="M709" s="8">
        <f>(OrderLines[[#This Row],[Qty]]*OrderLines[[#This Row],[UnitPrice]])*(1-OrderLines[[#This Row],[DiscountPct]])</f>
        <v>35.776400000000002</v>
      </c>
      <c r="N709" t="str">
        <f>IF(AND(COUNTIFS(OrderLines[OrderID],OrderLines[[#This Row],[OrderID]],OrderLines[Category],"Hot Meal"),COUNTIFS(OrderLines[OrderID],OrderLines[[#This Row],[OrderID]],OrderLines[Category],"Beverage")),"Combo","Single")</f>
        <v>Combo</v>
      </c>
      <c r="O709" s="8" t="str" cm="1">
        <f t="array" ref="O709">IF(SUMPRODUCT(OrderLines[UnitPrice],OrderLines[Qty],OrderLines[DiscountPct],--(OrderLines[OrderID] = OrderLines[[#This Row],[OrderID]]))&gt;40,"High Discount","Ok")</f>
        <v>High Discount</v>
      </c>
      <c r="P709">
        <f>OrderLines[[#This Row],[UnitCost]]*OrderLines[[#This Row],[Qty]]</f>
        <v>19.55</v>
      </c>
      <c r="Q709" s="8">
        <f>OrderLines[[#This Row],[LineNetAmount]]-OrderLines[[#This Row],[Food Cost]]</f>
        <v>16.226400000000002</v>
      </c>
    </row>
    <row r="710" spans="1:17" x14ac:dyDescent="0.3">
      <c r="A710" t="s">
        <v>311</v>
      </c>
      <c r="B710" t="s">
        <v>411</v>
      </c>
      <c r="C710">
        <v>1</v>
      </c>
      <c r="D710" cm="1">
        <f t="array" ref="D710">VLOOKUP(OrderLines[[#This Row],[SKU]:[SKU]],Menu[],MATCH(OrderLines[[#Headers],[UnitPrice]],Menu[#Headers],0),FALSE)</f>
        <v>22.2</v>
      </c>
      <c r="E710" cm="1">
        <f t="array" ref="E710">VLOOKUP(OrderLines[[#This Row],[SKU]:[SKU]],Menu[],MATCH(OrderLines[[#Headers],[UnitCost]],Menu[#Headers],0),FALSE)</f>
        <v>9.3800000000000008</v>
      </c>
      <c r="F710" t="str" cm="1">
        <f t="array" ref="F710">VLOOKUP(OrderLines[[#This Row],[SKU]:[SKU]],Menu[],MATCH(OrderLines[[#Headers],[Category]],Menu[#Headers],0),FALSE)</f>
        <v>Beverage</v>
      </c>
      <c r="G710" t="str" cm="1">
        <f t="array" ref="G710">_xlfn.TEXTJOIN("+",TRUE,_xlfn._xlws.SORT(_xlfn.UNIQUE(_xlfn._xlws.FILTER(OrderLines[Category],OrderLines[OrderID]=OrderLines[[#This Row],[OrderID]]))))</f>
        <v>Beverage+Hot Meal+Snack</v>
      </c>
      <c r="H710" s="2" cm="1">
        <f t="array" ref="H710">INT(VLOOKUP(OrderLines[[#This Row],[OrderID]:[OrderID]],Orders[],MATCH(OrderLines[[#Headers],[OrderDateTime]],Orders[#Headers],0),FALSE))</f>
        <v>45877</v>
      </c>
      <c r="I710" t="str" cm="1">
        <f t="array" ref="I710">VLOOKUP(OrderLines[[#This Row],[OrderID]:[OrderID]],Orders[],MATCH(OrderLines[[#Headers],[Branch]],Orders[#Headers],0),FALSE)</f>
        <v>Head Office Café</v>
      </c>
      <c r="J710" cm="1">
        <f t="array" ref="J710">VLOOKUP(OrderLines[[#This Row],[OrderID]:[OrderID]],Orders[],MATCH(OrderLines[[#Headers],[DiscountPct]],Orders[#Headers],0),FALSE)</f>
        <v>0.06</v>
      </c>
      <c r="K710" t="str" cm="1">
        <f t="array" ref="K710">VLOOKUP(OrderLines[[#This Row],[OrderID]:[OrderID]],Orders[],MATCH(OrderLines[[#Headers],[PaymentType]],Orders[#Headers],0),FALSE)</f>
        <v>Card</v>
      </c>
      <c r="L710" t="str" cm="1">
        <f t="array" ref="L710">VLOOKUP(OrderLines[[#This Row],[OrderID]:[OrderID]],Orders[],MATCH(OrderLines[[#Headers],[Shift]],Orders[#Headers],0),FALSE)</f>
        <v>Dinner</v>
      </c>
      <c r="M710" s="8">
        <f>(OrderLines[[#This Row],[Qty]]*OrderLines[[#This Row],[UnitPrice]])*(1-OrderLines[[#This Row],[DiscountPct]])</f>
        <v>20.867999999999999</v>
      </c>
      <c r="N710" t="str">
        <f>IF(AND(COUNTIFS(OrderLines[OrderID],OrderLines[[#This Row],[OrderID]],OrderLines[Category],"Hot Meal"),COUNTIFS(OrderLines[OrderID],OrderLines[[#This Row],[OrderID]],OrderLines[Category],"Beverage")),"Combo","Single")</f>
        <v>Combo</v>
      </c>
      <c r="O710" s="8" t="str" cm="1">
        <f t="array" ref="O710">IF(SUMPRODUCT(OrderLines[UnitPrice],OrderLines[Qty],OrderLines[DiscountPct],--(OrderLines[OrderID] = OrderLines[[#This Row],[OrderID]]))&gt;40,"High Discount","Ok")</f>
        <v>High Discount</v>
      </c>
      <c r="P710">
        <f>OrderLines[[#This Row],[UnitCost]]*OrderLines[[#This Row],[Qty]]</f>
        <v>9.3800000000000008</v>
      </c>
      <c r="Q710" s="8">
        <f>OrderLines[[#This Row],[LineNetAmount]]-OrderLines[[#This Row],[Food Cost]]</f>
        <v>11.487999999999998</v>
      </c>
    </row>
    <row r="711" spans="1:17" x14ac:dyDescent="0.3">
      <c r="A711" t="s">
        <v>311</v>
      </c>
      <c r="B711" t="s">
        <v>419</v>
      </c>
      <c r="C711">
        <v>2</v>
      </c>
      <c r="D711" cm="1">
        <f t="array" ref="D711">VLOOKUP(OrderLines[[#This Row],[SKU]:[SKU]],Menu[],MATCH(OrderLines[[#Headers],[UnitPrice]],Menu[#Headers],0),FALSE)</f>
        <v>50.19</v>
      </c>
      <c r="E711" cm="1">
        <f t="array" ref="E711">VLOOKUP(OrderLines[[#This Row],[SKU]:[SKU]],Menu[],MATCH(OrderLines[[#Headers],[UnitCost]],Menu[#Headers],0),FALSE)</f>
        <v>22.61</v>
      </c>
      <c r="F711" t="str" cm="1">
        <f t="array" ref="F711">VLOOKUP(OrderLines[[#This Row],[SKU]:[SKU]],Menu[],MATCH(OrderLines[[#Headers],[Category]],Menu[#Headers],0),FALSE)</f>
        <v>Snack</v>
      </c>
      <c r="G711" t="str" cm="1">
        <f t="array" ref="G711">_xlfn.TEXTJOIN("+",TRUE,_xlfn._xlws.SORT(_xlfn.UNIQUE(_xlfn._xlws.FILTER(OrderLines[Category],OrderLines[OrderID]=OrderLines[[#This Row],[OrderID]]))))</f>
        <v>Beverage+Hot Meal+Snack</v>
      </c>
      <c r="H711" s="2" cm="1">
        <f t="array" ref="H711">INT(VLOOKUP(OrderLines[[#This Row],[OrderID]:[OrderID]],Orders[],MATCH(OrderLines[[#Headers],[OrderDateTime]],Orders[#Headers],0),FALSE))</f>
        <v>45877</v>
      </c>
      <c r="I711" t="str" cm="1">
        <f t="array" ref="I711">VLOOKUP(OrderLines[[#This Row],[OrderID]:[OrderID]],Orders[],MATCH(OrderLines[[#Headers],[Branch]],Orders[#Headers],0),FALSE)</f>
        <v>Head Office Café</v>
      </c>
      <c r="J711" cm="1">
        <f t="array" ref="J711">VLOOKUP(OrderLines[[#This Row],[OrderID]:[OrderID]],Orders[],MATCH(OrderLines[[#Headers],[DiscountPct]],Orders[#Headers],0),FALSE)</f>
        <v>0.06</v>
      </c>
      <c r="K711" t="str" cm="1">
        <f t="array" ref="K711">VLOOKUP(OrderLines[[#This Row],[OrderID]:[OrderID]],Orders[],MATCH(OrderLines[[#Headers],[PaymentType]],Orders[#Headers],0),FALSE)</f>
        <v>Card</v>
      </c>
      <c r="L711" t="str" cm="1">
        <f t="array" ref="L711">VLOOKUP(OrderLines[[#This Row],[OrderID]:[OrderID]],Orders[],MATCH(OrderLines[[#Headers],[Shift]],Orders[#Headers],0),FALSE)</f>
        <v>Dinner</v>
      </c>
      <c r="M711" s="8">
        <f>(OrderLines[[#This Row],[Qty]]*OrderLines[[#This Row],[UnitPrice]])*(1-OrderLines[[#This Row],[DiscountPct]])</f>
        <v>94.357199999999992</v>
      </c>
      <c r="N711" t="str">
        <f>IF(AND(COUNTIFS(OrderLines[OrderID],OrderLines[[#This Row],[OrderID]],OrderLines[Category],"Hot Meal"),COUNTIFS(OrderLines[OrderID],OrderLines[[#This Row],[OrderID]],OrderLines[Category],"Beverage")),"Combo","Single")</f>
        <v>Combo</v>
      </c>
      <c r="O711" s="8" t="str" cm="1">
        <f t="array" ref="O711">IF(SUMPRODUCT(OrderLines[UnitPrice],OrderLines[Qty],OrderLines[DiscountPct],--(OrderLines[OrderID] = OrderLines[[#This Row],[OrderID]]))&gt;40,"High Discount","Ok")</f>
        <v>High Discount</v>
      </c>
      <c r="P711">
        <f>OrderLines[[#This Row],[UnitCost]]*OrderLines[[#This Row],[Qty]]</f>
        <v>45.22</v>
      </c>
      <c r="Q711" s="8">
        <f>OrderLines[[#This Row],[LineNetAmount]]-OrderLines[[#This Row],[Food Cost]]</f>
        <v>49.137199999999993</v>
      </c>
    </row>
    <row r="712" spans="1:17" x14ac:dyDescent="0.3">
      <c r="A712" t="s">
        <v>311</v>
      </c>
      <c r="B712" t="s">
        <v>415</v>
      </c>
      <c r="C712">
        <v>2</v>
      </c>
      <c r="D712" cm="1">
        <f t="array" ref="D712">VLOOKUP(OrderLines[[#This Row],[SKU]:[SKU]],Menu[],MATCH(OrderLines[[#Headers],[UnitPrice]],Menu[#Headers],0),FALSE)</f>
        <v>256.91000000000003</v>
      </c>
      <c r="E712" cm="1">
        <f t="array" ref="E712">VLOOKUP(OrderLines[[#This Row],[SKU]:[SKU]],Menu[],MATCH(OrderLines[[#Headers],[UnitCost]],Menu[#Headers],0),FALSE)</f>
        <v>121.24</v>
      </c>
      <c r="F712" t="str" cm="1">
        <f t="array" ref="F712">VLOOKUP(OrderLines[[#This Row],[SKU]:[SKU]],Menu[],MATCH(OrderLines[[#Headers],[Category]],Menu[#Headers],0),FALSE)</f>
        <v>Hot Meal</v>
      </c>
      <c r="G712" t="str" cm="1">
        <f t="array" ref="G712">_xlfn.TEXTJOIN("+",TRUE,_xlfn._xlws.SORT(_xlfn.UNIQUE(_xlfn._xlws.FILTER(OrderLines[Category],OrderLines[OrderID]=OrderLines[[#This Row],[OrderID]]))))</f>
        <v>Beverage+Hot Meal+Snack</v>
      </c>
      <c r="H712" s="2" cm="1">
        <f t="array" ref="H712">INT(VLOOKUP(OrderLines[[#This Row],[OrderID]:[OrderID]],Orders[],MATCH(OrderLines[[#Headers],[OrderDateTime]],Orders[#Headers],0),FALSE))</f>
        <v>45877</v>
      </c>
      <c r="I712" t="str" cm="1">
        <f t="array" ref="I712">VLOOKUP(OrderLines[[#This Row],[OrderID]:[OrderID]],Orders[],MATCH(OrderLines[[#Headers],[Branch]],Orders[#Headers],0),FALSE)</f>
        <v>Head Office Café</v>
      </c>
      <c r="J712" cm="1">
        <f t="array" ref="J712">VLOOKUP(OrderLines[[#This Row],[OrderID]:[OrderID]],Orders[],MATCH(OrderLines[[#Headers],[DiscountPct]],Orders[#Headers],0),FALSE)</f>
        <v>0.06</v>
      </c>
      <c r="K712" t="str" cm="1">
        <f t="array" ref="K712">VLOOKUP(OrderLines[[#This Row],[OrderID]:[OrderID]],Orders[],MATCH(OrderLines[[#Headers],[PaymentType]],Orders[#Headers],0),FALSE)</f>
        <v>Card</v>
      </c>
      <c r="L712" t="str" cm="1">
        <f t="array" ref="L712">VLOOKUP(OrderLines[[#This Row],[OrderID]:[OrderID]],Orders[],MATCH(OrderLines[[#Headers],[Shift]],Orders[#Headers],0),FALSE)</f>
        <v>Dinner</v>
      </c>
      <c r="M712" s="8">
        <f>(OrderLines[[#This Row],[Qty]]*OrderLines[[#This Row],[UnitPrice]])*(1-OrderLines[[#This Row],[DiscountPct]])</f>
        <v>482.99080000000004</v>
      </c>
      <c r="N712" t="str">
        <f>IF(AND(COUNTIFS(OrderLines[OrderID],OrderLines[[#This Row],[OrderID]],OrderLines[Category],"Hot Meal"),COUNTIFS(OrderLines[OrderID],OrderLines[[#This Row],[OrderID]],OrderLines[Category],"Beverage")),"Combo","Single")</f>
        <v>Combo</v>
      </c>
      <c r="O712" s="8" t="str" cm="1">
        <f t="array" ref="O712">IF(SUMPRODUCT(OrderLines[UnitPrice],OrderLines[Qty],OrderLines[DiscountPct],--(OrderLines[OrderID] = OrderLines[[#This Row],[OrderID]]))&gt;40,"High Discount","Ok")</f>
        <v>High Discount</v>
      </c>
      <c r="P712">
        <f>OrderLines[[#This Row],[UnitCost]]*OrderLines[[#This Row],[Qty]]</f>
        <v>242.48</v>
      </c>
      <c r="Q712" s="8">
        <f>OrderLines[[#This Row],[LineNetAmount]]-OrderLines[[#This Row],[Food Cost]]</f>
        <v>240.51080000000005</v>
      </c>
    </row>
    <row r="713" spans="1:17" x14ac:dyDescent="0.3">
      <c r="A713" t="s">
        <v>312</v>
      </c>
      <c r="B713" t="s">
        <v>402</v>
      </c>
      <c r="C713">
        <v>2</v>
      </c>
      <c r="D713" cm="1">
        <f t="array" ref="D713">VLOOKUP(OrderLines[[#This Row],[SKU]:[SKU]],Menu[],MATCH(OrderLines[[#Headers],[UnitPrice]],Menu[#Headers],0),FALSE)</f>
        <v>30.34</v>
      </c>
      <c r="E713" cm="1">
        <f t="array" ref="E713">VLOOKUP(OrderLines[[#This Row],[SKU]:[SKU]],Menu[],MATCH(OrderLines[[#Headers],[UnitCost]],Menu[#Headers],0),FALSE)</f>
        <v>14.18</v>
      </c>
      <c r="F713" t="str" cm="1">
        <f t="array" ref="F713">VLOOKUP(OrderLines[[#This Row],[SKU]:[SKU]],Menu[],MATCH(OrderLines[[#Headers],[Category]],Menu[#Headers],0),FALSE)</f>
        <v>Beverage</v>
      </c>
      <c r="G713" t="str" cm="1">
        <f t="array" ref="G713">_xlfn.TEXTJOIN("+",TRUE,_xlfn._xlws.SORT(_xlfn.UNIQUE(_xlfn._xlws.FILTER(OrderLines[Category],OrderLines[OrderID]=OrderLines[[#This Row],[OrderID]]))))</f>
        <v>Beverage+Dessert+Hot Meal+Snack</v>
      </c>
      <c r="H713" s="2" cm="1">
        <f t="array" ref="H713">INT(VLOOKUP(OrderLines[[#This Row],[OrderID]:[OrderID]],Orders[],MATCH(OrderLines[[#Headers],[OrderDateTime]],Orders[#Headers],0),FALSE))</f>
        <v>45883</v>
      </c>
      <c r="I713" t="str" cm="1">
        <f t="array" ref="I713">VLOOKUP(OrderLines[[#This Row],[OrderID]:[OrderID]],Orders[],MATCH(OrderLines[[#Headers],[Branch]],Orders[#Headers],0),FALSE)</f>
        <v>Plant 1 Canteen</v>
      </c>
      <c r="J713" cm="1">
        <f t="array" ref="J713">VLOOKUP(OrderLines[[#This Row],[OrderID]:[OrderID]],Orders[],MATCH(OrderLines[[#Headers],[DiscountPct]],Orders[#Headers],0),FALSE)</f>
        <v>0.09</v>
      </c>
      <c r="K713" t="str" cm="1">
        <f t="array" ref="K713">VLOOKUP(OrderLines[[#This Row],[OrderID]:[OrderID]],Orders[],MATCH(OrderLines[[#Headers],[PaymentType]],Orders[#Headers],0),FALSE)</f>
        <v>UPI</v>
      </c>
      <c r="L713" t="str" cm="1">
        <f t="array" ref="L713">VLOOKUP(OrderLines[[#This Row],[OrderID]:[OrderID]],Orders[],MATCH(OrderLines[[#Headers],[Shift]],Orders[#Headers],0),FALSE)</f>
        <v>Dinner</v>
      </c>
      <c r="M713" s="8">
        <f>(OrderLines[[#This Row],[Qty]]*OrderLines[[#This Row],[UnitPrice]])*(1-OrderLines[[#This Row],[DiscountPct]])</f>
        <v>55.218800000000002</v>
      </c>
      <c r="N713" t="str">
        <f>IF(AND(COUNTIFS(OrderLines[OrderID],OrderLines[[#This Row],[OrderID]],OrderLines[Category],"Hot Meal"),COUNTIFS(OrderLines[OrderID],OrderLines[[#This Row],[OrderID]],OrderLines[Category],"Beverage")),"Combo","Single")</f>
        <v>Combo</v>
      </c>
      <c r="O713" s="8" t="str" cm="1">
        <f t="array" ref="O713">IF(SUMPRODUCT(OrderLines[UnitPrice],OrderLines[Qty],OrderLines[DiscountPct],--(OrderLines[OrderID] = OrderLines[[#This Row],[OrderID]]))&gt;40,"High Discount","Ok")</f>
        <v>High Discount</v>
      </c>
      <c r="P713">
        <f>OrderLines[[#This Row],[UnitCost]]*OrderLines[[#This Row],[Qty]]</f>
        <v>28.36</v>
      </c>
      <c r="Q713" s="8">
        <f>OrderLines[[#This Row],[LineNetAmount]]-OrderLines[[#This Row],[Food Cost]]</f>
        <v>26.858800000000002</v>
      </c>
    </row>
    <row r="714" spans="1:17" x14ac:dyDescent="0.3">
      <c r="A714" t="s">
        <v>312</v>
      </c>
      <c r="B714" t="s">
        <v>405</v>
      </c>
      <c r="C714">
        <v>2</v>
      </c>
      <c r="D714" cm="1">
        <f t="array" ref="D714">VLOOKUP(OrderLines[[#This Row],[SKU]:[SKU]],Menu[],MATCH(OrderLines[[#Headers],[UnitPrice]],Menu[#Headers],0),FALSE)</f>
        <v>170.83</v>
      </c>
      <c r="E714" cm="1">
        <f t="array" ref="E714">VLOOKUP(OrderLines[[#This Row],[SKU]:[SKU]],Menu[],MATCH(OrderLines[[#Headers],[UnitCost]],Menu[#Headers],0),FALSE)</f>
        <v>74.069999999999993</v>
      </c>
      <c r="F714" t="str" cm="1">
        <f t="array" ref="F714">VLOOKUP(OrderLines[[#This Row],[SKU]:[SKU]],Menu[],MATCH(OrderLines[[#Headers],[Category]],Menu[#Headers],0),FALSE)</f>
        <v>Hot Meal</v>
      </c>
      <c r="G714" t="str" cm="1">
        <f t="array" ref="G714">_xlfn.TEXTJOIN("+",TRUE,_xlfn._xlws.SORT(_xlfn.UNIQUE(_xlfn._xlws.FILTER(OrderLines[Category],OrderLines[OrderID]=OrderLines[[#This Row],[OrderID]]))))</f>
        <v>Beverage+Dessert+Hot Meal+Snack</v>
      </c>
      <c r="H714" s="2" cm="1">
        <f t="array" ref="H714">INT(VLOOKUP(OrderLines[[#This Row],[OrderID]:[OrderID]],Orders[],MATCH(OrderLines[[#Headers],[OrderDateTime]],Orders[#Headers],0),FALSE))</f>
        <v>45883</v>
      </c>
      <c r="I714" t="str" cm="1">
        <f t="array" ref="I714">VLOOKUP(OrderLines[[#This Row],[OrderID]:[OrderID]],Orders[],MATCH(OrderLines[[#Headers],[Branch]],Orders[#Headers],0),FALSE)</f>
        <v>Plant 1 Canteen</v>
      </c>
      <c r="J714" cm="1">
        <f t="array" ref="J714">VLOOKUP(OrderLines[[#This Row],[OrderID]:[OrderID]],Orders[],MATCH(OrderLines[[#Headers],[DiscountPct]],Orders[#Headers],0),FALSE)</f>
        <v>0.09</v>
      </c>
      <c r="K714" t="str" cm="1">
        <f t="array" ref="K714">VLOOKUP(OrderLines[[#This Row],[OrderID]:[OrderID]],Orders[],MATCH(OrderLines[[#Headers],[PaymentType]],Orders[#Headers],0),FALSE)</f>
        <v>UPI</v>
      </c>
      <c r="L714" t="str" cm="1">
        <f t="array" ref="L714">VLOOKUP(OrderLines[[#This Row],[OrderID]:[OrderID]],Orders[],MATCH(OrderLines[[#Headers],[Shift]],Orders[#Headers],0),FALSE)</f>
        <v>Dinner</v>
      </c>
      <c r="M714" s="8">
        <f>(OrderLines[[#This Row],[Qty]]*OrderLines[[#This Row],[UnitPrice]])*(1-OrderLines[[#This Row],[DiscountPct]])</f>
        <v>310.91060000000004</v>
      </c>
      <c r="N714" t="str">
        <f>IF(AND(COUNTIFS(OrderLines[OrderID],OrderLines[[#This Row],[OrderID]],OrderLines[Category],"Hot Meal"),COUNTIFS(OrderLines[OrderID],OrderLines[[#This Row],[OrderID]],OrderLines[Category],"Beverage")),"Combo","Single")</f>
        <v>Combo</v>
      </c>
      <c r="O714" s="8" t="str" cm="1">
        <f t="array" ref="O714">IF(SUMPRODUCT(OrderLines[UnitPrice],OrderLines[Qty],OrderLines[DiscountPct],--(OrderLines[OrderID] = OrderLines[[#This Row],[OrderID]]))&gt;40,"High Discount","Ok")</f>
        <v>High Discount</v>
      </c>
      <c r="P714">
        <f>OrderLines[[#This Row],[UnitCost]]*OrderLines[[#This Row],[Qty]]</f>
        <v>148.13999999999999</v>
      </c>
      <c r="Q714" s="8">
        <f>OrderLines[[#This Row],[LineNetAmount]]-OrderLines[[#This Row],[Food Cost]]</f>
        <v>162.77060000000006</v>
      </c>
    </row>
    <row r="715" spans="1:17" x14ac:dyDescent="0.3">
      <c r="A715" t="s">
        <v>312</v>
      </c>
      <c r="B715" t="s">
        <v>414</v>
      </c>
      <c r="C715">
        <v>3</v>
      </c>
      <c r="D715" cm="1">
        <f t="array" ref="D715">VLOOKUP(OrderLines[[#This Row],[SKU]:[SKU]],Menu[],MATCH(OrderLines[[#Headers],[UnitPrice]],Menu[#Headers],0),FALSE)</f>
        <v>116.8</v>
      </c>
      <c r="E715" cm="1">
        <f t="array" ref="E715">VLOOKUP(OrderLines[[#This Row],[SKU]:[SKU]],Menu[],MATCH(OrderLines[[#Headers],[UnitCost]],Menu[#Headers],0),FALSE)</f>
        <v>48.97</v>
      </c>
      <c r="F715" t="str" cm="1">
        <f t="array" ref="F715">VLOOKUP(OrderLines[[#This Row],[SKU]:[SKU]],Menu[],MATCH(OrderLines[[#Headers],[Category]],Menu[#Headers],0),FALSE)</f>
        <v>Dessert</v>
      </c>
      <c r="G715" t="str" cm="1">
        <f t="array" ref="G715">_xlfn.TEXTJOIN("+",TRUE,_xlfn._xlws.SORT(_xlfn.UNIQUE(_xlfn._xlws.FILTER(OrderLines[Category],OrderLines[OrderID]=OrderLines[[#This Row],[OrderID]]))))</f>
        <v>Beverage+Dessert+Hot Meal+Snack</v>
      </c>
      <c r="H715" s="2" cm="1">
        <f t="array" ref="H715">INT(VLOOKUP(OrderLines[[#This Row],[OrderID]:[OrderID]],Orders[],MATCH(OrderLines[[#Headers],[OrderDateTime]],Orders[#Headers],0),FALSE))</f>
        <v>45883</v>
      </c>
      <c r="I715" t="str" cm="1">
        <f t="array" ref="I715">VLOOKUP(OrderLines[[#This Row],[OrderID]:[OrderID]],Orders[],MATCH(OrderLines[[#Headers],[Branch]],Orders[#Headers],0),FALSE)</f>
        <v>Plant 1 Canteen</v>
      </c>
      <c r="J715" cm="1">
        <f t="array" ref="J715">VLOOKUP(OrderLines[[#This Row],[OrderID]:[OrderID]],Orders[],MATCH(OrderLines[[#Headers],[DiscountPct]],Orders[#Headers],0),FALSE)</f>
        <v>0.09</v>
      </c>
      <c r="K715" t="str" cm="1">
        <f t="array" ref="K715">VLOOKUP(OrderLines[[#This Row],[OrderID]:[OrderID]],Orders[],MATCH(OrderLines[[#Headers],[PaymentType]],Orders[#Headers],0),FALSE)</f>
        <v>UPI</v>
      </c>
      <c r="L715" t="str" cm="1">
        <f t="array" ref="L715">VLOOKUP(OrderLines[[#This Row],[OrderID]:[OrderID]],Orders[],MATCH(OrderLines[[#Headers],[Shift]],Orders[#Headers],0),FALSE)</f>
        <v>Dinner</v>
      </c>
      <c r="M715" s="8">
        <f>(OrderLines[[#This Row],[Qty]]*OrderLines[[#This Row],[UnitPrice]])*(1-OrderLines[[#This Row],[DiscountPct]])</f>
        <v>318.86399999999998</v>
      </c>
      <c r="N715" t="str">
        <f>IF(AND(COUNTIFS(OrderLines[OrderID],OrderLines[[#This Row],[OrderID]],OrderLines[Category],"Hot Meal"),COUNTIFS(OrderLines[OrderID],OrderLines[[#This Row],[OrderID]],OrderLines[Category],"Beverage")),"Combo","Single")</f>
        <v>Combo</v>
      </c>
      <c r="O715" s="8" t="str" cm="1">
        <f t="array" ref="O715">IF(SUMPRODUCT(OrderLines[UnitPrice],OrderLines[Qty],OrderLines[DiscountPct],--(OrderLines[OrderID] = OrderLines[[#This Row],[OrderID]]))&gt;40,"High Discount","Ok")</f>
        <v>High Discount</v>
      </c>
      <c r="P715">
        <f>OrderLines[[#This Row],[UnitCost]]*OrderLines[[#This Row],[Qty]]</f>
        <v>146.91</v>
      </c>
      <c r="Q715" s="8">
        <f>OrderLines[[#This Row],[LineNetAmount]]-OrderLines[[#This Row],[Food Cost]]</f>
        <v>171.95399999999998</v>
      </c>
    </row>
    <row r="716" spans="1:17" x14ac:dyDescent="0.3">
      <c r="A716" t="s">
        <v>312</v>
      </c>
      <c r="B716" t="s">
        <v>419</v>
      </c>
      <c r="C716">
        <v>3</v>
      </c>
      <c r="D716" cm="1">
        <f t="array" ref="D716">VLOOKUP(OrderLines[[#This Row],[SKU]:[SKU]],Menu[],MATCH(OrderLines[[#Headers],[UnitPrice]],Menu[#Headers],0),FALSE)</f>
        <v>50.19</v>
      </c>
      <c r="E716" cm="1">
        <f t="array" ref="E716">VLOOKUP(OrderLines[[#This Row],[SKU]:[SKU]],Menu[],MATCH(OrderLines[[#Headers],[UnitCost]],Menu[#Headers],0),FALSE)</f>
        <v>22.61</v>
      </c>
      <c r="F716" t="str" cm="1">
        <f t="array" ref="F716">VLOOKUP(OrderLines[[#This Row],[SKU]:[SKU]],Menu[],MATCH(OrderLines[[#Headers],[Category]],Menu[#Headers],0),FALSE)</f>
        <v>Snack</v>
      </c>
      <c r="G716" t="str" cm="1">
        <f t="array" ref="G716">_xlfn.TEXTJOIN("+",TRUE,_xlfn._xlws.SORT(_xlfn.UNIQUE(_xlfn._xlws.FILTER(OrderLines[Category],OrderLines[OrderID]=OrderLines[[#This Row],[OrderID]]))))</f>
        <v>Beverage+Dessert+Hot Meal+Snack</v>
      </c>
      <c r="H716" s="2" cm="1">
        <f t="array" ref="H716">INT(VLOOKUP(OrderLines[[#This Row],[OrderID]:[OrderID]],Orders[],MATCH(OrderLines[[#Headers],[OrderDateTime]],Orders[#Headers],0),FALSE))</f>
        <v>45883</v>
      </c>
      <c r="I716" t="str" cm="1">
        <f t="array" ref="I716">VLOOKUP(OrderLines[[#This Row],[OrderID]:[OrderID]],Orders[],MATCH(OrderLines[[#Headers],[Branch]],Orders[#Headers],0),FALSE)</f>
        <v>Plant 1 Canteen</v>
      </c>
      <c r="J716" cm="1">
        <f t="array" ref="J716">VLOOKUP(OrderLines[[#This Row],[OrderID]:[OrderID]],Orders[],MATCH(OrderLines[[#Headers],[DiscountPct]],Orders[#Headers],0),FALSE)</f>
        <v>0.09</v>
      </c>
      <c r="K716" t="str" cm="1">
        <f t="array" ref="K716">VLOOKUP(OrderLines[[#This Row],[OrderID]:[OrderID]],Orders[],MATCH(OrderLines[[#Headers],[PaymentType]],Orders[#Headers],0),FALSE)</f>
        <v>UPI</v>
      </c>
      <c r="L716" t="str" cm="1">
        <f t="array" ref="L716">VLOOKUP(OrderLines[[#This Row],[OrderID]:[OrderID]],Orders[],MATCH(OrderLines[[#Headers],[Shift]],Orders[#Headers],0),FALSE)</f>
        <v>Dinner</v>
      </c>
      <c r="M716" s="8">
        <f>(OrderLines[[#This Row],[Qty]]*OrderLines[[#This Row],[UnitPrice]])*(1-OrderLines[[#This Row],[DiscountPct]])</f>
        <v>137.0187</v>
      </c>
      <c r="N716" t="str">
        <f>IF(AND(COUNTIFS(OrderLines[OrderID],OrderLines[[#This Row],[OrderID]],OrderLines[Category],"Hot Meal"),COUNTIFS(OrderLines[OrderID],OrderLines[[#This Row],[OrderID]],OrderLines[Category],"Beverage")),"Combo","Single")</f>
        <v>Combo</v>
      </c>
      <c r="O716" s="8" t="str" cm="1">
        <f t="array" ref="O716">IF(SUMPRODUCT(OrderLines[UnitPrice],OrderLines[Qty],OrderLines[DiscountPct],--(OrderLines[OrderID] = OrderLines[[#This Row],[OrderID]]))&gt;40,"High Discount","Ok")</f>
        <v>High Discount</v>
      </c>
      <c r="P716">
        <f>OrderLines[[#This Row],[UnitCost]]*OrderLines[[#This Row],[Qty]]</f>
        <v>67.83</v>
      </c>
      <c r="Q716" s="8">
        <f>OrderLines[[#This Row],[LineNetAmount]]-OrderLines[[#This Row],[Food Cost]]</f>
        <v>69.188699999999997</v>
      </c>
    </row>
    <row r="717" spans="1:17" x14ac:dyDescent="0.3">
      <c r="A717" t="s">
        <v>313</v>
      </c>
      <c r="B717" t="s">
        <v>406</v>
      </c>
      <c r="C717">
        <v>1</v>
      </c>
      <c r="D717" cm="1">
        <f t="array" ref="D717">VLOOKUP(OrderLines[[#This Row],[SKU]:[SKU]],Menu[],MATCH(OrderLines[[#Headers],[UnitPrice]],Menu[#Headers],0),FALSE)</f>
        <v>38.06</v>
      </c>
      <c r="E717" cm="1">
        <f t="array" ref="E717">VLOOKUP(OrderLines[[#This Row],[SKU]:[SKU]],Menu[],MATCH(OrderLines[[#Headers],[UnitCost]],Menu[#Headers],0),FALSE)</f>
        <v>19.55</v>
      </c>
      <c r="F717" t="str" cm="1">
        <f t="array" ref="F717">VLOOKUP(OrderLines[[#This Row],[SKU]:[SKU]],Menu[],MATCH(OrderLines[[#Headers],[Category]],Menu[#Headers],0),FALSE)</f>
        <v>Snack</v>
      </c>
      <c r="G717" t="str" cm="1">
        <f t="array" ref="G717">_xlfn.TEXTJOIN("+",TRUE,_xlfn._xlws.SORT(_xlfn.UNIQUE(_xlfn._xlws.FILTER(OrderLines[Category],OrderLines[OrderID]=OrderLines[[#This Row],[OrderID]]))))</f>
        <v>Beverage+Dessert+Snack</v>
      </c>
      <c r="H717" s="2" cm="1">
        <f t="array" ref="H717">INT(VLOOKUP(OrderLines[[#This Row],[OrderID]:[OrderID]],Orders[],MATCH(OrderLines[[#Headers],[OrderDateTime]],Orders[#Headers],0),FALSE))</f>
        <v>45894</v>
      </c>
      <c r="I717" t="str" cm="1">
        <f t="array" ref="I717">VLOOKUP(OrderLines[[#This Row],[OrderID]:[OrderID]],Orders[],MATCH(OrderLines[[#Headers],[Branch]],Orders[#Headers],0),FALSE)</f>
        <v>Plant 2 Canteen</v>
      </c>
      <c r="J717" cm="1">
        <f t="array" ref="J717">VLOOKUP(OrderLines[[#This Row],[OrderID]:[OrderID]],Orders[],MATCH(OrderLines[[#Headers],[DiscountPct]],Orders[#Headers],0),FALSE)</f>
        <v>0.05</v>
      </c>
      <c r="K717" t="str" cm="1">
        <f t="array" ref="K717">VLOOKUP(OrderLines[[#This Row],[OrderID]:[OrderID]],Orders[],MATCH(OrderLines[[#Headers],[PaymentType]],Orders[#Headers],0),FALSE)</f>
        <v>UPI</v>
      </c>
      <c r="L717" t="str" cm="1">
        <f t="array" ref="L717">VLOOKUP(OrderLines[[#This Row],[OrderID]:[OrderID]],Orders[],MATCH(OrderLines[[#Headers],[Shift]],Orders[#Headers],0),FALSE)</f>
        <v>Dinner</v>
      </c>
      <c r="M717" s="8">
        <f>(OrderLines[[#This Row],[Qty]]*OrderLines[[#This Row],[UnitPrice]])*(1-OrderLines[[#This Row],[DiscountPct]])</f>
        <v>36.157000000000004</v>
      </c>
      <c r="N717" t="str">
        <f>IF(AND(COUNTIFS(OrderLines[OrderID],OrderLines[[#This Row],[OrderID]],OrderLines[Category],"Hot Meal"),COUNTIFS(OrderLines[OrderID],OrderLines[[#This Row],[OrderID]],OrderLines[Category],"Beverage")),"Combo","Single")</f>
        <v>Single</v>
      </c>
      <c r="O717" s="8" t="str" cm="1">
        <f t="array" ref="O717">IF(SUMPRODUCT(OrderLines[UnitPrice],OrderLines[Qty],OrderLines[DiscountPct],--(OrderLines[OrderID] = OrderLines[[#This Row],[OrderID]]))&gt;40,"High Discount","Ok")</f>
        <v>Ok</v>
      </c>
      <c r="P717">
        <f>OrderLines[[#This Row],[UnitCost]]*OrderLines[[#This Row],[Qty]]</f>
        <v>19.55</v>
      </c>
      <c r="Q717" s="8">
        <f>OrderLines[[#This Row],[LineNetAmount]]-OrderLines[[#This Row],[Food Cost]]</f>
        <v>16.607000000000003</v>
      </c>
    </row>
    <row r="718" spans="1:17" x14ac:dyDescent="0.3">
      <c r="A718" t="s">
        <v>313</v>
      </c>
      <c r="B718" t="s">
        <v>410</v>
      </c>
      <c r="C718">
        <v>2</v>
      </c>
      <c r="D718" cm="1">
        <f t="array" ref="D718">VLOOKUP(OrderLines[[#This Row],[SKU]:[SKU]],Menu[],MATCH(OrderLines[[#Headers],[UnitPrice]],Menu[#Headers],0),FALSE)</f>
        <v>20.11</v>
      </c>
      <c r="E718" cm="1">
        <f t="array" ref="E718">VLOOKUP(OrderLines[[#This Row],[SKU]:[SKU]],Menu[],MATCH(OrderLines[[#Headers],[UnitCost]],Menu[#Headers],0),FALSE)</f>
        <v>8</v>
      </c>
      <c r="F718" t="str" cm="1">
        <f t="array" ref="F718">VLOOKUP(OrderLines[[#This Row],[SKU]:[SKU]],Menu[],MATCH(OrderLines[[#Headers],[Category]],Menu[#Headers],0),FALSE)</f>
        <v>Beverage</v>
      </c>
      <c r="G718" t="str" cm="1">
        <f t="array" ref="G718">_xlfn.TEXTJOIN("+",TRUE,_xlfn._xlws.SORT(_xlfn.UNIQUE(_xlfn._xlws.FILTER(OrderLines[Category],OrderLines[OrderID]=OrderLines[[#This Row],[OrderID]]))))</f>
        <v>Beverage+Dessert+Snack</v>
      </c>
      <c r="H718" s="2" cm="1">
        <f t="array" ref="H718">INT(VLOOKUP(OrderLines[[#This Row],[OrderID]:[OrderID]],Orders[],MATCH(OrderLines[[#Headers],[OrderDateTime]],Orders[#Headers],0),FALSE))</f>
        <v>45894</v>
      </c>
      <c r="I718" t="str" cm="1">
        <f t="array" ref="I718">VLOOKUP(OrderLines[[#This Row],[OrderID]:[OrderID]],Orders[],MATCH(OrderLines[[#Headers],[Branch]],Orders[#Headers],0),FALSE)</f>
        <v>Plant 2 Canteen</v>
      </c>
      <c r="J718" cm="1">
        <f t="array" ref="J718">VLOOKUP(OrderLines[[#This Row],[OrderID]:[OrderID]],Orders[],MATCH(OrderLines[[#Headers],[DiscountPct]],Orders[#Headers],0),FALSE)</f>
        <v>0.05</v>
      </c>
      <c r="K718" t="str" cm="1">
        <f t="array" ref="K718">VLOOKUP(OrderLines[[#This Row],[OrderID]:[OrderID]],Orders[],MATCH(OrderLines[[#Headers],[PaymentType]],Orders[#Headers],0),FALSE)</f>
        <v>UPI</v>
      </c>
      <c r="L718" t="str" cm="1">
        <f t="array" ref="L718">VLOOKUP(OrderLines[[#This Row],[OrderID]:[OrderID]],Orders[],MATCH(OrderLines[[#Headers],[Shift]],Orders[#Headers],0),FALSE)</f>
        <v>Dinner</v>
      </c>
      <c r="M718" s="8">
        <f>(OrderLines[[#This Row],[Qty]]*OrderLines[[#This Row],[UnitPrice]])*(1-OrderLines[[#This Row],[DiscountPct]])</f>
        <v>38.208999999999996</v>
      </c>
      <c r="N718" t="str">
        <f>IF(AND(COUNTIFS(OrderLines[OrderID],OrderLines[[#This Row],[OrderID]],OrderLines[Category],"Hot Meal"),COUNTIFS(OrderLines[OrderID],OrderLines[[#This Row],[OrderID]],OrderLines[Category],"Beverage")),"Combo","Single")</f>
        <v>Single</v>
      </c>
      <c r="O718" s="8" t="str" cm="1">
        <f t="array" ref="O718">IF(SUMPRODUCT(OrderLines[UnitPrice],OrderLines[Qty],OrderLines[DiscountPct],--(OrderLines[OrderID] = OrderLines[[#This Row],[OrderID]]))&gt;40,"High Discount","Ok")</f>
        <v>Ok</v>
      </c>
      <c r="P718">
        <f>OrderLines[[#This Row],[UnitCost]]*OrderLines[[#This Row],[Qty]]</f>
        <v>16</v>
      </c>
      <c r="Q718" s="8">
        <f>OrderLines[[#This Row],[LineNetAmount]]-OrderLines[[#This Row],[Food Cost]]</f>
        <v>22.208999999999996</v>
      </c>
    </row>
    <row r="719" spans="1:17" x14ac:dyDescent="0.3">
      <c r="A719" t="s">
        <v>313</v>
      </c>
      <c r="B719" t="s">
        <v>414</v>
      </c>
      <c r="C719">
        <v>3</v>
      </c>
      <c r="D719" cm="1">
        <f t="array" ref="D719">VLOOKUP(OrderLines[[#This Row],[SKU]:[SKU]],Menu[],MATCH(OrderLines[[#Headers],[UnitPrice]],Menu[#Headers],0),FALSE)</f>
        <v>116.8</v>
      </c>
      <c r="E719" cm="1">
        <f t="array" ref="E719">VLOOKUP(OrderLines[[#This Row],[SKU]:[SKU]],Menu[],MATCH(OrderLines[[#Headers],[UnitCost]],Menu[#Headers],0),FALSE)</f>
        <v>48.97</v>
      </c>
      <c r="F719" t="str" cm="1">
        <f t="array" ref="F719">VLOOKUP(OrderLines[[#This Row],[SKU]:[SKU]],Menu[],MATCH(OrderLines[[#Headers],[Category]],Menu[#Headers],0),FALSE)</f>
        <v>Dessert</v>
      </c>
      <c r="G719" t="str" cm="1">
        <f t="array" ref="G719">_xlfn.TEXTJOIN("+",TRUE,_xlfn._xlws.SORT(_xlfn.UNIQUE(_xlfn._xlws.FILTER(OrderLines[Category],OrderLines[OrderID]=OrderLines[[#This Row],[OrderID]]))))</f>
        <v>Beverage+Dessert+Snack</v>
      </c>
      <c r="H719" s="2" cm="1">
        <f t="array" ref="H719">INT(VLOOKUP(OrderLines[[#This Row],[OrderID]:[OrderID]],Orders[],MATCH(OrderLines[[#Headers],[OrderDateTime]],Orders[#Headers],0),FALSE))</f>
        <v>45894</v>
      </c>
      <c r="I719" t="str" cm="1">
        <f t="array" ref="I719">VLOOKUP(OrderLines[[#This Row],[OrderID]:[OrderID]],Orders[],MATCH(OrderLines[[#Headers],[Branch]],Orders[#Headers],0),FALSE)</f>
        <v>Plant 2 Canteen</v>
      </c>
      <c r="J719" cm="1">
        <f t="array" ref="J719">VLOOKUP(OrderLines[[#This Row],[OrderID]:[OrderID]],Orders[],MATCH(OrderLines[[#Headers],[DiscountPct]],Orders[#Headers],0),FALSE)</f>
        <v>0.05</v>
      </c>
      <c r="K719" t="str" cm="1">
        <f t="array" ref="K719">VLOOKUP(OrderLines[[#This Row],[OrderID]:[OrderID]],Orders[],MATCH(OrderLines[[#Headers],[PaymentType]],Orders[#Headers],0),FALSE)</f>
        <v>UPI</v>
      </c>
      <c r="L719" t="str" cm="1">
        <f t="array" ref="L719">VLOOKUP(OrderLines[[#This Row],[OrderID]:[OrderID]],Orders[],MATCH(OrderLines[[#Headers],[Shift]],Orders[#Headers],0),FALSE)</f>
        <v>Dinner</v>
      </c>
      <c r="M719" s="8">
        <f>(OrderLines[[#This Row],[Qty]]*OrderLines[[#This Row],[UnitPrice]])*(1-OrderLines[[#This Row],[DiscountPct]])</f>
        <v>332.87999999999994</v>
      </c>
      <c r="N719" t="str">
        <f>IF(AND(COUNTIFS(OrderLines[OrderID],OrderLines[[#This Row],[OrderID]],OrderLines[Category],"Hot Meal"),COUNTIFS(OrderLines[OrderID],OrderLines[[#This Row],[OrderID]],OrderLines[Category],"Beverage")),"Combo","Single")</f>
        <v>Single</v>
      </c>
      <c r="O719" s="8" t="str" cm="1">
        <f t="array" ref="O719">IF(SUMPRODUCT(OrderLines[UnitPrice],OrderLines[Qty],OrderLines[DiscountPct],--(OrderLines[OrderID] = OrderLines[[#This Row],[OrderID]]))&gt;40,"High Discount","Ok")</f>
        <v>Ok</v>
      </c>
      <c r="P719">
        <f>OrderLines[[#This Row],[UnitCost]]*OrderLines[[#This Row],[Qty]]</f>
        <v>146.91</v>
      </c>
      <c r="Q719" s="8">
        <f>OrderLines[[#This Row],[LineNetAmount]]-OrderLines[[#This Row],[Food Cost]]</f>
        <v>185.96999999999994</v>
      </c>
    </row>
    <row r="720" spans="1:17" x14ac:dyDescent="0.3">
      <c r="A720" t="s">
        <v>314</v>
      </c>
      <c r="B720" t="s">
        <v>406</v>
      </c>
      <c r="C720">
        <v>1</v>
      </c>
      <c r="D720" cm="1">
        <f t="array" ref="D720">VLOOKUP(OrderLines[[#This Row],[SKU]:[SKU]],Menu[],MATCH(OrderLines[[#Headers],[UnitPrice]],Menu[#Headers],0),FALSE)</f>
        <v>38.06</v>
      </c>
      <c r="E720" cm="1">
        <f t="array" ref="E720">VLOOKUP(OrderLines[[#This Row],[SKU]:[SKU]],Menu[],MATCH(OrderLines[[#Headers],[UnitCost]],Menu[#Headers],0),FALSE)</f>
        <v>19.55</v>
      </c>
      <c r="F720" t="str" cm="1">
        <f t="array" ref="F720">VLOOKUP(OrderLines[[#This Row],[SKU]:[SKU]],Menu[],MATCH(OrderLines[[#Headers],[Category]],Menu[#Headers],0),FALSE)</f>
        <v>Snack</v>
      </c>
      <c r="G720" t="str" cm="1">
        <f t="array" ref="G720">_xlfn.TEXTJOIN("+",TRUE,_xlfn._xlws.SORT(_xlfn.UNIQUE(_xlfn._xlws.FILTER(OrderLines[Category],OrderLines[OrderID]=OrderLines[[#This Row],[OrderID]]))))</f>
        <v>Snack</v>
      </c>
      <c r="H720" s="2" cm="1">
        <f t="array" ref="H720">INT(VLOOKUP(OrderLines[[#This Row],[OrderID]:[OrderID]],Orders[],MATCH(OrderLines[[#Headers],[OrderDateTime]],Orders[#Headers],0),FALSE))</f>
        <v>45867</v>
      </c>
      <c r="I720" t="str" cm="1">
        <f t="array" ref="I720">VLOOKUP(OrderLines[[#This Row],[OrderID]:[OrderID]],Orders[],MATCH(OrderLines[[#Headers],[Branch]],Orders[#Headers],0),FALSE)</f>
        <v>Plant 1 Canteen</v>
      </c>
      <c r="J720" cm="1">
        <f t="array" ref="J720">VLOOKUP(OrderLines[[#This Row],[OrderID]:[OrderID]],Orders[],MATCH(OrderLines[[#Headers],[DiscountPct]],Orders[#Headers],0),FALSE)</f>
        <v>7.0000000000000007E-2</v>
      </c>
      <c r="K720" t="str" cm="1">
        <f t="array" ref="K720">VLOOKUP(OrderLines[[#This Row],[OrderID]:[OrderID]],Orders[],MATCH(OrderLines[[#Headers],[PaymentType]],Orders[#Headers],0),FALSE)</f>
        <v>Cash</v>
      </c>
      <c r="L720" t="str" cm="1">
        <f t="array" ref="L720">VLOOKUP(OrderLines[[#This Row],[OrderID]:[OrderID]],Orders[],MATCH(OrderLines[[#Headers],[Shift]],Orders[#Headers],0),FALSE)</f>
        <v>Breakfast</v>
      </c>
      <c r="M720" s="8">
        <f>(OrderLines[[#This Row],[Qty]]*OrderLines[[#This Row],[UnitPrice]])*(1-OrderLines[[#This Row],[DiscountPct]])</f>
        <v>35.395800000000001</v>
      </c>
      <c r="N720" t="str">
        <f>IF(AND(COUNTIFS(OrderLines[OrderID],OrderLines[[#This Row],[OrderID]],OrderLines[Category],"Hot Meal"),COUNTIFS(OrderLines[OrderID],OrderLines[[#This Row],[OrderID]],OrderLines[Category],"Beverage")),"Combo","Single")</f>
        <v>Single</v>
      </c>
      <c r="O720" s="8" t="str" cm="1">
        <f t="array" ref="O720">IF(SUMPRODUCT(OrderLines[UnitPrice],OrderLines[Qty],OrderLines[DiscountPct],--(OrderLines[OrderID] = OrderLines[[#This Row],[OrderID]]))&gt;40,"High Discount","Ok")</f>
        <v>Ok</v>
      </c>
      <c r="P720">
        <f>OrderLines[[#This Row],[UnitCost]]*OrderLines[[#This Row],[Qty]]</f>
        <v>19.55</v>
      </c>
      <c r="Q720" s="8">
        <f>OrderLines[[#This Row],[LineNetAmount]]-OrderLines[[#This Row],[Food Cost]]</f>
        <v>15.845800000000001</v>
      </c>
    </row>
    <row r="721" spans="1:17" x14ac:dyDescent="0.3">
      <c r="A721" t="s">
        <v>314</v>
      </c>
      <c r="B721" t="s">
        <v>418</v>
      </c>
      <c r="C721">
        <v>1</v>
      </c>
      <c r="D721" cm="1">
        <f t="array" ref="D721">VLOOKUP(OrderLines[[#This Row],[SKU]:[SKU]],Menu[],MATCH(OrderLines[[#Headers],[UnitPrice]],Menu[#Headers],0),FALSE)</f>
        <v>39.950000000000003</v>
      </c>
      <c r="E721" cm="1">
        <f t="array" ref="E721">VLOOKUP(OrderLines[[#This Row],[SKU]:[SKU]],Menu[],MATCH(OrderLines[[#Headers],[UnitCost]],Menu[#Headers],0),FALSE)</f>
        <v>15.51</v>
      </c>
      <c r="F721" t="str" cm="1">
        <f t="array" ref="F721">VLOOKUP(OrderLines[[#This Row],[SKU]:[SKU]],Menu[],MATCH(OrderLines[[#Headers],[Category]],Menu[#Headers],0),FALSE)</f>
        <v>Snack</v>
      </c>
      <c r="G721" t="str" cm="1">
        <f t="array" ref="G721">_xlfn.TEXTJOIN("+",TRUE,_xlfn._xlws.SORT(_xlfn.UNIQUE(_xlfn._xlws.FILTER(OrderLines[Category],OrderLines[OrderID]=OrderLines[[#This Row],[OrderID]]))))</f>
        <v>Snack</v>
      </c>
      <c r="H721" s="2" cm="1">
        <f t="array" ref="H721">INT(VLOOKUP(OrderLines[[#This Row],[OrderID]:[OrderID]],Orders[],MATCH(OrderLines[[#Headers],[OrderDateTime]],Orders[#Headers],0),FALSE))</f>
        <v>45867</v>
      </c>
      <c r="I721" t="str" cm="1">
        <f t="array" ref="I721">VLOOKUP(OrderLines[[#This Row],[OrderID]:[OrderID]],Orders[],MATCH(OrderLines[[#Headers],[Branch]],Orders[#Headers],0),FALSE)</f>
        <v>Plant 1 Canteen</v>
      </c>
      <c r="J721" cm="1">
        <f t="array" ref="J721">VLOOKUP(OrderLines[[#This Row],[OrderID]:[OrderID]],Orders[],MATCH(OrderLines[[#Headers],[DiscountPct]],Orders[#Headers],0),FALSE)</f>
        <v>7.0000000000000007E-2</v>
      </c>
      <c r="K721" t="str" cm="1">
        <f t="array" ref="K721">VLOOKUP(OrderLines[[#This Row],[OrderID]:[OrderID]],Orders[],MATCH(OrderLines[[#Headers],[PaymentType]],Orders[#Headers],0),FALSE)</f>
        <v>Cash</v>
      </c>
      <c r="L721" t="str" cm="1">
        <f t="array" ref="L721">VLOOKUP(OrderLines[[#This Row],[OrderID]:[OrderID]],Orders[],MATCH(OrderLines[[#Headers],[Shift]],Orders[#Headers],0),FALSE)</f>
        <v>Breakfast</v>
      </c>
      <c r="M721" s="8">
        <f>(OrderLines[[#This Row],[Qty]]*OrderLines[[#This Row],[UnitPrice]])*(1-OrderLines[[#This Row],[DiscountPct]])</f>
        <v>37.153500000000001</v>
      </c>
      <c r="N721" t="str">
        <f>IF(AND(COUNTIFS(OrderLines[OrderID],OrderLines[[#This Row],[OrderID]],OrderLines[Category],"Hot Meal"),COUNTIFS(OrderLines[OrderID],OrderLines[[#This Row],[OrderID]],OrderLines[Category],"Beverage")),"Combo","Single")</f>
        <v>Single</v>
      </c>
      <c r="O721" s="8" t="str" cm="1">
        <f t="array" ref="O721">IF(SUMPRODUCT(OrderLines[UnitPrice],OrderLines[Qty],OrderLines[DiscountPct],--(OrderLines[OrderID] = OrderLines[[#This Row],[OrderID]]))&gt;40,"High Discount","Ok")</f>
        <v>Ok</v>
      </c>
      <c r="P721">
        <f>OrderLines[[#This Row],[UnitCost]]*OrderLines[[#This Row],[Qty]]</f>
        <v>15.51</v>
      </c>
      <c r="Q721" s="8">
        <f>OrderLines[[#This Row],[LineNetAmount]]-OrderLines[[#This Row],[Food Cost]]</f>
        <v>21.643500000000003</v>
      </c>
    </row>
    <row r="722" spans="1:17" x14ac:dyDescent="0.3">
      <c r="A722" t="s">
        <v>315</v>
      </c>
      <c r="B722" t="s">
        <v>405</v>
      </c>
      <c r="C722">
        <v>1</v>
      </c>
      <c r="D722" cm="1">
        <f t="array" ref="D722">VLOOKUP(OrderLines[[#This Row],[SKU]:[SKU]],Menu[],MATCH(OrderLines[[#Headers],[UnitPrice]],Menu[#Headers],0),FALSE)</f>
        <v>170.83</v>
      </c>
      <c r="E722" cm="1">
        <f t="array" ref="E722">VLOOKUP(OrderLines[[#This Row],[SKU]:[SKU]],Menu[],MATCH(OrderLines[[#Headers],[UnitCost]],Menu[#Headers],0),FALSE)</f>
        <v>74.069999999999993</v>
      </c>
      <c r="F722" t="str" cm="1">
        <f t="array" ref="F722">VLOOKUP(OrderLines[[#This Row],[SKU]:[SKU]],Menu[],MATCH(OrderLines[[#Headers],[Category]],Menu[#Headers],0),FALSE)</f>
        <v>Hot Meal</v>
      </c>
      <c r="G722" t="str" cm="1">
        <f t="array" ref="G722">_xlfn.TEXTJOIN("+",TRUE,_xlfn._xlws.SORT(_xlfn.UNIQUE(_xlfn._xlws.FILTER(OrderLines[Category],OrderLines[OrderID]=OrderLines[[#This Row],[OrderID]]))))</f>
        <v>Beverage+Dessert+Hot Meal</v>
      </c>
      <c r="H722" s="2" cm="1">
        <f t="array" ref="H722">INT(VLOOKUP(OrderLines[[#This Row],[OrderID]:[OrderID]],Orders[],MATCH(OrderLines[[#Headers],[OrderDateTime]],Orders[#Headers],0),FALSE))</f>
        <v>45855</v>
      </c>
      <c r="I722" t="str" cm="1">
        <f t="array" ref="I722">VLOOKUP(OrderLines[[#This Row],[OrderID]:[OrderID]],Orders[],MATCH(OrderLines[[#Headers],[Branch]],Orders[#Headers],0),FALSE)</f>
        <v>Head Office Café</v>
      </c>
      <c r="J722" cm="1">
        <f t="array" ref="J722">VLOOKUP(OrderLines[[#This Row],[OrderID]:[OrderID]],Orders[],MATCH(OrderLines[[#Headers],[DiscountPct]],Orders[#Headers],0),FALSE)</f>
        <v>0.05</v>
      </c>
      <c r="K722" t="str" cm="1">
        <f t="array" ref="K722">VLOOKUP(OrderLines[[#This Row],[OrderID]:[OrderID]],Orders[],MATCH(OrderLines[[#Headers],[PaymentType]],Orders[#Headers],0),FALSE)</f>
        <v>UPI</v>
      </c>
      <c r="L722" t="str" cm="1">
        <f t="array" ref="L722">VLOOKUP(OrderLines[[#This Row],[OrderID]:[OrderID]],Orders[],MATCH(OrderLines[[#Headers],[Shift]],Orders[#Headers],0),FALSE)</f>
        <v>Dinner</v>
      </c>
      <c r="M722" s="8">
        <f>(OrderLines[[#This Row],[Qty]]*OrderLines[[#This Row],[UnitPrice]])*(1-OrderLines[[#This Row],[DiscountPct]])</f>
        <v>162.2885</v>
      </c>
      <c r="N722" t="str">
        <f>IF(AND(COUNTIFS(OrderLines[OrderID],OrderLines[[#This Row],[OrderID]],OrderLines[Category],"Hot Meal"),COUNTIFS(OrderLines[OrderID],OrderLines[[#This Row],[OrderID]],OrderLines[Category],"Beverage")),"Combo","Single")</f>
        <v>Combo</v>
      </c>
      <c r="O722" s="8" t="str" cm="1">
        <f t="array" ref="O722">IF(SUMPRODUCT(OrderLines[UnitPrice],OrderLines[Qty],OrderLines[DiscountPct],--(OrderLines[OrderID] = OrderLines[[#This Row],[OrderID]]))&gt;40,"High Discount","Ok")</f>
        <v>Ok</v>
      </c>
      <c r="P722">
        <f>OrderLines[[#This Row],[UnitCost]]*OrderLines[[#This Row],[Qty]]</f>
        <v>74.069999999999993</v>
      </c>
      <c r="Q722" s="8">
        <f>OrderLines[[#This Row],[LineNetAmount]]-OrderLines[[#This Row],[Food Cost]]</f>
        <v>88.218500000000006</v>
      </c>
    </row>
    <row r="723" spans="1:17" x14ac:dyDescent="0.3">
      <c r="A723" t="s">
        <v>315</v>
      </c>
      <c r="B723" t="s">
        <v>402</v>
      </c>
      <c r="C723">
        <v>1</v>
      </c>
      <c r="D723" cm="1">
        <f t="array" ref="D723">VLOOKUP(OrderLines[[#This Row],[SKU]:[SKU]],Menu[],MATCH(OrderLines[[#Headers],[UnitPrice]],Menu[#Headers],0),FALSE)</f>
        <v>30.34</v>
      </c>
      <c r="E723" cm="1">
        <f t="array" ref="E723">VLOOKUP(OrderLines[[#This Row],[SKU]:[SKU]],Menu[],MATCH(OrderLines[[#Headers],[UnitCost]],Menu[#Headers],0),FALSE)</f>
        <v>14.18</v>
      </c>
      <c r="F723" t="str" cm="1">
        <f t="array" ref="F723">VLOOKUP(OrderLines[[#This Row],[SKU]:[SKU]],Menu[],MATCH(OrderLines[[#Headers],[Category]],Menu[#Headers],0),FALSE)</f>
        <v>Beverage</v>
      </c>
      <c r="G723" t="str" cm="1">
        <f t="array" ref="G723">_xlfn.TEXTJOIN("+",TRUE,_xlfn._xlws.SORT(_xlfn.UNIQUE(_xlfn._xlws.FILTER(OrderLines[Category],OrderLines[OrderID]=OrderLines[[#This Row],[OrderID]]))))</f>
        <v>Beverage+Dessert+Hot Meal</v>
      </c>
      <c r="H723" s="2" cm="1">
        <f t="array" ref="H723">INT(VLOOKUP(OrderLines[[#This Row],[OrderID]:[OrderID]],Orders[],MATCH(OrderLines[[#Headers],[OrderDateTime]],Orders[#Headers],0),FALSE))</f>
        <v>45855</v>
      </c>
      <c r="I723" t="str" cm="1">
        <f t="array" ref="I723">VLOOKUP(OrderLines[[#This Row],[OrderID]:[OrderID]],Orders[],MATCH(OrderLines[[#Headers],[Branch]],Orders[#Headers],0),FALSE)</f>
        <v>Head Office Café</v>
      </c>
      <c r="J723" cm="1">
        <f t="array" ref="J723">VLOOKUP(OrderLines[[#This Row],[OrderID]:[OrderID]],Orders[],MATCH(OrderLines[[#Headers],[DiscountPct]],Orders[#Headers],0),FALSE)</f>
        <v>0.05</v>
      </c>
      <c r="K723" t="str" cm="1">
        <f t="array" ref="K723">VLOOKUP(OrderLines[[#This Row],[OrderID]:[OrderID]],Orders[],MATCH(OrderLines[[#Headers],[PaymentType]],Orders[#Headers],0),FALSE)</f>
        <v>UPI</v>
      </c>
      <c r="L723" t="str" cm="1">
        <f t="array" ref="L723">VLOOKUP(OrderLines[[#This Row],[OrderID]:[OrderID]],Orders[],MATCH(OrderLines[[#Headers],[Shift]],Orders[#Headers],0),FALSE)</f>
        <v>Dinner</v>
      </c>
      <c r="M723" s="8">
        <f>(OrderLines[[#This Row],[Qty]]*OrderLines[[#This Row],[UnitPrice]])*(1-OrderLines[[#This Row],[DiscountPct]])</f>
        <v>28.822999999999997</v>
      </c>
      <c r="N723" t="str">
        <f>IF(AND(COUNTIFS(OrderLines[OrderID],OrderLines[[#This Row],[OrderID]],OrderLines[Category],"Hot Meal"),COUNTIFS(OrderLines[OrderID],OrderLines[[#This Row],[OrderID]],OrderLines[Category],"Beverage")),"Combo","Single")</f>
        <v>Combo</v>
      </c>
      <c r="O723" s="8" t="str" cm="1">
        <f t="array" ref="O723">IF(SUMPRODUCT(OrderLines[UnitPrice],OrderLines[Qty],OrderLines[DiscountPct],--(OrderLines[OrderID] = OrderLines[[#This Row],[OrderID]]))&gt;40,"High Discount","Ok")</f>
        <v>Ok</v>
      </c>
      <c r="P723">
        <f>OrderLines[[#This Row],[UnitCost]]*OrderLines[[#This Row],[Qty]]</f>
        <v>14.18</v>
      </c>
      <c r="Q723" s="8">
        <f>OrderLines[[#This Row],[LineNetAmount]]-OrderLines[[#This Row],[Food Cost]]</f>
        <v>14.642999999999997</v>
      </c>
    </row>
    <row r="724" spans="1:17" x14ac:dyDescent="0.3">
      <c r="A724" t="s">
        <v>315</v>
      </c>
      <c r="B724" t="s">
        <v>414</v>
      </c>
      <c r="C724">
        <v>2</v>
      </c>
      <c r="D724" cm="1">
        <f t="array" ref="D724">VLOOKUP(OrderLines[[#This Row],[SKU]:[SKU]],Menu[],MATCH(OrderLines[[#Headers],[UnitPrice]],Menu[#Headers],0),FALSE)</f>
        <v>116.8</v>
      </c>
      <c r="E724" cm="1">
        <f t="array" ref="E724">VLOOKUP(OrderLines[[#This Row],[SKU]:[SKU]],Menu[],MATCH(OrderLines[[#Headers],[UnitCost]],Menu[#Headers],0),FALSE)</f>
        <v>48.97</v>
      </c>
      <c r="F724" t="str" cm="1">
        <f t="array" ref="F724">VLOOKUP(OrderLines[[#This Row],[SKU]:[SKU]],Menu[],MATCH(OrderLines[[#Headers],[Category]],Menu[#Headers],0),FALSE)</f>
        <v>Dessert</v>
      </c>
      <c r="G724" t="str" cm="1">
        <f t="array" ref="G724">_xlfn.TEXTJOIN("+",TRUE,_xlfn._xlws.SORT(_xlfn.UNIQUE(_xlfn._xlws.FILTER(OrderLines[Category],OrderLines[OrderID]=OrderLines[[#This Row],[OrderID]]))))</f>
        <v>Beverage+Dessert+Hot Meal</v>
      </c>
      <c r="H724" s="2" cm="1">
        <f t="array" ref="H724">INT(VLOOKUP(OrderLines[[#This Row],[OrderID]:[OrderID]],Orders[],MATCH(OrderLines[[#Headers],[OrderDateTime]],Orders[#Headers],0),FALSE))</f>
        <v>45855</v>
      </c>
      <c r="I724" t="str" cm="1">
        <f t="array" ref="I724">VLOOKUP(OrderLines[[#This Row],[OrderID]:[OrderID]],Orders[],MATCH(OrderLines[[#Headers],[Branch]],Orders[#Headers],0),FALSE)</f>
        <v>Head Office Café</v>
      </c>
      <c r="J724" cm="1">
        <f t="array" ref="J724">VLOOKUP(OrderLines[[#This Row],[OrderID]:[OrderID]],Orders[],MATCH(OrderLines[[#Headers],[DiscountPct]],Orders[#Headers],0),FALSE)</f>
        <v>0.05</v>
      </c>
      <c r="K724" t="str" cm="1">
        <f t="array" ref="K724">VLOOKUP(OrderLines[[#This Row],[OrderID]:[OrderID]],Orders[],MATCH(OrderLines[[#Headers],[PaymentType]],Orders[#Headers],0),FALSE)</f>
        <v>UPI</v>
      </c>
      <c r="L724" t="str" cm="1">
        <f t="array" ref="L724">VLOOKUP(OrderLines[[#This Row],[OrderID]:[OrderID]],Orders[],MATCH(OrderLines[[#Headers],[Shift]],Orders[#Headers],0),FALSE)</f>
        <v>Dinner</v>
      </c>
      <c r="M724" s="8">
        <f>(OrderLines[[#This Row],[Qty]]*OrderLines[[#This Row],[UnitPrice]])*(1-OrderLines[[#This Row],[DiscountPct]])</f>
        <v>221.92</v>
      </c>
      <c r="N724" t="str">
        <f>IF(AND(COUNTIFS(OrderLines[OrderID],OrderLines[[#This Row],[OrderID]],OrderLines[Category],"Hot Meal"),COUNTIFS(OrderLines[OrderID],OrderLines[[#This Row],[OrderID]],OrderLines[Category],"Beverage")),"Combo","Single")</f>
        <v>Combo</v>
      </c>
      <c r="O724" s="8" t="str" cm="1">
        <f t="array" ref="O724">IF(SUMPRODUCT(OrderLines[UnitPrice],OrderLines[Qty],OrderLines[DiscountPct],--(OrderLines[OrderID] = OrderLines[[#This Row],[OrderID]]))&gt;40,"High Discount","Ok")</f>
        <v>Ok</v>
      </c>
      <c r="P724">
        <f>OrderLines[[#This Row],[UnitCost]]*OrderLines[[#This Row],[Qty]]</f>
        <v>97.94</v>
      </c>
      <c r="Q724" s="8">
        <f>OrderLines[[#This Row],[LineNetAmount]]-OrderLines[[#This Row],[Food Cost]]</f>
        <v>123.97999999999999</v>
      </c>
    </row>
    <row r="725" spans="1:17" x14ac:dyDescent="0.3">
      <c r="A725" t="s">
        <v>316</v>
      </c>
      <c r="B725" t="s">
        <v>402</v>
      </c>
      <c r="C725">
        <v>1</v>
      </c>
      <c r="D725" cm="1">
        <f t="array" ref="D725">VLOOKUP(OrderLines[[#This Row],[SKU]:[SKU]],Menu[],MATCH(OrderLines[[#Headers],[UnitPrice]],Menu[#Headers],0),FALSE)</f>
        <v>30.34</v>
      </c>
      <c r="E725" cm="1">
        <f t="array" ref="E725">VLOOKUP(OrderLines[[#This Row],[SKU]:[SKU]],Menu[],MATCH(OrderLines[[#Headers],[UnitCost]],Menu[#Headers],0),FALSE)</f>
        <v>14.18</v>
      </c>
      <c r="F725" t="str" cm="1">
        <f t="array" ref="F725">VLOOKUP(OrderLines[[#This Row],[SKU]:[SKU]],Menu[],MATCH(OrderLines[[#Headers],[Category]],Menu[#Headers],0),FALSE)</f>
        <v>Beverage</v>
      </c>
      <c r="G725" t="str" cm="1">
        <f t="array" ref="G725">_xlfn.TEXTJOIN("+",TRUE,_xlfn._xlws.SORT(_xlfn.UNIQUE(_xlfn._xlws.FILTER(OrderLines[Category],OrderLines[OrderID]=OrderLines[[#This Row],[OrderID]]))))</f>
        <v>Beverage</v>
      </c>
      <c r="H725" s="2" cm="1">
        <f t="array" ref="H725">INT(VLOOKUP(OrderLines[[#This Row],[OrderID]:[OrderID]],Orders[],MATCH(OrderLines[[#Headers],[OrderDateTime]],Orders[#Headers],0),FALSE))</f>
        <v>45847</v>
      </c>
      <c r="I725" t="str" cm="1">
        <f t="array" ref="I725">VLOOKUP(OrderLines[[#This Row],[OrderID]:[OrderID]],Orders[],MATCH(OrderLines[[#Headers],[Branch]],Orders[#Headers],0),FALSE)</f>
        <v>Plant 2 Canteen</v>
      </c>
      <c r="J725" cm="1">
        <f t="array" ref="J725">VLOOKUP(OrderLines[[#This Row],[OrderID]:[OrderID]],Orders[],MATCH(OrderLines[[#Headers],[DiscountPct]],Orders[#Headers],0),FALSE)</f>
        <v>0.06</v>
      </c>
      <c r="K725" t="str" cm="1">
        <f t="array" ref="K725">VLOOKUP(OrderLines[[#This Row],[OrderID]:[OrderID]],Orders[],MATCH(OrderLines[[#Headers],[PaymentType]],Orders[#Headers],0),FALSE)</f>
        <v>Cash</v>
      </c>
      <c r="L725" t="str" cm="1">
        <f t="array" ref="L725">VLOOKUP(OrderLines[[#This Row],[OrderID]:[OrderID]],Orders[],MATCH(OrderLines[[#Headers],[Shift]],Orders[#Headers],0),FALSE)</f>
        <v>Dinner</v>
      </c>
      <c r="M725" s="8">
        <f>(OrderLines[[#This Row],[Qty]]*OrderLines[[#This Row],[UnitPrice]])*(1-OrderLines[[#This Row],[DiscountPct]])</f>
        <v>28.519599999999997</v>
      </c>
      <c r="N725" t="str">
        <f>IF(AND(COUNTIFS(OrderLines[OrderID],OrderLines[[#This Row],[OrderID]],OrderLines[Category],"Hot Meal"),COUNTIFS(OrderLines[OrderID],OrderLines[[#This Row],[OrderID]],OrderLines[Category],"Beverage")),"Combo","Single")</f>
        <v>Single</v>
      </c>
      <c r="O725" s="8" t="str" cm="1">
        <f t="array" ref="O725">IF(SUMPRODUCT(OrderLines[UnitPrice],OrderLines[Qty],OrderLines[DiscountPct],--(OrderLines[OrderID] = OrderLines[[#This Row],[OrderID]]))&gt;40,"High Discount","Ok")</f>
        <v>Ok</v>
      </c>
      <c r="P725">
        <f>OrderLines[[#This Row],[UnitCost]]*OrderLines[[#This Row],[Qty]]</f>
        <v>14.18</v>
      </c>
      <c r="Q725" s="8">
        <f>OrderLines[[#This Row],[LineNetAmount]]-OrderLines[[#This Row],[Food Cost]]</f>
        <v>14.339599999999997</v>
      </c>
    </row>
    <row r="726" spans="1:17" x14ac:dyDescent="0.3">
      <c r="A726" t="s">
        <v>317</v>
      </c>
      <c r="B726" t="s">
        <v>409</v>
      </c>
      <c r="C726">
        <v>1</v>
      </c>
      <c r="D726" cm="1">
        <f t="array" ref="D726">VLOOKUP(OrderLines[[#This Row],[SKU]:[SKU]],Menu[],MATCH(OrderLines[[#Headers],[UnitPrice]],Menu[#Headers],0),FALSE)</f>
        <v>28.43</v>
      </c>
      <c r="E726" cm="1">
        <f t="array" ref="E726">VLOOKUP(OrderLines[[#This Row],[SKU]:[SKU]],Menu[],MATCH(OrderLines[[#Headers],[UnitCost]],Menu[#Headers],0),FALSE)</f>
        <v>13.89</v>
      </c>
      <c r="F726" t="str" cm="1">
        <f t="array" ref="F726">VLOOKUP(OrderLines[[#This Row],[SKU]:[SKU]],Menu[],MATCH(OrderLines[[#Headers],[Category]],Menu[#Headers],0),FALSE)</f>
        <v>Beverage</v>
      </c>
      <c r="G726" t="str" cm="1">
        <f t="array" ref="G726">_xlfn.TEXTJOIN("+",TRUE,_xlfn._xlws.SORT(_xlfn.UNIQUE(_xlfn._xlws.FILTER(OrderLines[Category],OrderLines[OrderID]=OrderLines[[#This Row],[OrderID]]))))</f>
        <v>Beverage+Hot Meal</v>
      </c>
      <c r="H726" s="2" cm="1">
        <f t="array" ref="H726">INT(VLOOKUP(OrderLines[[#This Row],[OrderID]:[OrderID]],Orders[],MATCH(OrderLines[[#Headers],[OrderDateTime]],Orders[#Headers],0),FALSE))</f>
        <v>45896</v>
      </c>
      <c r="I726" t="str" cm="1">
        <f t="array" ref="I726">VLOOKUP(OrderLines[[#This Row],[OrderID]:[OrderID]],Orders[],MATCH(OrderLines[[#Headers],[Branch]],Orders[#Headers],0),FALSE)</f>
        <v>Plant 2 Canteen</v>
      </c>
      <c r="J726" cm="1">
        <f t="array" ref="J726">VLOOKUP(OrderLines[[#This Row],[OrderID]:[OrderID]],Orders[],MATCH(OrderLines[[#Headers],[DiscountPct]],Orders[#Headers],0),FALSE)</f>
        <v>0.08</v>
      </c>
      <c r="K726" t="str" cm="1">
        <f t="array" ref="K726">VLOOKUP(OrderLines[[#This Row],[OrderID]:[OrderID]],Orders[],MATCH(OrderLines[[#Headers],[PaymentType]],Orders[#Headers],0),FALSE)</f>
        <v>Cash</v>
      </c>
      <c r="L726" t="str" cm="1">
        <f t="array" ref="L726">VLOOKUP(OrderLines[[#This Row],[OrderID]:[OrderID]],Orders[],MATCH(OrderLines[[#Headers],[Shift]],Orders[#Headers],0),FALSE)</f>
        <v>Breakfast</v>
      </c>
      <c r="M726" s="8">
        <f>(OrderLines[[#This Row],[Qty]]*OrderLines[[#This Row],[UnitPrice]])*(1-OrderLines[[#This Row],[DiscountPct]])</f>
        <v>26.1556</v>
      </c>
      <c r="N726" t="str">
        <f>IF(AND(COUNTIFS(OrderLines[OrderID],OrderLines[[#This Row],[OrderID]],OrderLines[Category],"Hot Meal"),COUNTIFS(OrderLines[OrderID],OrderLines[[#This Row],[OrderID]],OrderLines[Category],"Beverage")),"Combo","Single")</f>
        <v>Combo</v>
      </c>
      <c r="O726" s="8" t="str" cm="1">
        <f t="array" ref="O726">IF(SUMPRODUCT(OrderLines[UnitPrice],OrderLines[Qty],OrderLines[DiscountPct],--(OrderLines[OrderID] = OrderLines[[#This Row],[OrderID]]))&gt;40,"High Discount","Ok")</f>
        <v>Ok</v>
      </c>
      <c r="P726">
        <f>OrderLines[[#This Row],[UnitCost]]*OrderLines[[#This Row],[Qty]]</f>
        <v>13.89</v>
      </c>
      <c r="Q726" s="8">
        <f>OrderLines[[#This Row],[LineNetAmount]]-OrderLines[[#This Row],[Food Cost]]</f>
        <v>12.265599999999999</v>
      </c>
    </row>
    <row r="727" spans="1:17" x14ac:dyDescent="0.3">
      <c r="A727" t="s">
        <v>317</v>
      </c>
      <c r="B727" t="s">
        <v>402</v>
      </c>
      <c r="C727">
        <v>3</v>
      </c>
      <c r="D727" cm="1">
        <f t="array" ref="D727">VLOOKUP(OrderLines[[#This Row],[SKU]:[SKU]],Menu[],MATCH(OrderLines[[#Headers],[UnitPrice]],Menu[#Headers],0),FALSE)</f>
        <v>30.34</v>
      </c>
      <c r="E727" cm="1">
        <f t="array" ref="E727">VLOOKUP(OrderLines[[#This Row],[SKU]:[SKU]],Menu[],MATCH(OrderLines[[#Headers],[UnitCost]],Menu[#Headers],0),FALSE)</f>
        <v>14.18</v>
      </c>
      <c r="F727" t="str" cm="1">
        <f t="array" ref="F727">VLOOKUP(OrderLines[[#This Row],[SKU]:[SKU]],Menu[],MATCH(OrderLines[[#Headers],[Category]],Menu[#Headers],0),FALSE)</f>
        <v>Beverage</v>
      </c>
      <c r="G727" t="str" cm="1">
        <f t="array" ref="G727">_xlfn.TEXTJOIN("+",TRUE,_xlfn._xlws.SORT(_xlfn.UNIQUE(_xlfn._xlws.FILTER(OrderLines[Category],OrderLines[OrderID]=OrderLines[[#This Row],[OrderID]]))))</f>
        <v>Beverage+Hot Meal</v>
      </c>
      <c r="H727" s="2" cm="1">
        <f t="array" ref="H727">INT(VLOOKUP(OrderLines[[#This Row],[OrderID]:[OrderID]],Orders[],MATCH(OrderLines[[#Headers],[OrderDateTime]],Orders[#Headers],0),FALSE))</f>
        <v>45896</v>
      </c>
      <c r="I727" t="str" cm="1">
        <f t="array" ref="I727">VLOOKUP(OrderLines[[#This Row],[OrderID]:[OrderID]],Orders[],MATCH(OrderLines[[#Headers],[Branch]],Orders[#Headers],0),FALSE)</f>
        <v>Plant 2 Canteen</v>
      </c>
      <c r="J727" cm="1">
        <f t="array" ref="J727">VLOOKUP(OrderLines[[#This Row],[OrderID]:[OrderID]],Orders[],MATCH(OrderLines[[#Headers],[DiscountPct]],Orders[#Headers],0),FALSE)</f>
        <v>0.08</v>
      </c>
      <c r="K727" t="str" cm="1">
        <f t="array" ref="K727">VLOOKUP(OrderLines[[#This Row],[OrderID]:[OrderID]],Orders[],MATCH(OrderLines[[#Headers],[PaymentType]],Orders[#Headers],0),FALSE)</f>
        <v>Cash</v>
      </c>
      <c r="L727" t="str" cm="1">
        <f t="array" ref="L727">VLOOKUP(OrderLines[[#This Row],[OrderID]:[OrderID]],Orders[],MATCH(OrderLines[[#Headers],[Shift]],Orders[#Headers],0),FALSE)</f>
        <v>Breakfast</v>
      </c>
      <c r="M727" s="8">
        <f>(OrderLines[[#This Row],[Qty]]*OrderLines[[#This Row],[UnitPrice]])*(1-OrderLines[[#This Row],[DiscountPct]])</f>
        <v>83.738399999999999</v>
      </c>
      <c r="N727" t="str">
        <f>IF(AND(COUNTIFS(OrderLines[OrderID],OrderLines[[#This Row],[OrderID]],OrderLines[Category],"Hot Meal"),COUNTIFS(OrderLines[OrderID],OrderLines[[#This Row],[OrderID]],OrderLines[Category],"Beverage")),"Combo","Single")</f>
        <v>Combo</v>
      </c>
      <c r="O727" s="8" t="str" cm="1">
        <f t="array" ref="O727">IF(SUMPRODUCT(OrderLines[UnitPrice],OrderLines[Qty],OrderLines[DiscountPct],--(OrderLines[OrderID] = OrderLines[[#This Row],[OrderID]]))&gt;40,"High Discount","Ok")</f>
        <v>Ok</v>
      </c>
      <c r="P727">
        <f>OrderLines[[#This Row],[UnitCost]]*OrderLines[[#This Row],[Qty]]</f>
        <v>42.54</v>
      </c>
      <c r="Q727" s="8">
        <f>OrderLines[[#This Row],[LineNetAmount]]-OrderLines[[#This Row],[Food Cost]]</f>
        <v>41.198399999999999</v>
      </c>
    </row>
    <row r="728" spans="1:17" x14ac:dyDescent="0.3">
      <c r="A728" t="s">
        <v>317</v>
      </c>
      <c r="B728" t="s">
        <v>405</v>
      </c>
      <c r="C728">
        <v>1</v>
      </c>
      <c r="D728" cm="1">
        <f t="array" ref="D728">VLOOKUP(OrderLines[[#This Row],[SKU]:[SKU]],Menu[],MATCH(OrderLines[[#Headers],[UnitPrice]],Menu[#Headers],0),FALSE)</f>
        <v>170.83</v>
      </c>
      <c r="E728" cm="1">
        <f t="array" ref="E728">VLOOKUP(OrderLines[[#This Row],[SKU]:[SKU]],Menu[],MATCH(OrderLines[[#Headers],[UnitCost]],Menu[#Headers],0),FALSE)</f>
        <v>74.069999999999993</v>
      </c>
      <c r="F728" t="str" cm="1">
        <f t="array" ref="F728">VLOOKUP(OrderLines[[#This Row],[SKU]:[SKU]],Menu[],MATCH(OrderLines[[#Headers],[Category]],Menu[#Headers],0),FALSE)</f>
        <v>Hot Meal</v>
      </c>
      <c r="G728" t="str" cm="1">
        <f t="array" ref="G728">_xlfn.TEXTJOIN("+",TRUE,_xlfn._xlws.SORT(_xlfn.UNIQUE(_xlfn._xlws.FILTER(OrderLines[Category],OrderLines[OrderID]=OrderLines[[#This Row],[OrderID]]))))</f>
        <v>Beverage+Hot Meal</v>
      </c>
      <c r="H728" s="2" cm="1">
        <f t="array" ref="H728">INT(VLOOKUP(OrderLines[[#This Row],[OrderID]:[OrderID]],Orders[],MATCH(OrderLines[[#Headers],[OrderDateTime]],Orders[#Headers],0),FALSE))</f>
        <v>45896</v>
      </c>
      <c r="I728" t="str" cm="1">
        <f t="array" ref="I728">VLOOKUP(OrderLines[[#This Row],[OrderID]:[OrderID]],Orders[],MATCH(OrderLines[[#Headers],[Branch]],Orders[#Headers],0),FALSE)</f>
        <v>Plant 2 Canteen</v>
      </c>
      <c r="J728" cm="1">
        <f t="array" ref="J728">VLOOKUP(OrderLines[[#This Row],[OrderID]:[OrderID]],Orders[],MATCH(OrderLines[[#Headers],[DiscountPct]],Orders[#Headers],0),FALSE)</f>
        <v>0.08</v>
      </c>
      <c r="K728" t="str" cm="1">
        <f t="array" ref="K728">VLOOKUP(OrderLines[[#This Row],[OrderID]:[OrderID]],Orders[],MATCH(OrderLines[[#Headers],[PaymentType]],Orders[#Headers],0),FALSE)</f>
        <v>Cash</v>
      </c>
      <c r="L728" t="str" cm="1">
        <f t="array" ref="L728">VLOOKUP(OrderLines[[#This Row],[OrderID]:[OrderID]],Orders[],MATCH(OrderLines[[#Headers],[Shift]],Orders[#Headers],0),FALSE)</f>
        <v>Breakfast</v>
      </c>
      <c r="M728" s="8">
        <f>(OrderLines[[#This Row],[Qty]]*OrderLines[[#This Row],[UnitPrice]])*(1-OrderLines[[#This Row],[DiscountPct]])</f>
        <v>157.16360000000003</v>
      </c>
      <c r="N728" t="str">
        <f>IF(AND(COUNTIFS(OrderLines[OrderID],OrderLines[[#This Row],[OrderID]],OrderLines[Category],"Hot Meal"),COUNTIFS(OrderLines[OrderID],OrderLines[[#This Row],[OrderID]],OrderLines[Category],"Beverage")),"Combo","Single")</f>
        <v>Combo</v>
      </c>
      <c r="O728" s="8" t="str" cm="1">
        <f t="array" ref="O728">IF(SUMPRODUCT(OrderLines[UnitPrice],OrderLines[Qty],OrderLines[DiscountPct],--(OrderLines[OrderID] = OrderLines[[#This Row],[OrderID]]))&gt;40,"High Discount","Ok")</f>
        <v>Ok</v>
      </c>
      <c r="P728">
        <f>OrderLines[[#This Row],[UnitCost]]*OrderLines[[#This Row],[Qty]]</f>
        <v>74.069999999999993</v>
      </c>
      <c r="Q728" s="8">
        <f>OrderLines[[#This Row],[LineNetAmount]]-OrderLines[[#This Row],[Food Cost]]</f>
        <v>83.093600000000038</v>
      </c>
    </row>
    <row r="729" spans="1:17" x14ac:dyDescent="0.3">
      <c r="A729" t="s">
        <v>318</v>
      </c>
      <c r="B729" t="s">
        <v>402</v>
      </c>
      <c r="C729">
        <v>1</v>
      </c>
      <c r="D729" cm="1">
        <f t="array" ref="D729">VLOOKUP(OrderLines[[#This Row],[SKU]:[SKU]],Menu[],MATCH(OrderLines[[#Headers],[UnitPrice]],Menu[#Headers],0),FALSE)</f>
        <v>30.34</v>
      </c>
      <c r="E729" cm="1">
        <f t="array" ref="E729">VLOOKUP(OrderLines[[#This Row],[SKU]:[SKU]],Menu[],MATCH(OrderLines[[#Headers],[UnitCost]],Menu[#Headers],0),FALSE)</f>
        <v>14.18</v>
      </c>
      <c r="F729" t="str" cm="1">
        <f t="array" ref="F729">VLOOKUP(OrderLines[[#This Row],[SKU]:[SKU]],Menu[],MATCH(OrderLines[[#Headers],[Category]],Menu[#Headers],0),FALSE)</f>
        <v>Beverage</v>
      </c>
      <c r="G729" t="str" cm="1">
        <f t="array" ref="G729">_xlfn.TEXTJOIN("+",TRUE,_xlfn._xlws.SORT(_xlfn.UNIQUE(_xlfn._xlws.FILTER(OrderLines[Category],OrderLines[OrderID]=OrderLines[[#This Row],[OrderID]]))))</f>
        <v>Beverage</v>
      </c>
      <c r="H729" s="2" cm="1">
        <f t="array" ref="H729">INT(VLOOKUP(OrderLines[[#This Row],[OrderID]:[OrderID]],Orders[],MATCH(OrderLines[[#Headers],[OrderDateTime]],Orders[#Headers],0),FALSE))</f>
        <v>45869</v>
      </c>
      <c r="I729" t="str" cm="1">
        <f t="array" ref="I729">VLOOKUP(OrderLines[[#This Row],[OrderID]:[OrderID]],Orders[],MATCH(OrderLines[[#Headers],[Branch]],Orders[#Headers],0),FALSE)</f>
        <v>Head Office Café</v>
      </c>
      <c r="J729" cm="1">
        <f t="array" ref="J729">VLOOKUP(OrderLines[[#This Row],[OrderID]:[OrderID]],Orders[],MATCH(OrderLines[[#Headers],[DiscountPct]],Orders[#Headers],0),FALSE)</f>
        <v>0.03</v>
      </c>
      <c r="K729" t="str" cm="1">
        <f t="array" ref="K729">VLOOKUP(OrderLines[[#This Row],[OrderID]:[OrderID]],Orders[],MATCH(OrderLines[[#Headers],[PaymentType]],Orders[#Headers],0),FALSE)</f>
        <v>Cash</v>
      </c>
      <c r="L729" t="str" cm="1">
        <f t="array" ref="L729">VLOOKUP(OrderLines[[#This Row],[OrderID]:[OrderID]],Orders[],MATCH(OrderLines[[#Headers],[Shift]],Orders[#Headers],0),FALSE)</f>
        <v>Breakfast</v>
      </c>
      <c r="M729" s="8">
        <f>(OrderLines[[#This Row],[Qty]]*OrderLines[[#This Row],[UnitPrice]])*(1-OrderLines[[#This Row],[DiscountPct]])</f>
        <v>29.4298</v>
      </c>
      <c r="N729" t="str">
        <f>IF(AND(COUNTIFS(OrderLines[OrderID],OrderLines[[#This Row],[OrderID]],OrderLines[Category],"Hot Meal"),COUNTIFS(OrderLines[OrderID],OrderLines[[#This Row],[OrderID]],OrderLines[Category],"Beverage")),"Combo","Single")</f>
        <v>Single</v>
      </c>
      <c r="O729" s="8" t="str" cm="1">
        <f t="array" ref="O729">IF(SUMPRODUCT(OrderLines[UnitPrice],OrderLines[Qty],OrderLines[DiscountPct],--(OrderLines[OrderID] = OrderLines[[#This Row],[OrderID]]))&gt;40,"High Discount","Ok")</f>
        <v>Ok</v>
      </c>
      <c r="P729">
        <f>OrderLines[[#This Row],[UnitCost]]*OrderLines[[#This Row],[Qty]]</f>
        <v>14.18</v>
      </c>
      <c r="Q729" s="8">
        <f>OrderLines[[#This Row],[LineNetAmount]]-OrderLines[[#This Row],[Food Cost]]</f>
        <v>15.2498</v>
      </c>
    </row>
    <row r="730" spans="1:17" x14ac:dyDescent="0.3">
      <c r="A730" t="s">
        <v>319</v>
      </c>
      <c r="B730" t="s">
        <v>418</v>
      </c>
      <c r="C730">
        <v>2</v>
      </c>
      <c r="D730" cm="1">
        <f t="array" ref="D730">VLOOKUP(OrderLines[[#This Row],[SKU]:[SKU]],Menu[],MATCH(OrderLines[[#Headers],[UnitPrice]],Menu[#Headers],0),FALSE)</f>
        <v>39.950000000000003</v>
      </c>
      <c r="E730" cm="1">
        <f t="array" ref="E730">VLOOKUP(OrderLines[[#This Row],[SKU]:[SKU]],Menu[],MATCH(OrderLines[[#Headers],[UnitCost]],Menu[#Headers],0),FALSE)</f>
        <v>15.51</v>
      </c>
      <c r="F730" t="str" cm="1">
        <f t="array" ref="F730">VLOOKUP(OrderLines[[#This Row],[SKU]:[SKU]],Menu[],MATCH(OrderLines[[#Headers],[Category]],Menu[#Headers],0),FALSE)</f>
        <v>Snack</v>
      </c>
      <c r="G730" t="str" cm="1">
        <f t="array" ref="G730">_xlfn.TEXTJOIN("+",TRUE,_xlfn._xlws.SORT(_xlfn.UNIQUE(_xlfn._xlws.FILTER(OrderLines[Category],OrderLines[OrderID]=OrderLines[[#This Row],[OrderID]]))))</f>
        <v>Beverage+Snack</v>
      </c>
      <c r="H730" s="2" cm="1">
        <f t="array" ref="H730">INT(VLOOKUP(OrderLines[[#This Row],[OrderID]:[OrderID]],Orders[],MATCH(OrderLines[[#Headers],[OrderDateTime]],Orders[#Headers],0),FALSE))</f>
        <v>45855</v>
      </c>
      <c r="I730" t="str" cm="1">
        <f t="array" ref="I730">VLOOKUP(OrderLines[[#This Row],[OrderID]:[OrderID]],Orders[],MATCH(OrderLines[[#Headers],[Branch]],Orders[#Headers],0),FALSE)</f>
        <v>Plant 1 Canteen</v>
      </c>
      <c r="J730" cm="1">
        <f t="array" ref="J730">VLOOKUP(OrderLines[[#This Row],[OrderID]:[OrderID]],Orders[],MATCH(OrderLines[[#Headers],[DiscountPct]],Orders[#Headers],0),FALSE)</f>
        <v>0.14000000000000001</v>
      </c>
      <c r="K730" t="str" cm="1">
        <f t="array" ref="K730">VLOOKUP(OrderLines[[#This Row],[OrderID]:[OrderID]],Orders[],MATCH(OrderLines[[#Headers],[PaymentType]],Orders[#Headers],0),FALSE)</f>
        <v>UPI</v>
      </c>
      <c r="L730" t="str" cm="1">
        <f t="array" ref="L730">VLOOKUP(OrderLines[[#This Row],[OrderID]:[OrderID]],Orders[],MATCH(OrderLines[[#Headers],[Shift]],Orders[#Headers],0),FALSE)</f>
        <v>Lunch</v>
      </c>
      <c r="M730" s="8">
        <f>(OrderLines[[#This Row],[Qty]]*OrderLines[[#This Row],[UnitPrice]])*(1-OrderLines[[#This Row],[DiscountPct]])</f>
        <v>68.713999999999999</v>
      </c>
      <c r="N730" t="str">
        <f>IF(AND(COUNTIFS(OrderLines[OrderID],OrderLines[[#This Row],[OrderID]],OrderLines[Category],"Hot Meal"),COUNTIFS(OrderLines[OrderID],OrderLines[[#This Row],[OrderID]],OrderLines[Category],"Beverage")),"Combo","Single")</f>
        <v>Single</v>
      </c>
      <c r="O730" s="8" t="str" cm="1">
        <f t="array" ref="O730">IF(SUMPRODUCT(OrderLines[UnitPrice],OrderLines[Qty],OrderLines[DiscountPct],--(OrderLines[OrderID] = OrderLines[[#This Row],[OrderID]]))&gt;40,"High Discount","Ok")</f>
        <v>High Discount</v>
      </c>
      <c r="P730">
        <f>OrderLines[[#This Row],[UnitCost]]*OrderLines[[#This Row],[Qty]]</f>
        <v>31.02</v>
      </c>
      <c r="Q730" s="8">
        <f>OrderLines[[#This Row],[LineNetAmount]]-OrderLines[[#This Row],[Food Cost]]</f>
        <v>37.694000000000003</v>
      </c>
    </row>
    <row r="731" spans="1:17" x14ac:dyDescent="0.3">
      <c r="A731" t="s">
        <v>319</v>
      </c>
      <c r="B731" t="s">
        <v>408</v>
      </c>
      <c r="C731">
        <v>3</v>
      </c>
      <c r="D731" cm="1">
        <f t="array" ref="D731">VLOOKUP(OrderLines[[#This Row],[SKU]:[SKU]],Menu[],MATCH(OrderLines[[#Headers],[UnitPrice]],Menu[#Headers],0),FALSE)</f>
        <v>70.540000000000006</v>
      </c>
      <c r="E731" cm="1">
        <f t="array" ref="E731">VLOOKUP(OrderLines[[#This Row],[SKU]:[SKU]],Menu[],MATCH(OrderLines[[#Headers],[UnitCost]],Menu[#Headers],0),FALSE)</f>
        <v>35.81</v>
      </c>
      <c r="F731" t="str" cm="1">
        <f t="array" ref="F731">VLOOKUP(OrderLines[[#This Row],[SKU]:[SKU]],Menu[],MATCH(OrderLines[[#Headers],[Category]],Menu[#Headers],0),FALSE)</f>
        <v>Snack</v>
      </c>
      <c r="G731" t="str" cm="1">
        <f t="array" ref="G731">_xlfn.TEXTJOIN("+",TRUE,_xlfn._xlws.SORT(_xlfn.UNIQUE(_xlfn._xlws.FILTER(OrderLines[Category],OrderLines[OrderID]=OrderLines[[#This Row],[OrderID]]))))</f>
        <v>Beverage+Snack</v>
      </c>
      <c r="H731" s="2" cm="1">
        <f t="array" ref="H731">INT(VLOOKUP(OrderLines[[#This Row],[OrderID]:[OrderID]],Orders[],MATCH(OrderLines[[#Headers],[OrderDateTime]],Orders[#Headers],0),FALSE))</f>
        <v>45855</v>
      </c>
      <c r="I731" t="str" cm="1">
        <f t="array" ref="I731">VLOOKUP(OrderLines[[#This Row],[OrderID]:[OrderID]],Orders[],MATCH(OrderLines[[#Headers],[Branch]],Orders[#Headers],0),FALSE)</f>
        <v>Plant 1 Canteen</v>
      </c>
      <c r="J731" cm="1">
        <f t="array" ref="J731">VLOOKUP(OrderLines[[#This Row],[OrderID]:[OrderID]],Orders[],MATCH(OrderLines[[#Headers],[DiscountPct]],Orders[#Headers],0),FALSE)</f>
        <v>0.14000000000000001</v>
      </c>
      <c r="K731" t="str" cm="1">
        <f t="array" ref="K731">VLOOKUP(OrderLines[[#This Row],[OrderID]:[OrderID]],Orders[],MATCH(OrderLines[[#Headers],[PaymentType]],Orders[#Headers],0),FALSE)</f>
        <v>UPI</v>
      </c>
      <c r="L731" t="str" cm="1">
        <f t="array" ref="L731">VLOOKUP(OrderLines[[#This Row],[OrderID]:[OrderID]],Orders[],MATCH(OrderLines[[#Headers],[Shift]],Orders[#Headers],0),FALSE)</f>
        <v>Lunch</v>
      </c>
      <c r="M731" s="8">
        <f>(OrderLines[[#This Row],[Qty]]*OrderLines[[#This Row],[UnitPrice]])*(1-OrderLines[[#This Row],[DiscountPct]])</f>
        <v>181.9932</v>
      </c>
      <c r="N731" t="str">
        <f>IF(AND(COUNTIFS(OrderLines[OrderID],OrderLines[[#This Row],[OrderID]],OrderLines[Category],"Hot Meal"),COUNTIFS(OrderLines[OrderID],OrderLines[[#This Row],[OrderID]],OrderLines[Category],"Beverage")),"Combo","Single")</f>
        <v>Single</v>
      </c>
      <c r="O731" s="8" t="str" cm="1">
        <f t="array" ref="O731">IF(SUMPRODUCT(OrderLines[UnitPrice],OrderLines[Qty],OrderLines[DiscountPct],--(OrderLines[OrderID] = OrderLines[[#This Row],[OrderID]]))&gt;40,"High Discount","Ok")</f>
        <v>High Discount</v>
      </c>
      <c r="P731">
        <f>OrderLines[[#This Row],[UnitCost]]*OrderLines[[#This Row],[Qty]]</f>
        <v>107.43</v>
      </c>
      <c r="Q731" s="8">
        <f>OrderLines[[#This Row],[LineNetAmount]]-OrderLines[[#This Row],[Food Cost]]</f>
        <v>74.563199999999995</v>
      </c>
    </row>
    <row r="732" spans="1:17" x14ac:dyDescent="0.3">
      <c r="A732" t="s">
        <v>319</v>
      </c>
      <c r="B732" t="s">
        <v>402</v>
      </c>
      <c r="C732">
        <v>1</v>
      </c>
      <c r="D732" cm="1">
        <f t="array" ref="D732">VLOOKUP(OrderLines[[#This Row],[SKU]:[SKU]],Menu[],MATCH(OrderLines[[#Headers],[UnitPrice]],Menu[#Headers],0),FALSE)</f>
        <v>30.34</v>
      </c>
      <c r="E732" cm="1">
        <f t="array" ref="E732">VLOOKUP(OrderLines[[#This Row],[SKU]:[SKU]],Menu[],MATCH(OrderLines[[#Headers],[UnitCost]],Menu[#Headers],0),FALSE)</f>
        <v>14.18</v>
      </c>
      <c r="F732" t="str" cm="1">
        <f t="array" ref="F732">VLOOKUP(OrderLines[[#This Row],[SKU]:[SKU]],Menu[],MATCH(OrderLines[[#Headers],[Category]],Menu[#Headers],0),FALSE)</f>
        <v>Beverage</v>
      </c>
      <c r="G732" t="str" cm="1">
        <f t="array" ref="G732">_xlfn.TEXTJOIN("+",TRUE,_xlfn._xlws.SORT(_xlfn.UNIQUE(_xlfn._xlws.FILTER(OrderLines[Category],OrderLines[OrderID]=OrderLines[[#This Row],[OrderID]]))))</f>
        <v>Beverage+Snack</v>
      </c>
      <c r="H732" s="2" cm="1">
        <f t="array" ref="H732">INT(VLOOKUP(OrderLines[[#This Row],[OrderID]:[OrderID]],Orders[],MATCH(OrderLines[[#Headers],[OrderDateTime]],Orders[#Headers],0),FALSE))</f>
        <v>45855</v>
      </c>
      <c r="I732" t="str" cm="1">
        <f t="array" ref="I732">VLOOKUP(OrderLines[[#This Row],[OrderID]:[OrderID]],Orders[],MATCH(OrderLines[[#Headers],[Branch]],Orders[#Headers],0),FALSE)</f>
        <v>Plant 1 Canteen</v>
      </c>
      <c r="J732" cm="1">
        <f t="array" ref="J732">VLOOKUP(OrderLines[[#This Row],[OrderID]:[OrderID]],Orders[],MATCH(OrderLines[[#Headers],[DiscountPct]],Orders[#Headers],0),FALSE)</f>
        <v>0.14000000000000001</v>
      </c>
      <c r="K732" t="str" cm="1">
        <f t="array" ref="K732">VLOOKUP(OrderLines[[#This Row],[OrderID]:[OrderID]],Orders[],MATCH(OrderLines[[#Headers],[PaymentType]],Orders[#Headers],0),FALSE)</f>
        <v>UPI</v>
      </c>
      <c r="L732" t="str" cm="1">
        <f t="array" ref="L732">VLOOKUP(OrderLines[[#This Row],[OrderID]:[OrderID]],Orders[],MATCH(OrderLines[[#Headers],[Shift]],Orders[#Headers],0),FALSE)</f>
        <v>Lunch</v>
      </c>
      <c r="M732" s="8">
        <f>(OrderLines[[#This Row],[Qty]]*OrderLines[[#This Row],[UnitPrice]])*(1-OrderLines[[#This Row],[DiscountPct]])</f>
        <v>26.092399999999998</v>
      </c>
      <c r="N732" t="str">
        <f>IF(AND(COUNTIFS(OrderLines[OrderID],OrderLines[[#This Row],[OrderID]],OrderLines[Category],"Hot Meal"),COUNTIFS(OrderLines[OrderID],OrderLines[[#This Row],[OrderID]],OrderLines[Category],"Beverage")),"Combo","Single")</f>
        <v>Single</v>
      </c>
      <c r="O732" s="8" t="str" cm="1">
        <f t="array" ref="O732">IF(SUMPRODUCT(OrderLines[UnitPrice],OrderLines[Qty],OrderLines[DiscountPct],--(OrderLines[OrderID] = OrderLines[[#This Row],[OrderID]]))&gt;40,"High Discount","Ok")</f>
        <v>High Discount</v>
      </c>
      <c r="P732">
        <f>OrderLines[[#This Row],[UnitCost]]*OrderLines[[#This Row],[Qty]]</f>
        <v>14.18</v>
      </c>
      <c r="Q732" s="8">
        <f>OrderLines[[#This Row],[LineNetAmount]]-OrderLines[[#This Row],[Food Cost]]</f>
        <v>11.912399999999998</v>
      </c>
    </row>
    <row r="733" spans="1:17" x14ac:dyDescent="0.3">
      <c r="A733" t="s">
        <v>320</v>
      </c>
      <c r="B733" t="s">
        <v>416</v>
      </c>
      <c r="C733">
        <v>3</v>
      </c>
      <c r="D733" cm="1">
        <f t="array" ref="D733">VLOOKUP(OrderLines[[#This Row],[SKU]:[SKU]],Menu[],MATCH(OrderLines[[#Headers],[UnitPrice]],Menu[#Headers],0),FALSE)</f>
        <v>227.61</v>
      </c>
      <c r="E733" cm="1">
        <f t="array" ref="E733">VLOOKUP(OrderLines[[#This Row],[SKU]:[SKU]],Menu[],MATCH(OrderLines[[#Headers],[UnitCost]],Menu[#Headers],0),FALSE)</f>
        <v>96.22</v>
      </c>
      <c r="F733" t="str" cm="1">
        <f t="array" ref="F733">VLOOKUP(OrderLines[[#This Row],[SKU]:[SKU]],Menu[],MATCH(OrderLines[[#Headers],[Category]],Menu[#Headers],0),FALSE)</f>
        <v>Hot Meal</v>
      </c>
      <c r="G733" t="str" cm="1">
        <f t="array" ref="G733">_xlfn.TEXTJOIN("+",TRUE,_xlfn._xlws.SORT(_xlfn.UNIQUE(_xlfn._xlws.FILTER(OrderLines[Category],OrderLines[OrderID]=OrderLines[[#This Row],[OrderID]]))))</f>
        <v>Beverage+Hot Meal+Snack</v>
      </c>
      <c r="H733" s="2" cm="1">
        <f t="array" ref="H733">INT(VLOOKUP(OrderLines[[#This Row],[OrderID]:[OrderID]],Orders[],MATCH(OrderLines[[#Headers],[OrderDateTime]],Orders[#Headers],0),FALSE))</f>
        <v>45890</v>
      </c>
      <c r="I733" t="str" cm="1">
        <f t="array" ref="I733">VLOOKUP(OrderLines[[#This Row],[OrderID]:[OrderID]],Orders[],MATCH(OrderLines[[#Headers],[Branch]],Orders[#Headers],0),FALSE)</f>
        <v>Head Office Café</v>
      </c>
      <c r="J733" cm="1">
        <f t="array" ref="J733">VLOOKUP(OrderLines[[#This Row],[OrderID]:[OrderID]],Orders[],MATCH(OrderLines[[#Headers],[DiscountPct]],Orders[#Headers],0),FALSE)</f>
        <v>0.02</v>
      </c>
      <c r="K733" t="str" cm="1">
        <f t="array" ref="K733">VLOOKUP(OrderLines[[#This Row],[OrderID]:[OrderID]],Orders[],MATCH(OrderLines[[#Headers],[PaymentType]],Orders[#Headers],0),FALSE)</f>
        <v>Card</v>
      </c>
      <c r="L733" t="str" cm="1">
        <f t="array" ref="L733">VLOOKUP(OrderLines[[#This Row],[OrderID]:[OrderID]],Orders[],MATCH(OrderLines[[#Headers],[Shift]],Orders[#Headers],0),FALSE)</f>
        <v>Dinner</v>
      </c>
      <c r="M733" s="8">
        <f>(OrderLines[[#This Row],[Qty]]*OrderLines[[#This Row],[UnitPrice]])*(1-OrderLines[[#This Row],[DiscountPct]])</f>
        <v>669.17340000000002</v>
      </c>
      <c r="N733" t="str">
        <f>IF(AND(COUNTIFS(OrderLines[OrderID],OrderLines[[#This Row],[OrderID]],OrderLines[Category],"Hot Meal"),COUNTIFS(OrderLines[OrderID],OrderLines[[#This Row],[OrderID]],OrderLines[Category],"Beverage")),"Combo","Single")</f>
        <v>Combo</v>
      </c>
      <c r="O733" s="8" t="str" cm="1">
        <f t="array" ref="O733">IF(SUMPRODUCT(OrderLines[UnitPrice],OrderLines[Qty],OrderLines[DiscountPct],--(OrderLines[OrderID] = OrderLines[[#This Row],[OrderID]]))&gt;40,"High Discount","Ok")</f>
        <v>Ok</v>
      </c>
      <c r="P733">
        <f>OrderLines[[#This Row],[UnitCost]]*OrderLines[[#This Row],[Qty]]</f>
        <v>288.65999999999997</v>
      </c>
      <c r="Q733" s="8">
        <f>OrderLines[[#This Row],[LineNetAmount]]-OrderLines[[#This Row],[Food Cost]]</f>
        <v>380.51340000000005</v>
      </c>
    </row>
    <row r="734" spans="1:17" x14ac:dyDescent="0.3">
      <c r="A734" t="s">
        <v>320</v>
      </c>
      <c r="B734" t="s">
        <v>418</v>
      </c>
      <c r="C734">
        <v>2</v>
      </c>
      <c r="D734" cm="1">
        <f t="array" ref="D734">VLOOKUP(OrderLines[[#This Row],[SKU]:[SKU]],Menu[],MATCH(OrderLines[[#Headers],[UnitPrice]],Menu[#Headers],0),FALSE)</f>
        <v>39.950000000000003</v>
      </c>
      <c r="E734" cm="1">
        <f t="array" ref="E734">VLOOKUP(OrderLines[[#This Row],[SKU]:[SKU]],Menu[],MATCH(OrderLines[[#Headers],[UnitCost]],Menu[#Headers],0),FALSE)</f>
        <v>15.51</v>
      </c>
      <c r="F734" t="str" cm="1">
        <f t="array" ref="F734">VLOOKUP(OrderLines[[#This Row],[SKU]:[SKU]],Menu[],MATCH(OrderLines[[#Headers],[Category]],Menu[#Headers],0),FALSE)</f>
        <v>Snack</v>
      </c>
      <c r="G734" t="str" cm="1">
        <f t="array" ref="G734">_xlfn.TEXTJOIN("+",TRUE,_xlfn._xlws.SORT(_xlfn.UNIQUE(_xlfn._xlws.FILTER(OrderLines[Category],OrderLines[OrderID]=OrderLines[[#This Row],[OrderID]]))))</f>
        <v>Beverage+Hot Meal+Snack</v>
      </c>
      <c r="H734" s="2" cm="1">
        <f t="array" ref="H734">INT(VLOOKUP(OrderLines[[#This Row],[OrderID]:[OrderID]],Orders[],MATCH(OrderLines[[#Headers],[OrderDateTime]],Orders[#Headers],0),FALSE))</f>
        <v>45890</v>
      </c>
      <c r="I734" t="str" cm="1">
        <f t="array" ref="I734">VLOOKUP(OrderLines[[#This Row],[OrderID]:[OrderID]],Orders[],MATCH(OrderLines[[#Headers],[Branch]],Orders[#Headers],0),FALSE)</f>
        <v>Head Office Café</v>
      </c>
      <c r="J734" cm="1">
        <f t="array" ref="J734">VLOOKUP(OrderLines[[#This Row],[OrderID]:[OrderID]],Orders[],MATCH(OrderLines[[#Headers],[DiscountPct]],Orders[#Headers],0),FALSE)</f>
        <v>0.02</v>
      </c>
      <c r="K734" t="str" cm="1">
        <f t="array" ref="K734">VLOOKUP(OrderLines[[#This Row],[OrderID]:[OrderID]],Orders[],MATCH(OrderLines[[#Headers],[PaymentType]],Orders[#Headers],0),FALSE)</f>
        <v>Card</v>
      </c>
      <c r="L734" t="str" cm="1">
        <f t="array" ref="L734">VLOOKUP(OrderLines[[#This Row],[OrderID]:[OrderID]],Orders[],MATCH(OrderLines[[#Headers],[Shift]],Orders[#Headers],0),FALSE)</f>
        <v>Dinner</v>
      </c>
      <c r="M734" s="8">
        <f>(OrderLines[[#This Row],[Qty]]*OrderLines[[#This Row],[UnitPrice]])*(1-OrderLines[[#This Row],[DiscountPct]])</f>
        <v>78.302000000000007</v>
      </c>
      <c r="N734" t="str">
        <f>IF(AND(COUNTIFS(OrderLines[OrderID],OrderLines[[#This Row],[OrderID]],OrderLines[Category],"Hot Meal"),COUNTIFS(OrderLines[OrderID],OrderLines[[#This Row],[OrderID]],OrderLines[Category],"Beverage")),"Combo","Single")</f>
        <v>Combo</v>
      </c>
      <c r="O734" s="8" t="str" cm="1">
        <f t="array" ref="O734">IF(SUMPRODUCT(OrderLines[UnitPrice],OrderLines[Qty],OrderLines[DiscountPct],--(OrderLines[OrderID] = OrderLines[[#This Row],[OrderID]]))&gt;40,"High Discount","Ok")</f>
        <v>Ok</v>
      </c>
      <c r="P734">
        <f>OrderLines[[#This Row],[UnitCost]]*OrderLines[[#This Row],[Qty]]</f>
        <v>31.02</v>
      </c>
      <c r="Q734" s="8">
        <f>OrderLines[[#This Row],[LineNetAmount]]-OrderLines[[#This Row],[Food Cost]]</f>
        <v>47.282000000000011</v>
      </c>
    </row>
    <row r="735" spans="1:17" x14ac:dyDescent="0.3">
      <c r="A735" t="s">
        <v>320</v>
      </c>
      <c r="B735" t="s">
        <v>405</v>
      </c>
      <c r="C735">
        <v>2</v>
      </c>
      <c r="D735" cm="1">
        <f t="array" ref="D735">VLOOKUP(OrderLines[[#This Row],[SKU]:[SKU]],Menu[],MATCH(OrderLines[[#Headers],[UnitPrice]],Menu[#Headers],0),FALSE)</f>
        <v>170.83</v>
      </c>
      <c r="E735" cm="1">
        <f t="array" ref="E735">VLOOKUP(OrderLines[[#This Row],[SKU]:[SKU]],Menu[],MATCH(OrderLines[[#Headers],[UnitCost]],Menu[#Headers],0),FALSE)</f>
        <v>74.069999999999993</v>
      </c>
      <c r="F735" t="str" cm="1">
        <f t="array" ref="F735">VLOOKUP(OrderLines[[#This Row],[SKU]:[SKU]],Menu[],MATCH(OrderLines[[#Headers],[Category]],Menu[#Headers],0),FALSE)</f>
        <v>Hot Meal</v>
      </c>
      <c r="G735" t="str" cm="1">
        <f t="array" ref="G735">_xlfn.TEXTJOIN("+",TRUE,_xlfn._xlws.SORT(_xlfn.UNIQUE(_xlfn._xlws.FILTER(OrderLines[Category],OrderLines[OrderID]=OrderLines[[#This Row],[OrderID]]))))</f>
        <v>Beverage+Hot Meal+Snack</v>
      </c>
      <c r="H735" s="2" cm="1">
        <f t="array" ref="H735">INT(VLOOKUP(OrderLines[[#This Row],[OrderID]:[OrderID]],Orders[],MATCH(OrderLines[[#Headers],[OrderDateTime]],Orders[#Headers],0),FALSE))</f>
        <v>45890</v>
      </c>
      <c r="I735" t="str" cm="1">
        <f t="array" ref="I735">VLOOKUP(OrderLines[[#This Row],[OrderID]:[OrderID]],Orders[],MATCH(OrderLines[[#Headers],[Branch]],Orders[#Headers],0),FALSE)</f>
        <v>Head Office Café</v>
      </c>
      <c r="J735" cm="1">
        <f t="array" ref="J735">VLOOKUP(OrderLines[[#This Row],[OrderID]:[OrderID]],Orders[],MATCH(OrderLines[[#Headers],[DiscountPct]],Orders[#Headers],0),FALSE)</f>
        <v>0.02</v>
      </c>
      <c r="K735" t="str" cm="1">
        <f t="array" ref="K735">VLOOKUP(OrderLines[[#This Row],[OrderID]:[OrderID]],Orders[],MATCH(OrderLines[[#Headers],[PaymentType]],Orders[#Headers],0),FALSE)</f>
        <v>Card</v>
      </c>
      <c r="L735" t="str" cm="1">
        <f t="array" ref="L735">VLOOKUP(OrderLines[[#This Row],[OrderID]:[OrderID]],Orders[],MATCH(OrderLines[[#Headers],[Shift]],Orders[#Headers],0),FALSE)</f>
        <v>Dinner</v>
      </c>
      <c r="M735" s="8">
        <f>(OrderLines[[#This Row],[Qty]]*OrderLines[[#This Row],[UnitPrice]])*(1-OrderLines[[#This Row],[DiscountPct]])</f>
        <v>334.82679999999999</v>
      </c>
      <c r="N735" t="str">
        <f>IF(AND(COUNTIFS(OrderLines[OrderID],OrderLines[[#This Row],[OrderID]],OrderLines[Category],"Hot Meal"),COUNTIFS(OrderLines[OrderID],OrderLines[[#This Row],[OrderID]],OrderLines[Category],"Beverage")),"Combo","Single")</f>
        <v>Combo</v>
      </c>
      <c r="O735" s="8" t="str" cm="1">
        <f t="array" ref="O735">IF(SUMPRODUCT(OrderLines[UnitPrice],OrderLines[Qty],OrderLines[DiscountPct],--(OrderLines[OrderID] = OrderLines[[#This Row],[OrderID]]))&gt;40,"High Discount","Ok")</f>
        <v>Ok</v>
      </c>
      <c r="P735">
        <f>OrderLines[[#This Row],[UnitCost]]*OrderLines[[#This Row],[Qty]]</f>
        <v>148.13999999999999</v>
      </c>
      <c r="Q735" s="8">
        <f>OrderLines[[#This Row],[LineNetAmount]]-OrderLines[[#This Row],[Food Cost]]</f>
        <v>186.68680000000001</v>
      </c>
    </row>
    <row r="736" spans="1:17" x14ac:dyDescent="0.3">
      <c r="A736" t="s">
        <v>320</v>
      </c>
      <c r="B736" t="s">
        <v>402</v>
      </c>
      <c r="C736">
        <v>1</v>
      </c>
      <c r="D736" cm="1">
        <f t="array" ref="D736">VLOOKUP(OrderLines[[#This Row],[SKU]:[SKU]],Menu[],MATCH(OrderLines[[#Headers],[UnitPrice]],Menu[#Headers],0),FALSE)</f>
        <v>30.34</v>
      </c>
      <c r="E736" cm="1">
        <f t="array" ref="E736">VLOOKUP(OrderLines[[#This Row],[SKU]:[SKU]],Menu[],MATCH(OrderLines[[#Headers],[UnitCost]],Menu[#Headers],0),FALSE)</f>
        <v>14.18</v>
      </c>
      <c r="F736" t="str" cm="1">
        <f t="array" ref="F736">VLOOKUP(OrderLines[[#This Row],[SKU]:[SKU]],Menu[],MATCH(OrderLines[[#Headers],[Category]],Menu[#Headers],0),FALSE)</f>
        <v>Beverage</v>
      </c>
      <c r="G736" t="str" cm="1">
        <f t="array" ref="G736">_xlfn.TEXTJOIN("+",TRUE,_xlfn._xlws.SORT(_xlfn.UNIQUE(_xlfn._xlws.FILTER(OrderLines[Category],OrderLines[OrderID]=OrderLines[[#This Row],[OrderID]]))))</f>
        <v>Beverage+Hot Meal+Snack</v>
      </c>
      <c r="H736" s="2" cm="1">
        <f t="array" ref="H736">INT(VLOOKUP(OrderLines[[#This Row],[OrderID]:[OrderID]],Orders[],MATCH(OrderLines[[#Headers],[OrderDateTime]],Orders[#Headers],0),FALSE))</f>
        <v>45890</v>
      </c>
      <c r="I736" t="str" cm="1">
        <f t="array" ref="I736">VLOOKUP(OrderLines[[#This Row],[OrderID]:[OrderID]],Orders[],MATCH(OrderLines[[#Headers],[Branch]],Orders[#Headers],0),FALSE)</f>
        <v>Head Office Café</v>
      </c>
      <c r="J736" cm="1">
        <f t="array" ref="J736">VLOOKUP(OrderLines[[#This Row],[OrderID]:[OrderID]],Orders[],MATCH(OrderLines[[#Headers],[DiscountPct]],Orders[#Headers],0),FALSE)</f>
        <v>0.02</v>
      </c>
      <c r="K736" t="str" cm="1">
        <f t="array" ref="K736">VLOOKUP(OrderLines[[#This Row],[OrderID]:[OrderID]],Orders[],MATCH(OrderLines[[#Headers],[PaymentType]],Orders[#Headers],0),FALSE)</f>
        <v>Card</v>
      </c>
      <c r="L736" t="str" cm="1">
        <f t="array" ref="L736">VLOOKUP(OrderLines[[#This Row],[OrderID]:[OrderID]],Orders[],MATCH(OrderLines[[#Headers],[Shift]],Orders[#Headers],0),FALSE)</f>
        <v>Dinner</v>
      </c>
      <c r="M736" s="8">
        <f>(OrderLines[[#This Row],[Qty]]*OrderLines[[#This Row],[UnitPrice]])*(1-OrderLines[[#This Row],[DiscountPct]])</f>
        <v>29.7332</v>
      </c>
      <c r="N736" t="str">
        <f>IF(AND(COUNTIFS(OrderLines[OrderID],OrderLines[[#This Row],[OrderID]],OrderLines[Category],"Hot Meal"),COUNTIFS(OrderLines[OrderID],OrderLines[[#This Row],[OrderID]],OrderLines[Category],"Beverage")),"Combo","Single")</f>
        <v>Combo</v>
      </c>
      <c r="O736" s="8" t="str" cm="1">
        <f t="array" ref="O736">IF(SUMPRODUCT(OrderLines[UnitPrice],OrderLines[Qty],OrderLines[DiscountPct],--(OrderLines[OrderID] = OrderLines[[#This Row],[OrderID]]))&gt;40,"High Discount","Ok")</f>
        <v>Ok</v>
      </c>
      <c r="P736">
        <f>OrderLines[[#This Row],[UnitCost]]*OrderLines[[#This Row],[Qty]]</f>
        <v>14.18</v>
      </c>
      <c r="Q736" s="8">
        <f>OrderLines[[#This Row],[LineNetAmount]]-OrderLines[[#This Row],[Food Cost]]</f>
        <v>15.5532</v>
      </c>
    </row>
    <row r="737" spans="1:17" x14ac:dyDescent="0.3">
      <c r="A737" t="s">
        <v>321</v>
      </c>
      <c r="B737" t="s">
        <v>403</v>
      </c>
      <c r="C737">
        <v>1</v>
      </c>
      <c r="D737" cm="1">
        <f t="array" ref="D737">VLOOKUP(OrderLines[[#This Row],[SKU]:[SKU]],Menu[],MATCH(OrderLines[[#Headers],[UnitPrice]],Menu[#Headers],0),FALSE)</f>
        <v>76.55</v>
      </c>
      <c r="E737" cm="1">
        <f t="array" ref="E737">VLOOKUP(OrderLines[[#This Row],[SKU]:[SKU]],Menu[],MATCH(OrderLines[[#Headers],[UnitCost]],Menu[#Headers],0),FALSE)</f>
        <v>38.229999999999997</v>
      </c>
      <c r="F737" t="str" cm="1">
        <f t="array" ref="F737">VLOOKUP(OrderLines[[#This Row],[SKU]:[SKU]],Menu[],MATCH(OrderLines[[#Headers],[Category]],Menu[#Headers],0),FALSE)</f>
        <v>Dessert</v>
      </c>
      <c r="G737" t="str" cm="1">
        <f t="array" ref="G737">_xlfn.TEXTJOIN("+",TRUE,_xlfn._xlws.SORT(_xlfn.UNIQUE(_xlfn._xlws.FILTER(OrderLines[Category],OrderLines[OrderID]=OrderLines[[#This Row],[OrderID]]))))</f>
        <v>Dessert+Snack</v>
      </c>
      <c r="H737" s="2" cm="1">
        <f t="array" ref="H737">INT(VLOOKUP(OrderLines[[#This Row],[OrderID]:[OrderID]],Orders[],MATCH(OrderLines[[#Headers],[OrderDateTime]],Orders[#Headers],0),FALSE))</f>
        <v>45853</v>
      </c>
      <c r="I737" t="str" cm="1">
        <f t="array" ref="I737">VLOOKUP(OrderLines[[#This Row],[OrderID]:[OrderID]],Orders[],MATCH(OrderLines[[#Headers],[Branch]],Orders[#Headers],0),FALSE)</f>
        <v>Plant 1 Canteen</v>
      </c>
      <c r="J737" cm="1">
        <f t="array" ref="J737">VLOOKUP(OrderLines[[#This Row],[OrderID]:[OrderID]],Orders[],MATCH(OrderLines[[#Headers],[DiscountPct]],Orders[#Headers],0),FALSE)</f>
        <v>0.01</v>
      </c>
      <c r="K737" t="str" cm="1">
        <f t="array" ref="K737">VLOOKUP(OrderLines[[#This Row],[OrderID]:[OrderID]],Orders[],MATCH(OrderLines[[#Headers],[PaymentType]],Orders[#Headers],0),FALSE)</f>
        <v>Cash</v>
      </c>
      <c r="L737" t="str" cm="1">
        <f t="array" ref="L737">VLOOKUP(OrderLines[[#This Row],[OrderID]:[OrderID]],Orders[],MATCH(OrderLines[[#Headers],[Shift]],Orders[#Headers],0),FALSE)</f>
        <v>Lunch</v>
      </c>
      <c r="M737" s="8">
        <f>(OrderLines[[#This Row],[Qty]]*OrderLines[[#This Row],[UnitPrice]])*(1-OrderLines[[#This Row],[DiscountPct]])</f>
        <v>75.784499999999994</v>
      </c>
      <c r="N737" t="str">
        <f>IF(AND(COUNTIFS(OrderLines[OrderID],OrderLines[[#This Row],[OrderID]],OrderLines[Category],"Hot Meal"),COUNTIFS(OrderLines[OrderID],OrderLines[[#This Row],[OrderID]],OrderLines[Category],"Beverage")),"Combo","Single")</f>
        <v>Single</v>
      </c>
      <c r="O737" s="8" t="str" cm="1">
        <f t="array" ref="O737">IF(SUMPRODUCT(OrderLines[UnitPrice],OrderLines[Qty],OrderLines[DiscountPct],--(OrderLines[OrderID] = OrderLines[[#This Row],[OrderID]]))&gt;40,"High Discount","Ok")</f>
        <v>Ok</v>
      </c>
      <c r="P737">
        <f>OrderLines[[#This Row],[UnitCost]]*OrderLines[[#This Row],[Qty]]</f>
        <v>38.229999999999997</v>
      </c>
      <c r="Q737" s="8">
        <f>OrderLines[[#This Row],[LineNetAmount]]-OrderLines[[#This Row],[Food Cost]]</f>
        <v>37.554499999999997</v>
      </c>
    </row>
    <row r="738" spans="1:17" x14ac:dyDescent="0.3">
      <c r="A738" t="s">
        <v>321</v>
      </c>
      <c r="B738" t="s">
        <v>419</v>
      </c>
      <c r="C738">
        <v>3</v>
      </c>
      <c r="D738" cm="1">
        <f t="array" ref="D738">VLOOKUP(OrderLines[[#This Row],[SKU]:[SKU]],Menu[],MATCH(OrderLines[[#Headers],[UnitPrice]],Menu[#Headers],0),FALSE)</f>
        <v>50.19</v>
      </c>
      <c r="E738" cm="1">
        <f t="array" ref="E738">VLOOKUP(OrderLines[[#This Row],[SKU]:[SKU]],Menu[],MATCH(OrderLines[[#Headers],[UnitCost]],Menu[#Headers],0),FALSE)</f>
        <v>22.61</v>
      </c>
      <c r="F738" t="str" cm="1">
        <f t="array" ref="F738">VLOOKUP(OrderLines[[#This Row],[SKU]:[SKU]],Menu[],MATCH(OrderLines[[#Headers],[Category]],Menu[#Headers],0),FALSE)</f>
        <v>Snack</v>
      </c>
      <c r="G738" t="str" cm="1">
        <f t="array" ref="G738">_xlfn.TEXTJOIN("+",TRUE,_xlfn._xlws.SORT(_xlfn.UNIQUE(_xlfn._xlws.FILTER(OrderLines[Category],OrderLines[OrderID]=OrderLines[[#This Row],[OrderID]]))))</f>
        <v>Dessert+Snack</v>
      </c>
      <c r="H738" s="2" cm="1">
        <f t="array" ref="H738">INT(VLOOKUP(OrderLines[[#This Row],[OrderID]:[OrderID]],Orders[],MATCH(OrderLines[[#Headers],[OrderDateTime]],Orders[#Headers],0),FALSE))</f>
        <v>45853</v>
      </c>
      <c r="I738" t="str" cm="1">
        <f t="array" ref="I738">VLOOKUP(OrderLines[[#This Row],[OrderID]:[OrderID]],Orders[],MATCH(OrderLines[[#Headers],[Branch]],Orders[#Headers],0),FALSE)</f>
        <v>Plant 1 Canteen</v>
      </c>
      <c r="J738" cm="1">
        <f t="array" ref="J738">VLOOKUP(OrderLines[[#This Row],[OrderID]:[OrderID]],Orders[],MATCH(OrderLines[[#Headers],[DiscountPct]],Orders[#Headers],0),FALSE)</f>
        <v>0.01</v>
      </c>
      <c r="K738" t="str" cm="1">
        <f t="array" ref="K738">VLOOKUP(OrderLines[[#This Row],[OrderID]:[OrderID]],Orders[],MATCH(OrderLines[[#Headers],[PaymentType]],Orders[#Headers],0),FALSE)</f>
        <v>Cash</v>
      </c>
      <c r="L738" t="str" cm="1">
        <f t="array" ref="L738">VLOOKUP(OrderLines[[#This Row],[OrderID]:[OrderID]],Orders[],MATCH(OrderLines[[#Headers],[Shift]],Orders[#Headers],0),FALSE)</f>
        <v>Lunch</v>
      </c>
      <c r="M738" s="8">
        <f>(OrderLines[[#This Row],[Qty]]*OrderLines[[#This Row],[UnitPrice]])*(1-OrderLines[[#This Row],[DiscountPct]])</f>
        <v>149.0643</v>
      </c>
      <c r="N738" t="str">
        <f>IF(AND(COUNTIFS(OrderLines[OrderID],OrderLines[[#This Row],[OrderID]],OrderLines[Category],"Hot Meal"),COUNTIFS(OrderLines[OrderID],OrderLines[[#This Row],[OrderID]],OrderLines[Category],"Beverage")),"Combo","Single")</f>
        <v>Single</v>
      </c>
      <c r="O738" s="8" t="str" cm="1">
        <f t="array" ref="O738">IF(SUMPRODUCT(OrderLines[UnitPrice],OrderLines[Qty],OrderLines[DiscountPct],--(OrderLines[OrderID] = OrderLines[[#This Row],[OrderID]]))&gt;40,"High Discount","Ok")</f>
        <v>Ok</v>
      </c>
      <c r="P738">
        <f>OrderLines[[#This Row],[UnitCost]]*OrderLines[[#This Row],[Qty]]</f>
        <v>67.83</v>
      </c>
      <c r="Q738" s="8">
        <f>OrderLines[[#This Row],[LineNetAmount]]-OrderLines[[#This Row],[Food Cost]]</f>
        <v>81.234300000000005</v>
      </c>
    </row>
    <row r="739" spans="1:17" x14ac:dyDescent="0.3">
      <c r="A739" t="s">
        <v>321</v>
      </c>
      <c r="B739" t="s">
        <v>401</v>
      </c>
      <c r="C739">
        <v>2</v>
      </c>
      <c r="D739" cm="1">
        <f t="array" ref="D739">VLOOKUP(OrderLines[[#This Row],[SKU]:[SKU]],Menu[],MATCH(OrderLines[[#Headers],[UnitPrice]],Menu[#Headers],0),FALSE)</f>
        <v>52.45</v>
      </c>
      <c r="E739" cm="1">
        <f t="array" ref="E739">VLOOKUP(OrderLines[[#This Row],[SKU]:[SKU]],Menu[],MATCH(OrderLines[[#Headers],[UnitCost]],Menu[#Headers],0),FALSE)</f>
        <v>25.8</v>
      </c>
      <c r="F739" t="str" cm="1">
        <f t="array" ref="F739">VLOOKUP(OrderLines[[#This Row],[SKU]:[SKU]],Menu[],MATCH(OrderLines[[#Headers],[Category]],Menu[#Headers],0),FALSE)</f>
        <v>Snack</v>
      </c>
      <c r="G739" t="str" cm="1">
        <f t="array" ref="G739">_xlfn.TEXTJOIN("+",TRUE,_xlfn._xlws.SORT(_xlfn.UNIQUE(_xlfn._xlws.FILTER(OrderLines[Category],OrderLines[OrderID]=OrderLines[[#This Row],[OrderID]]))))</f>
        <v>Dessert+Snack</v>
      </c>
      <c r="H739" s="2" cm="1">
        <f t="array" ref="H739">INT(VLOOKUP(OrderLines[[#This Row],[OrderID]:[OrderID]],Orders[],MATCH(OrderLines[[#Headers],[OrderDateTime]],Orders[#Headers],0),FALSE))</f>
        <v>45853</v>
      </c>
      <c r="I739" t="str" cm="1">
        <f t="array" ref="I739">VLOOKUP(OrderLines[[#This Row],[OrderID]:[OrderID]],Orders[],MATCH(OrderLines[[#Headers],[Branch]],Orders[#Headers],0),FALSE)</f>
        <v>Plant 1 Canteen</v>
      </c>
      <c r="J739" cm="1">
        <f t="array" ref="J739">VLOOKUP(OrderLines[[#This Row],[OrderID]:[OrderID]],Orders[],MATCH(OrderLines[[#Headers],[DiscountPct]],Orders[#Headers],0),FALSE)</f>
        <v>0.01</v>
      </c>
      <c r="K739" t="str" cm="1">
        <f t="array" ref="K739">VLOOKUP(OrderLines[[#This Row],[OrderID]:[OrderID]],Orders[],MATCH(OrderLines[[#Headers],[PaymentType]],Orders[#Headers],0),FALSE)</f>
        <v>Cash</v>
      </c>
      <c r="L739" t="str" cm="1">
        <f t="array" ref="L739">VLOOKUP(OrderLines[[#This Row],[OrderID]:[OrderID]],Orders[],MATCH(OrderLines[[#Headers],[Shift]],Orders[#Headers],0),FALSE)</f>
        <v>Lunch</v>
      </c>
      <c r="M739" s="8">
        <f>(OrderLines[[#This Row],[Qty]]*OrderLines[[#This Row],[UnitPrice]])*(1-OrderLines[[#This Row],[DiscountPct]])</f>
        <v>103.851</v>
      </c>
      <c r="N739" t="str">
        <f>IF(AND(COUNTIFS(OrderLines[OrderID],OrderLines[[#This Row],[OrderID]],OrderLines[Category],"Hot Meal"),COUNTIFS(OrderLines[OrderID],OrderLines[[#This Row],[OrderID]],OrderLines[Category],"Beverage")),"Combo","Single")</f>
        <v>Single</v>
      </c>
      <c r="O739" s="8" t="str" cm="1">
        <f t="array" ref="O739">IF(SUMPRODUCT(OrderLines[UnitPrice],OrderLines[Qty],OrderLines[DiscountPct],--(OrderLines[OrderID] = OrderLines[[#This Row],[OrderID]]))&gt;40,"High Discount","Ok")</f>
        <v>Ok</v>
      </c>
      <c r="P739">
        <f>OrderLines[[#This Row],[UnitCost]]*OrderLines[[#This Row],[Qty]]</f>
        <v>51.6</v>
      </c>
      <c r="Q739" s="8">
        <f>OrderLines[[#This Row],[LineNetAmount]]-OrderLines[[#This Row],[Food Cost]]</f>
        <v>52.250999999999998</v>
      </c>
    </row>
    <row r="740" spans="1:17" x14ac:dyDescent="0.3">
      <c r="A740" t="s">
        <v>322</v>
      </c>
      <c r="B740" t="s">
        <v>413</v>
      </c>
      <c r="C740">
        <v>1</v>
      </c>
      <c r="D740" cm="1">
        <f t="array" ref="D740">VLOOKUP(OrderLines[[#This Row],[SKU]:[SKU]],Menu[],MATCH(OrderLines[[#Headers],[UnitPrice]],Menu[#Headers],0),FALSE)</f>
        <v>54.2</v>
      </c>
      <c r="E740" cm="1">
        <f t="array" ref="E740">VLOOKUP(OrderLines[[#This Row],[SKU]:[SKU]],Menu[],MATCH(OrderLines[[#Headers],[UnitCost]],Menu[#Headers],0),FALSE)</f>
        <v>21.95</v>
      </c>
      <c r="F740" t="str" cm="1">
        <f t="array" ref="F740">VLOOKUP(OrderLines[[#This Row],[SKU]:[SKU]],Menu[],MATCH(OrderLines[[#Headers],[Category]],Menu[#Headers],0),FALSE)</f>
        <v>Dessert</v>
      </c>
      <c r="G740" t="str" cm="1">
        <f t="array" ref="G740">_xlfn.TEXTJOIN("+",TRUE,_xlfn._xlws.SORT(_xlfn.UNIQUE(_xlfn._xlws.FILTER(OrderLines[Category],OrderLines[OrderID]=OrderLines[[#This Row],[OrderID]]))))</f>
        <v>Dessert+Hot Meal+Snack</v>
      </c>
      <c r="H740" s="2" cm="1">
        <f t="array" ref="H740">INT(VLOOKUP(OrderLines[[#This Row],[OrderID]:[OrderID]],Orders[],MATCH(OrderLines[[#Headers],[OrderDateTime]],Orders[#Headers],0),FALSE))</f>
        <v>45858</v>
      </c>
      <c r="I740" t="str" cm="1">
        <f t="array" ref="I740">VLOOKUP(OrderLines[[#This Row],[OrderID]:[OrderID]],Orders[],MATCH(OrderLines[[#Headers],[Branch]],Orders[#Headers],0),FALSE)</f>
        <v>Plant 1 Canteen</v>
      </c>
      <c r="J740" cm="1">
        <f t="array" ref="J740">VLOOKUP(OrderLines[[#This Row],[OrderID]:[OrderID]],Orders[],MATCH(OrderLines[[#Headers],[DiscountPct]],Orders[#Headers],0),FALSE)</f>
        <v>0.11</v>
      </c>
      <c r="K740" t="str" cm="1">
        <f t="array" ref="K740">VLOOKUP(OrderLines[[#This Row],[OrderID]:[OrderID]],Orders[],MATCH(OrderLines[[#Headers],[PaymentType]],Orders[#Headers],0),FALSE)</f>
        <v>Cash</v>
      </c>
      <c r="L740" t="str" cm="1">
        <f t="array" ref="L740">VLOOKUP(OrderLines[[#This Row],[OrderID]:[OrderID]],Orders[],MATCH(OrderLines[[#Headers],[Shift]],Orders[#Headers],0),FALSE)</f>
        <v>Breakfast</v>
      </c>
      <c r="M740" s="8">
        <f>(OrderLines[[#This Row],[Qty]]*OrderLines[[#This Row],[UnitPrice]])*(1-OrderLines[[#This Row],[DiscountPct]])</f>
        <v>48.238000000000007</v>
      </c>
      <c r="N740" t="str">
        <f>IF(AND(COUNTIFS(OrderLines[OrderID],OrderLines[[#This Row],[OrderID]],OrderLines[Category],"Hot Meal"),COUNTIFS(OrderLines[OrderID],OrderLines[[#This Row],[OrderID]],OrderLines[Category],"Beverage")),"Combo","Single")</f>
        <v>Single</v>
      </c>
      <c r="O740" s="8" t="str" cm="1">
        <f t="array" ref="O740">IF(SUMPRODUCT(OrderLines[UnitPrice],OrderLines[Qty],OrderLines[DiscountPct],--(OrderLines[OrderID] = OrderLines[[#This Row],[OrderID]]))&gt;40,"High Discount","Ok")</f>
        <v>High Discount</v>
      </c>
      <c r="P740">
        <f>OrderLines[[#This Row],[UnitCost]]*OrderLines[[#This Row],[Qty]]</f>
        <v>21.95</v>
      </c>
      <c r="Q740" s="8">
        <f>OrderLines[[#This Row],[LineNetAmount]]-OrderLines[[#This Row],[Food Cost]]</f>
        <v>26.288000000000007</v>
      </c>
    </row>
    <row r="741" spans="1:17" x14ac:dyDescent="0.3">
      <c r="A741" t="s">
        <v>322</v>
      </c>
      <c r="B741" t="s">
        <v>401</v>
      </c>
      <c r="C741">
        <v>1</v>
      </c>
      <c r="D741" cm="1">
        <f t="array" ref="D741">VLOOKUP(OrderLines[[#This Row],[SKU]:[SKU]],Menu[],MATCH(OrderLines[[#Headers],[UnitPrice]],Menu[#Headers],0),FALSE)</f>
        <v>52.45</v>
      </c>
      <c r="E741" cm="1">
        <f t="array" ref="E741">VLOOKUP(OrderLines[[#This Row],[SKU]:[SKU]],Menu[],MATCH(OrderLines[[#Headers],[UnitCost]],Menu[#Headers],0),FALSE)</f>
        <v>25.8</v>
      </c>
      <c r="F741" t="str" cm="1">
        <f t="array" ref="F741">VLOOKUP(OrderLines[[#This Row],[SKU]:[SKU]],Menu[],MATCH(OrderLines[[#Headers],[Category]],Menu[#Headers],0),FALSE)</f>
        <v>Snack</v>
      </c>
      <c r="G741" t="str" cm="1">
        <f t="array" ref="G741">_xlfn.TEXTJOIN("+",TRUE,_xlfn._xlws.SORT(_xlfn.UNIQUE(_xlfn._xlws.FILTER(OrderLines[Category],OrderLines[OrderID]=OrderLines[[#This Row],[OrderID]]))))</f>
        <v>Dessert+Hot Meal+Snack</v>
      </c>
      <c r="H741" s="2" cm="1">
        <f t="array" ref="H741">INT(VLOOKUP(OrderLines[[#This Row],[OrderID]:[OrderID]],Orders[],MATCH(OrderLines[[#Headers],[OrderDateTime]],Orders[#Headers],0),FALSE))</f>
        <v>45858</v>
      </c>
      <c r="I741" t="str" cm="1">
        <f t="array" ref="I741">VLOOKUP(OrderLines[[#This Row],[OrderID]:[OrderID]],Orders[],MATCH(OrderLines[[#Headers],[Branch]],Orders[#Headers],0),FALSE)</f>
        <v>Plant 1 Canteen</v>
      </c>
      <c r="J741" cm="1">
        <f t="array" ref="J741">VLOOKUP(OrderLines[[#This Row],[OrderID]:[OrderID]],Orders[],MATCH(OrderLines[[#Headers],[DiscountPct]],Orders[#Headers],0),FALSE)</f>
        <v>0.11</v>
      </c>
      <c r="K741" t="str" cm="1">
        <f t="array" ref="K741">VLOOKUP(OrderLines[[#This Row],[OrderID]:[OrderID]],Orders[],MATCH(OrderLines[[#Headers],[PaymentType]],Orders[#Headers],0),FALSE)</f>
        <v>Cash</v>
      </c>
      <c r="L741" t="str" cm="1">
        <f t="array" ref="L741">VLOOKUP(OrderLines[[#This Row],[OrderID]:[OrderID]],Orders[],MATCH(OrderLines[[#Headers],[Shift]],Orders[#Headers],0),FALSE)</f>
        <v>Breakfast</v>
      </c>
      <c r="M741" s="8">
        <f>(OrderLines[[#This Row],[Qty]]*OrderLines[[#This Row],[UnitPrice]])*(1-OrderLines[[#This Row],[DiscountPct]])</f>
        <v>46.680500000000002</v>
      </c>
      <c r="N741" t="str">
        <f>IF(AND(COUNTIFS(OrderLines[OrderID],OrderLines[[#This Row],[OrderID]],OrderLines[Category],"Hot Meal"),COUNTIFS(OrderLines[OrderID],OrderLines[[#This Row],[OrderID]],OrderLines[Category],"Beverage")),"Combo","Single")</f>
        <v>Single</v>
      </c>
      <c r="O741" s="8" t="str" cm="1">
        <f t="array" ref="O741">IF(SUMPRODUCT(OrderLines[UnitPrice],OrderLines[Qty],OrderLines[DiscountPct],--(OrderLines[OrderID] = OrderLines[[#This Row],[OrderID]]))&gt;40,"High Discount","Ok")</f>
        <v>High Discount</v>
      </c>
      <c r="P741">
        <f>OrderLines[[#This Row],[UnitCost]]*OrderLines[[#This Row],[Qty]]</f>
        <v>25.8</v>
      </c>
      <c r="Q741" s="8">
        <f>OrderLines[[#This Row],[LineNetAmount]]-OrderLines[[#This Row],[Food Cost]]</f>
        <v>20.880500000000001</v>
      </c>
    </row>
    <row r="742" spans="1:17" x14ac:dyDescent="0.3">
      <c r="A742" t="s">
        <v>322</v>
      </c>
      <c r="B742" t="s">
        <v>405</v>
      </c>
      <c r="C742">
        <v>1</v>
      </c>
      <c r="D742" cm="1">
        <f t="array" ref="D742">VLOOKUP(OrderLines[[#This Row],[SKU]:[SKU]],Menu[],MATCH(OrderLines[[#Headers],[UnitPrice]],Menu[#Headers],0),FALSE)</f>
        <v>170.83</v>
      </c>
      <c r="E742" cm="1">
        <f t="array" ref="E742">VLOOKUP(OrderLines[[#This Row],[SKU]:[SKU]],Menu[],MATCH(OrderLines[[#Headers],[UnitCost]],Menu[#Headers],0),FALSE)</f>
        <v>74.069999999999993</v>
      </c>
      <c r="F742" t="str" cm="1">
        <f t="array" ref="F742">VLOOKUP(OrderLines[[#This Row],[SKU]:[SKU]],Menu[],MATCH(OrderLines[[#Headers],[Category]],Menu[#Headers],0),FALSE)</f>
        <v>Hot Meal</v>
      </c>
      <c r="G742" t="str" cm="1">
        <f t="array" ref="G742">_xlfn.TEXTJOIN("+",TRUE,_xlfn._xlws.SORT(_xlfn.UNIQUE(_xlfn._xlws.FILTER(OrderLines[Category],OrderLines[OrderID]=OrderLines[[#This Row],[OrderID]]))))</f>
        <v>Dessert+Hot Meal+Snack</v>
      </c>
      <c r="H742" s="2" cm="1">
        <f t="array" ref="H742">INT(VLOOKUP(OrderLines[[#This Row],[OrderID]:[OrderID]],Orders[],MATCH(OrderLines[[#Headers],[OrderDateTime]],Orders[#Headers],0),FALSE))</f>
        <v>45858</v>
      </c>
      <c r="I742" t="str" cm="1">
        <f t="array" ref="I742">VLOOKUP(OrderLines[[#This Row],[OrderID]:[OrderID]],Orders[],MATCH(OrderLines[[#Headers],[Branch]],Orders[#Headers],0),FALSE)</f>
        <v>Plant 1 Canteen</v>
      </c>
      <c r="J742" cm="1">
        <f t="array" ref="J742">VLOOKUP(OrderLines[[#This Row],[OrderID]:[OrderID]],Orders[],MATCH(OrderLines[[#Headers],[DiscountPct]],Orders[#Headers],0),FALSE)</f>
        <v>0.11</v>
      </c>
      <c r="K742" t="str" cm="1">
        <f t="array" ref="K742">VLOOKUP(OrderLines[[#This Row],[OrderID]:[OrderID]],Orders[],MATCH(OrderLines[[#Headers],[PaymentType]],Orders[#Headers],0),FALSE)</f>
        <v>Cash</v>
      </c>
      <c r="L742" t="str" cm="1">
        <f t="array" ref="L742">VLOOKUP(OrderLines[[#This Row],[OrderID]:[OrderID]],Orders[],MATCH(OrderLines[[#Headers],[Shift]],Orders[#Headers],0),FALSE)</f>
        <v>Breakfast</v>
      </c>
      <c r="M742" s="8">
        <f>(OrderLines[[#This Row],[Qty]]*OrderLines[[#This Row],[UnitPrice]])*(1-OrderLines[[#This Row],[DiscountPct]])</f>
        <v>152.03870000000001</v>
      </c>
      <c r="N742" t="str">
        <f>IF(AND(COUNTIFS(OrderLines[OrderID],OrderLines[[#This Row],[OrderID]],OrderLines[Category],"Hot Meal"),COUNTIFS(OrderLines[OrderID],OrderLines[[#This Row],[OrderID]],OrderLines[Category],"Beverage")),"Combo","Single")</f>
        <v>Single</v>
      </c>
      <c r="O742" s="8" t="str" cm="1">
        <f t="array" ref="O742">IF(SUMPRODUCT(OrderLines[UnitPrice],OrderLines[Qty],OrderLines[DiscountPct],--(OrderLines[OrderID] = OrderLines[[#This Row],[OrderID]]))&gt;40,"High Discount","Ok")</f>
        <v>High Discount</v>
      </c>
      <c r="P742">
        <f>OrderLines[[#This Row],[UnitCost]]*OrderLines[[#This Row],[Qty]]</f>
        <v>74.069999999999993</v>
      </c>
      <c r="Q742" s="8">
        <f>OrderLines[[#This Row],[LineNetAmount]]-OrderLines[[#This Row],[Food Cost]]</f>
        <v>77.968700000000013</v>
      </c>
    </row>
    <row r="743" spans="1:17" x14ac:dyDescent="0.3">
      <c r="A743" t="s">
        <v>322</v>
      </c>
      <c r="B743" t="s">
        <v>419</v>
      </c>
      <c r="C743">
        <v>3</v>
      </c>
      <c r="D743" cm="1">
        <f t="array" ref="D743">VLOOKUP(OrderLines[[#This Row],[SKU]:[SKU]],Menu[],MATCH(OrderLines[[#Headers],[UnitPrice]],Menu[#Headers],0),FALSE)</f>
        <v>50.19</v>
      </c>
      <c r="E743" cm="1">
        <f t="array" ref="E743">VLOOKUP(OrderLines[[#This Row],[SKU]:[SKU]],Menu[],MATCH(OrderLines[[#Headers],[UnitCost]],Menu[#Headers],0),FALSE)</f>
        <v>22.61</v>
      </c>
      <c r="F743" t="str" cm="1">
        <f t="array" ref="F743">VLOOKUP(OrderLines[[#This Row],[SKU]:[SKU]],Menu[],MATCH(OrderLines[[#Headers],[Category]],Menu[#Headers],0),FALSE)</f>
        <v>Snack</v>
      </c>
      <c r="G743" t="str" cm="1">
        <f t="array" ref="G743">_xlfn.TEXTJOIN("+",TRUE,_xlfn._xlws.SORT(_xlfn.UNIQUE(_xlfn._xlws.FILTER(OrderLines[Category],OrderLines[OrderID]=OrderLines[[#This Row],[OrderID]]))))</f>
        <v>Dessert+Hot Meal+Snack</v>
      </c>
      <c r="H743" s="2" cm="1">
        <f t="array" ref="H743">INT(VLOOKUP(OrderLines[[#This Row],[OrderID]:[OrderID]],Orders[],MATCH(OrderLines[[#Headers],[OrderDateTime]],Orders[#Headers],0),FALSE))</f>
        <v>45858</v>
      </c>
      <c r="I743" t="str" cm="1">
        <f t="array" ref="I743">VLOOKUP(OrderLines[[#This Row],[OrderID]:[OrderID]],Orders[],MATCH(OrderLines[[#Headers],[Branch]],Orders[#Headers],0),FALSE)</f>
        <v>Plant 1 Canteen</v>
      </c>
      <c r="J743" cm="1">
        <f t="array" ref="J743">VLOOKUP(OrderLines[[#This Row],[OrderID]:[OrderID]],Orders[],MATCH(OrderLines[[#Headers],[DiscountPct]],Orders[#Headers],0),FALSE)</f>
        <v>0.11</v>
      </c>
      <c r="K743" t="str" cm="1">
        <f t="array" ref="K743">VLOOKUP(OrderLines[[#This Row],[OrderID]:[OrderID]],Orders[],MATCH(OrderLines[[#Headers],[PaymentType]],Orders[#Headers],0),FALSE)</f>
        <v>Cash</v>
      </c>
      <c r="L743" t="str" cm="1">
        <f t="array" ref="L743">VLOOKUP(OrderLines[[#This Row],[OrderID]:[OrderID]],Orders[],MATCH(OrderLines[[#Headers],[Shift]],Orders[#Headers],0),FALSE)</f>
        <v>Breakfast</v>
      </c>
      <c r="M743" s="8">
        <f>(OrderLines[[#This Row],[Qty]]*OrderLines[[#This Row],[UnitPrice]])*(1-OrderLines[[#This Row],[DiscountPct]])</f>
        <v>134.00729999999999</v>
      </c>
      <c r="N743" t="str">
        <f>IF(AND(COUNTIFS(OrderLines[OrderID],OrderLines[[#This Row],[OrderID]],OrderLines[Category],"Hot Meal"),COUNTIFS(OrderLines[OrderID],OrderLines[[#This Row],[OrderID]],OrderLines[Category],"Beverage")),"Combo","Single")</f>
        <v>Single</v>
      </c>
      <c r="O743" s="8" t="str" cm="1">
        <f t="array" ref="O743">IF(SUMPRODUCT(OrderLines[UnitPrice],OrderLines[Qty],OrderLines[DiscountPct],--(OrderLines[OrderID] = OrderLines[[#This Row],[OrderID]]))&gt;40,"High Discount","Ok")</f>
        <v>High Discount</v>
      </c>
      <c r="P743">
        <f>OrderLines[[#This Row],[UnitCost]]*OrderLines[[#This Row],[Qty]]</f>
        <v>67.83</v>
      </c>
      <c r="Q743" s="8">
        <f>OrderLines[[#This Row],[LineNetAmount]]-OrderLines[[#This Row],[Food Cost]]</f>
        <v>66.177299999999988</v>
      </c>
    </row>
    <row r="744" spans="1:17" x14ac:dyDescent="0.3">
      <c r="A744" t="s">
        <v>323</v>
      </c>
      <c r="B744" t="s">
        <v>403</v>
      </c>
      <c r="C744">
        <v>2</v>
      </c>
      <c r="D744" cm="1">
        <f t="array" ref="D744">VLOOKUP(OrderLines[[#This Row],[SKU]:[SKU]],Menu[],MATCH(OrderLines[[#Headers],[UnitPrice]],Menu[#Headers],0),FALSE)</f>
        <v>76.55</v>
      </c>
      <c r="E744" cm="1">
        <f t="array" ref="E744">VLOOKUP(OrderLines[[#This Row],[SKU]:[SKU]],Menu[],MATCH(OrderLines[[#Headers],[UnitCost]],Menu[#Headers],0),FALSE)</f>
        <v>38.229999999999997</v>
      </c>
      <c r="F744" t="str" cm="1">
        <f t="array" ref="F744">VLOOKUP(OrderLines[[#This Row],[SKU]:[SKU]],Menu[],MATCH(OrderLines[[#Headers],[Category]],Menu[#Headers],0),FALSE)</f>
        <v>Dessert</v>
      </c>
      <c r="G744" t="str" cm="1">
        <f t="array" ref="G744">_xlfn.TEXTJOIN("+",TRUE,_xlfn._xlws.SORT(_xlfn.UNIQUE(_xlfn._xlws.FILTER(OrderLines[Category],OrderLines[OrderID]=OrderLines[[#This Row],[OrderID]]))))</f>
        <v>Dessert+Hot Meal</v>
      </c>
      <c r="H744" s="2" cm="1">
        <f t="array" ref="H744">INT(VLOOKUP(OrderLines[[#This Row],[OrderID]:[OrderID]],Orders[],MATCH(OrderLines[[#Headers],[OrderDateTime]],Orders[#Headers],0),FALSE))</f>
        <v>45856</v>
      </c>
      <c r="I744" t="str" cm="1">
        <f t="array" ref="I744">VLOOKUP(OrderLines[[#This Row],[OrderID]:[OrderID]],Orders[],MATCH(OrderLines[[#Headers],[Branch]],Orders[#Headers],0),FALSE)</f>
        <v>Head Office Café</v>
      </c>
      <c r="J744" cm="1">
        <f t="array" ref="J744">VLOOKUP(OrderLines[[#This Row],[OrderID]:[OrderID]],Orders[],MATCH(OrderLines[[#Headers],[DiscountPct]],Orders[#Headers],0),FALSE)</f>
        <v>0.09</v>
      </c>
      <c r="K744" t="str" cm="1">
        <f t="array" ref="K744">VLOOKUP(OrderLines[[#This Row],[OrderID]:[OrderID]],Orders[],MATCH(OrderLines[[#Headers],[PaymentType]],Orders[#Headers],0),FALSE)</f>
        <v>Card</v>
      </c>
      <c r="L744" t="str" cm="1">
        <f t="array" ref="L744">VLOOKUP(OrderLines[[#This Row],[OrderID]:[OrderID]],Orders[],MATCH(OrderLines[[#Headers],[Shift]],Orders[#Headers],0),FALSE)</f>
        <v>Breakfast</v>
      </c>
      <c r="M744" s="8">
        <f>(OrderLines[[#This Row],[Qty]]*OrderLines[[#This Row],[UnitPrice]])*(1-OrderLines[[#This Row],[DiscountPct]])</f>
        <v>139.321</v>
      </c>
      <c r="N744" t="str">
        <f>IF(AND(COUNTIFS(OrderLines[OrderID],OrderLines[[#This Row],[OrderID]],OrderLines[Category],"Hot Meal"),COUNTIFS(OrderLines[OrderID],OrderLines[[#This Row],[OrderID]],OrderLines[Category],"Beverage")),"Combo","Single")</f>
        <v>Single</v>
      </c>
      <c r="O744" s="8" t="str" cm="1">
        <f t="array" ref="O744">IF(SUMPRODUCT(OrderLines[UnitPrice],OrderLines[Qty],OrderLines[DiscountPct],--(OrderLines[OrderID] = OrderLines[[#This Row],[OrderID]]))&gt;40,"High Discount","Ok")</f>
        <v>Ok</v>
      </c>
      <c r="P744">
        <f>OrderLines[[#This Row],[UnitCost]]*OrderLines[[#This Row],[Qty]]</f>
        <v>76.459999999999994</v>
      </c>
      <c r="Q744" s="8">
        <f>OrderLines[[#This Row],[LineNetAmount]]-OrderLines[[#This Row],[Food Cost]]</f>
        <v>62.861000000000004</v>
      </c>
    </row>
    <row r="745" spans="1:17" x14ac:dyDescent="0.3">
      <c r="A745" t="s">
        <v>323</v>
      </c>
      <c r="B745" t="s">
        <v>405</v>
      </c>
      <c r="C745">
        <v>1</v>
      </c>
      <c r="D745" cm="1">
        <f t="array" ref="D745">VLOOKUP(OrderLines[[#This Row],[SKU]:[SKU]],Menu[],MATCH(OrderLines[[#Headers],[UnitPrice]],Menu[#Headers],0),FALSE)</f>
        <v>170.83</v>
      </c>
      <c r="E745" cm="1">
        <f t="array" ref="E745">VLOOKUP(OrderLines[[#This Row],[SKU]:[SKU]],Menu[],MATCH(OrderLines[[#Headers],[UnitCost]],Menu[#Headers],0),FALSE)</f>
        <v>74.069999999999993</v>
      </c>
      <c r="F745" t="str" cm="1">
        <f t="array" ref="F745">VLOOKUP(OrderLines[[#This Row],[SKU]:[SKU]],Menu[],MATCH(OrderLines[[#Headers],[Category]],Menu[#Headers],0),FALSE)</f>
        <v>Hot Meal</v>
      </c>
      <c r="G745" t="str" cm="1">
        <f t="array" ref="G745">_xlfn.TEXTJOIN("+",TRUE,_xlfn._xlws.SORT(_xlfn.UNIQUE(_xlfn._xlws.FILTER(OrderLines[Category],OrderLines[OrderID]=OrderLines[[#This Row],[OrderID]]))))</f>
        <v>Dessert+Hot Meal</v>
      </c>
      <c r="H745" s="2" cm="1">
        <f t="array" ref="H745">INT(VLOOKUP(OrderLines[[#This Row],[OrderID]:[OrderID]],Orders[],MATCH(OrderLines[[#Headers],[OrderDateTime]],Orders[#Headers],0),FALSE))</f>
        <v>45856</v>
      </c>
      <c r="I745" t="str" cm="1">
        <f t="array" ref="I745">VLOOKUP(OrderLines[[#This Row],[OrderID]:[OrderID]],Orders[],MATCH(OrderLines[[#Headers],[Branch]],Orders[#Headers],0),FALSE)</f>
        <v>Head Office Café</v>
      </c>
      <c r="J745" cm="1">
        <f t="array" ref="J745">VLOOKUP(OrderLines[[#This Row],[OrderID]:[OrderID]],Orders[],MATCH(OrderLines[[#Headers],[DiscountPct]],Orders[#Headers],0),FALSE)</f>
        <v>0.09</v>
      </c>
      <c r="K745" t="str" cm="1">
        <f t="array" ref="K745">VLOOKUP(OrderLines[[#This Row],[OrderID]:[OrderID]],Orders[],MATCH(OrderLines[[#Headers],[PaymentType]],Orders[#Headers],0),FALSE)</f>
        <v>Card</v>
      </c>
      <c r="L745" t="str" cm="1">
        <f t="array" ref="L745">VLOOKUP(OrderLines[[#This Row],[OrderID]:[OrderID]],Orders[],MATCH(OrderLines[[#Headers],[Shift]],Orders[#Headers],0),FALSE)</f>
        <v>Breakfast</v>
      </c>
      <c r="M745" s="8">
        <f>(OrderLines[[#This Row],[Qty]]*OrderLines[[#This Row],[UnitPrice]])*(1-OrderLines[[#This Row],[DiscountPct]])</f>
        <v>155.45530000000002</v>
      </c>
      <c r="N745" t="str">
        <f>IF(AND(COUNTIFS(OrderLines[OrderID],OrderLines[[#This Row],[OrderID]],OrderLines[Category],"Hot Meal"),COUNTIFS(OrderLines[OrderID],OrderLines[[#This Row],[OrderID]],OrderLines[Category],"Beverage")),"Combo","Single")</f>
        <v>Single</v>
      </c>
      <c r="O745" s="8" t="str" cm="1">
        <f t="array" ref="O745">IF(SUMPRODUCT(OrderLines[UnitPrice],OrderLines[Qty],OrderLines[DiscountPct],--(OrderLines[OrderID] = OrderLines[[#This Row],[OrderID]]))&gt;40,"High Discount","Ok")</f>
        <v>Ok</v>
      </c>
      <c r="P745">
        <f>OrderLines[[#This Row],[UnitCost]]*OrderLines[[#This Row],[Qty]]</f>
        <v>74.069999999999993</v>
      </c>
      <c r="Q745" s="8">
        <f>OrderLines[[#This Row],[LineNetAmount]]-OrderLines[[#This Row],[Food Cost]]</f>
        <v>81.385300000000029</v>
      </c>
    </row>
    <row r="746" spans="1:17" x14ac:dyDescent="0.3">
      <c r="A746" t="s">
        <v>324</v>
      </c>
      <c r="B746" t="s">
        <v>417</v>
      </c>
      <c r="C746">
        <v>1</v>
      </c>
      <c r="D746" cm="1">
        <f t="array" ref="D746">VLOOKUP(OrderLines[[#This Row],[SKU]:[SKU]],Menu[],MATCH(OrderLines[[#Headers],[UnitPrice]],Menu[#Headers],0),FALSE)</f>
        <v>146.4</v>
      </c>
      <c r="E746" cm="1">
        <f t="array" ref="E746">VLOOKUP(OrderLines[[#This Row],[SKU]:[SKU]],Menu[],MATCH(OrderLines[[#Headers],[UnitCost]],Menu[#Headers],0),FALSE)</f>
        <v>80.92</v>
      </c>
      <c r="F746" t="str" cm="1">
        <f t="array" ref="F746">VLOOKUP(OrderLines[[#This Row],[SKU]:[SKU]],Menu[],MATCH(OrderLines[[#Headers],[Category]],Menu[#Headers],0),FALSE)</f>
        <v>Hot Meal</v>
      </c>
      <c r="G746" t="str" cm="1">
        <f t="array" ref="G746">_xlfn.TEXTJOIN("+",TRUE,_xlfn._xlws.SORT(_xlfn.UNIQUE(_xlfn._xlws.FILTER(OrderLines[Category],OrderLines[OrderID]=OrderLines[[#This Row],[OrderID]]))))</f>
        <v>Hot Meal</v>
      </c>
      <c r="H746" s="2" cm="1">
        <f t="array" ref="H746">INT(VLOOKUP(OrderLines[[#This Row],[OrderID]:[OrderID]],Orders[],MATCH(OrderLines[[#Headers],[OrderDateTime]],Orders[#Headers],0),FALSE))</f>
        <v>45894</v>
      </c>
      <c r="I746" t="str" cm="1">
        <f t="array" ref="I746">VLOOKUP(OrderLines[[#This Row],[OrderID]:[OrderID]],Orders[],MATCH(OrderLines[[#Headers],[Branch]],Orders[#Headers],0),FALSE)</f>
        <v>Head Office Café</v>
      </c>
      <c r="J746" cm="1">
        <f t="array" ref="J746">VLOOKUP(OrderLines[[#This Row],[OrderID]:[OrderID]],Orders[],MATCH(OrderLines[[#Headers],[DiscountPct]],Orders[#Headers],0),FALSE)</f>
        <v>0.08</v>
      </c>
      <c r="K746" t="str" cm="1">
        <f t="array" ref="K746">VLOOKUP(OrderLines[[#This Row],[OrderID]:[OrderID]],Orders[],MATCH(OrderLines[[#Headers],[PaymentType]],Orders[#Headers],0),FALSE)</f>
        <v>UPI</v>
      </c>
      <c r="L746" t="str" cm="1">
        <f t="array" ref="L746">VLOOKUP(OrderLines[[#This Row],[OrderID]:[OrderID]],Orders[],MATCH(OrderLines[[#Headers],[Shift]],Orders[#Headers],0),FALSE)</f>
        <v>Breakfast</v>
      </c>
      <c r="M746" s="8">
        <f>(OrderLines[[#This Row],[Qty]]*OrderLines[[#This Row],[UnitPrice]])*(1-OrderLines[[#This Row],[DiscountPct]])</f>
        <v>134.68800000000002</v>
      </c>
      <c r="N746" t="str">
        <f>IF(AND(COUNTIFS(OrderLines[OrderID],OrderLines[[#This Row],[OrderID]],OrderLines[Category],"Hot Meal"),COUNTIFS(OrderLines[OrderID],OrderLines[[#This Row],[OrderID]],OrderLines[Category],"Beverage")),"Combo","Single")</f>
        <v>Single</v>
      </c>
      <c r="O746" s="8" t="str" cm="1">
        <f t="array" ref="O746">IF(SUMPRODUCT(OrderLines[UnitPrice],OrderLines[Qty],OrderLines[DiscountPct],--(OrderLines[OrderID] = OrderLines[[#This Row],[OrderID]]))&gt;40,"High Discount","Ok")</f>
        <v>Ok</v>
      </c>
      <c r="P746">
        <f>OrderLines[[#This Row],[UnitCost]]*OrderLines[[#This Row],[Qty]]</f>
        <v>80.92</v>
      </c>
      <c r="Q746" s="8">
        <f>OrderLines[[#This Row],[LineNetAmount]]-OrderLines[[#This Row],[Food Cost]]</f>
        <v>53.768000000000015</v>
      </c>
    </row>
    <row r="747" spans="1:17" x14ac:dyDescent="0.3">
      <c r="A747" t="s">
        <v>324</v>
      </c>
      <c r="B747" t="s">
        <v>415</v>
      </c>
      <c r="C747">
        <v>1</v>
      </c>
      <c r="D747" cm="1">
        <f t="array" ref="D747">VLOOKUP(OrderLines[[#This Row],[SKU]:[SKU]],Menu[],MATCH(OrderLines[[#Headers],[UnitPrice]],Menu[#Headers],0),FALSE)</f>
        <v>256.91000000000003</v>
      </c>
      <c r="E747" cm="1">
        <f t="array" ref="E747">VLOOKUP(OrderLines[[#This Row],[SKU]:[SKU]],Menu[],MATCH(OrderLines[[#Headers],[UnitCost]],Menu[#Headers],0),FALSE)</f>
        <v>121.24</v>
      </c>
      <c r="F747" t="str" cm="1">
        <f t="array" ref="F747">VLOOKUP(OrderLines[[#This Row],[SKU]:[SKU]],Menu[],MATCH(OrderLines[[#Headers],[Category]],Menu[#Headers],0),FALSE)</f>
        <v>Hot Meal</v>
      </c>
      <c r="G747" t="str" cm="1">
        <f t="array" ref="G747">_xlfn.TEXTJOIN("+",TRUE,_xlfn._xlws.SORT(_xlfn.UNIQUE(_xlfn._xlws.FILTER(OrderLines[Category],OrderLines[OrderID]=OrderLines[[#This Row],[OrderID]]))))</f>
        <v>Hot Meal</v>
      </c>
      <c r="H747" s="2" cm="1">
        <f t="array" ref="H747">INT(VLOOKUP(OrderLines[[#This Row],[OrderID]:[OrderID]],Orders[],MATCH(OrderLines[[#Headers],[OrderDateTime]],Orders[#Headers],0),FALSE))</f>
        <v>45894</v>
      </c>
      <c r="I747" t="str" cm="1">
        <f t="array" ref="I747">VLOOKUP(OrderLines[[#This Row],[OrderID]:[OrderID]],Orders[],MATCH(OrderLines[[#Headers],[Branch]],Orders[#Headers],0),FALSE)</f>
        <v>Head Office Café</v>
      </c>
      <c r="J747" cm="1">
        <f t="array" ref="J747">VLOOKUP(OrderLines[[#This Row],[OrderID]:[OrderID]],Orders[],MATCH(OrderLines[[#Headers],[DiscountPct]],Orders[#Headers],0),FALSE)</f>
        <v>0.08</v>
      </c>
      <c r="K747" t="str" cm="1">
        <f t="array" ref="K747">VLOOKUP(OrderLines[[#This Row],[OrderID]:[OrderID]],Orders[],MATCH(OrderLines[[#Headers],[PaymentType]],Orders[#Headers],0),FALSE)</f>
        <v>UPI</v>
      </c>
      <c r="L747" t="str" cm="1">
        <f t="array" ref="L747">VLOOKUP(OrderLines[[#This Row],[OrderID]:[OrderID]],Orders[],MATCH(OrderLines[[#Headers],[Shift]],Orders[#Headers],0),FALSE)</f>
        <v>Breakfast</v>
      </c>
      <c r="M747" s="8">
        <f>(OrderLines[[#This Row],[Qty]]*OrderLines[[#This Row],[UnitPrice]])*(1-OrderLines[[#This Row],[DiscountPct]])</f>
        <v>236.35720000000003</v>
      </c>
      <c r="N747" t="str">
        <f>IF(AND(COUNTIFS(OrderLines[OrderID],OrderLines[[#This Row],[OrderID]],OrderLines[Category],"Hot Meal"),COUNTIFS(OrderLines[OrderID],OrderLines[[#This Row],[OrderID]],OrderLines[Category],"Beverage")),"Combo","Single")</f>
        <v>Single</v>
      </c>
      <c r="O747" s="8" t="str" cm="1">
        <f t="array" ref="O747">IF(SUMPRODUCT(OrderLines[UnitPrice],OrderLines[Qty],OrderLines[DiscountPct],--(OrderLines[OrderID] = OrderLines[[#This Row],[OrderID]]))&gt;40,"High Discount","Ok")</f>
        <v>Ok</v>
      </c>
      <c r="P747">
        <f>OrderLines[[#This Row],[UnitCost]]*OrderLines[[#This Row],[Qty]]</f>
        <v>121.24</v>
      </c>
      <c r="Q747" s="8">
        <f>OrderLines[[#This Row],[LineNetAmount]]-OrderLines[[#This Row],[Food Cost]]</f>
        <v>115.11720000000004</v>
      </c>
    </row>
    <row r="748" spans="1:17" x14ac:dyDescent="0.3">
      <c r="A748" t="s">
        <v>325</v>
      </c>
      <c r="B748" t="s">
        <v>405</v>
      </c>
      <c r="C748">
        <v>1</v>
      </c>
      <c r="D748" cm="1">
        <f t="array" ref="D748">VLOOKUP(OrderLines[[#This Row],[SKU]:[SKU]],Menu[],MATCH(OrderLines[[#Headers],[UnitPrice]],Menu[#Headers],0),FALSE)</f>
        <v>170.83</v>
      </c>
      <c r="E748" cm="1">
        <f t="array" ref="E748">VLOOKUP(OrderLines[[#This Row],[SKU]:[SKU]],Menu[],MATCH(OrderLines[[#Headers],[UnitCost]],Menu[#Headers],0),FALSE)</f>
        <v>74.069999999999993</v>
      </c>
      <c r="F748" t="str" cm="1">
        <f t="array" ref="F748">VLOOKUP(OrderLines[[#This Row],[SKU]:[SKU]],Menu[],MATCH(OrderLines[[#Headers],[Category]],Menu[#Headers],0),FALSE)</f>
        <v>Hot Meal</v>
      </c>
      <c r="G748" t="str" cm="1">
        <f t="array" ref="G748">_xlfn.TEXTJOIN("+",TRUE,_xlfn._xlws.SORT(_xlfn.UNIQUE(_xlfn._xlws.FILTER(OrderLines[Category],OrderLines[OrderID]=OrderLines[[#This Row],[OrderID]]))))</f>
        <v>Beverage+Hot Meal+Snack</v>
      </c>
      <c r="H748" s="2" cm="1">
        <f t="array" ref="H748">INT(VLOOKUP(OrderLines[[#This Row],[OrderID]:[OrderID]],Orders[],MATCH(OrderLines[[#Headers],[OrderDateTime]],Orders[#Headers],0),FALSE))</f>
        <v>45869</v>
      </c>
      <c r="I748" t="str" cm="1">
        <f t="array" ref="I748">VLOOKUP(OrderLines[[#This Row],[OrderID]:[OrderID]],Orders[],MATCH(OrderLines[[#Headers],[Branch]],Orders[#Headers],0),FALSE)</f>
        <v>Plant 1 Canteen</v>
      </c>
      <c r="J748" cm="1">
        <f t="array" ref="J748">VLOOKUP(OrderLines[[#This Row],[OrderID]:[OrderID]],Orders[],MATCH(OrderLines[[#Headers],[DiscountPct]],Orders[#Headers],0),FALSE)</f>
        <v>0.09</v>
      </c>
      <c r="K748" t="str" cm="1">
        <f t="array" ref="K748">VLOOKUP(OrderLines[[#This Row],[OrderID]:[OrderID]],Orders[],MATCH(OrderLines[[#Headers],[PaymentType]],Orders[#Headers],0),FALSE)</f>
        <v>Cash</v>
      </c>
      <c r="L748" t="str" cm="1">
        <f t="array" ref="L748">VLOOKUP(OrderLines[[#This Row],[OrderID]:[OrderID]],Orders[],MATCH(OrderLines[[#Headers],[Shift]],Orders[#Headers],0),FALSE)</f>
        <v>Dinner</v>
      </c>
      <c r="M748" s="8">
        <f>(OrderLines[[#This Row],[Qty]]*OrderLines[[#This Row],[UnitPrice]])*(1-OrderLines[[#This Row],[DiscountPct]])</f>
        <v>155.45530000000002</v>
      </c>
      <c r="N748" t="str">
        <f>IF(AND(COUNTIFS(OrderLines[OrderID],OrderLines[[#This Row],[OrderID]],OrderLines[Category],"Hot Meal"),COUNTIFS(OrderLines[OrderID],OrderLines[[#This Row],[OrderID]],OrderLines[Category],"Beverage")),"Combo","Single")</f>
        <v>Combo</v>
      </c>
      <c r="O748" s="8" t="str" cm="1">
        <f t="array" ref="O748">IF(SUMPRODUCT(OrderLines[UnitPrice],OrderLines[Qty],OrderLines[DiscountPct],--(OrderLines[OrderID] = OrderLines[[#This Row],[OrderID]]))&gt;40,"High Discount","Ok")</f>
        <v>Ok</v>
      </c>
      <c r="P748">
        <f>OrderLines[[#This Row],[UnitCost]]*OrderLines[[#This Row],[Qty]]</f>
        <v>74.069999999999993</v>
      </c>
      <c r="Q748" s="8">
        <f>OrderLines[[#This Row],[LineNetAmount]]-OrderLines[[#This Row],[Food Cost]]</f>
        <v>81.385300000000029</v>
      </c>
    </row>
    <row r="749" spans="1:17" x14ac:dyDescent="0.3">
      <c r="A749" t="s">
        <v>325</v>
      </c>
      <c r="B749" t="s">
        <v>401</v>
      </c>
      <c r="C749">
        <v>2</v>
      </c>
      <c r="D749" cm="1">
        <f t="array" ref="D749">VLOOKUP(OrderLines[[#This Row],[SKU]:[SKU]],Menu[],MATCH(OrderLines[[#Headers],[UnitPrice]],Menu[#Headers],0),FALSE)</f>
        <v>52.45</v>
      </c>
      <c r="E749" cm="1">
        <f t="array" ref="E749">VLOOKUP(OrderLines[[#This Row],[SKU]:[SKU]],Menu[],MATCH(OrderLines[[#Headers],[UnitCost]],Menu[#Headers],0),FALSE)</f>
        <v>25.8</v>
      </c>
      <c r="F749" t="str" cm="1">
        <f t="array" ref="F749">VLOOKUP(OrderLines[[#This Row],[SKU]:[SKU]],Menu[],MATCH(OrderLines[[#Headers],[Category]],Menu[#Headers],0),FALSE)</f>
        <v>Snack</v>
      </c>
      <c r="G749" t="str" cm="1">
        <f t="array" ref="G749">_xlfn.TEXTJOIN("+",TRUE,_xlfn._xlws.SORT(_xlfn.UNIQUE(_xlfn._xlws.FILTER(OrderLines[Category],OrderLines[OrderID]=OrderLines[[#This Row],[OrderID]]))))</f>
        <v>Beverage+Hot Meal+Snack</v>
      </c>
      <c r="H749" s="2" cm="1">
        <f t="array" ref="H749">INT(VLOOKUP(OrderLines[[#This Row],[OrderID]:[OrderID]],Orders[],MATCH(OrderLines[[#Headers],[OrderDateTime]],Orders[#Headers],0),FALSE))</f>
        <v>45869</v>
      </c>
      <c r="I749" t="str" cm="1">
        <f t="array" ref="I749">VLOOKUP(OrderLines[[#This Row],[OrderID]:[OrderID]],Orders[],MATCH(OrderLines[[#Headers],[Branch]],Orders[#Headers],0),FALSE)</f>
        <v>Plant 1 Canteen</v>
      </c>
      <c r="J749" cm="1">
        <f t="array" ref="J749">VLOOKUP(OrderLines[[#This Row],[OrderID]:[OrderID]],Orders[],MATCH(OrderLines[[#Headers],[DiscountPct]],Orders[#Headers],0),FALSE)</f>
        <v>0.09</v>
      </c>
      <c r="K749" t="str" cm="1">
        <f t="array" ref="K749">VLOOKUP(OrderLines[[#This Row],[OrderID]:[OrderID]],Orders[],MATCH(OrderLines[[#Headers],[PaymentType]],Orders[#Headers],0),FALSE)</f>
        <v>Cash</v>
      </c>
      <c r="L749" t="str" cm="1">
        <f t="array" ref="L749">VLOOKUP(OrderLines[[#This Row],[OrderID]:[OrderID]],Orders[],MATCH(OrderLines[[#Headers],[Shift]],Orders[#Headers],0),FALSE)</f>
        <v>Dinner</v>
      </c>
      <c r="M749" s="8">
        <f>(OrderLines[[#This Row],[Qty]]*OrderLines[[#This Row],[UnitPrice]])*(1-OrderLines[[#This Row],[DiscountPct]])</f>
        <v>95.459000000000003</v>
      </c>
      <c r="N749" t="str">
        <f>IF(AND(COUNTIFS(OrderLines[OrderID],OrderLines[[#This Row],[OrderID]],OrderLines[Category],"Hot Meal"),COUNTIFS(OrderLines[OrderID],OrderLines[[#This Row],[OrderID]],OrderLines[Category],"Beverage")),"Combo","Single")</f>
        <v>Combo</v>
      </c>
      <c r="O749" s="8" t="str" cm="1">
        <f t="array" ref="O749">IF(SUMPRODUCT(OrderLines[UnitPrice],OrderLines[Qty],OrderLines[DiscountPct],--(OrderLines[OrderID] = OrderLines[[#This Row],[OrderID]]))&gt;40,"High Discount","Ok")</f>
        <v>Ok</v>
      </c>
      <c r="P749">
        <f>OrderLines[[#This Row],[UnitCost]]*OrderLines[[#This Row],[Qty]]</f>
        <v>51.6</v>
      </c>
      <c r="Q749" s="8">
        <f>OrderLines[[#This Row],[LineNetAmount]]-OrderLines[[#This Row],[Food Cost]]</f>
        <v>43.859000000000002</v>
      </c>
    </row>
    <row r="750" spans="1:17" x14ac:dyDescent="0.3">
      <c r="A750" t="s">
        <v>325</v>
      </c>
      <c r="B750" t="s">
        <v>411</v>
      </c>
      <c r="C750">
        <v>2</v>
      </c>
      <c r="D750" cm="1">
        <f t="array" ref="D750">VLOOKUP(OrderLines[[#This Row],[SKU]:[SKU]],Menu[],MATCH(OrderLines[[#Headers],[UnitPrice]],Menu[#Headers],0),FALSE)</f>
        <v>22.2</v>
      </c>
      <c r="E750" cm="1">
        <f t="array" ref="E750">VLOOKUP(OrderLines[[#This Row],[SKU]:[SKU]],Menu[],MATCH(OrderLines[[#Headers],[UnitCost]],Menu[#Headers],0),FALSE)</f>
        <v>9.3800000000000008</v>
      </c>
      <c r="F750" t="str" cm="1">
        <f t="array" ref="F750">VLOOKUP(OrderLines[[#This Row],[SKU]:[SKU]],Menu[],MATCH(OrderLines[[#Headers],[Category]],Menu[#Headers],0),FALSE)</f>
        <v>Beverage</v>
      </c>
      <c r="G750" t="str" cm="1">
        <f t="array" ref="G750">_xlfn.TEXTJOIN("+",TRUE,_xlfn._xlws.SORT(_xlfn.UNIQUE(_xlfn._xlws.FILTER(OrderLines[Category],OrderLines[OrderID]=OrderLines[[#This Row],[OrderID]]))))</f>
        <v>Beverage+Hot Meal+Snack</v>
      </c>
      <c r="H750" s="2" cm="1">
        <f t="array" ref="H750">INT(VLOOKUP(OrderLines[[#This Row],[OrderID]:[OrderID]],Orders[],MATCH(OrderLines[[#Headers],[OrderDateTime]],Orders[#Headers],0),FALSE))</f>
        <v>45869</v>
      </c>
      <c r="I750" t="str" cm="1">
        <f t="array" ref="I750">VLOOKUP(OrderLines[[#This Row],[OrderID]:[OrderID]],Orders[],MATCH(OrderLines[[#Headers],[Branch]],Orders[#Headers],0),FALSE)</f>
        <v>Plant 1 Canteen</v>
      </c>
      <c r="J750" cm="1">
        <f t="array" ref="J750">VLOOKUP(OrderLines[[#This Row],[OrderID]:[OrderID]],Orders[],MATCH(OrderLines[[#Headers],[DiscountPct]],Orders[#Headers],0),FALSE)</f>
        <v>0.09</v>
      </c>
      <c r="K750" t="str" cm="1">
        <f t="array" ref="K750">VLOOKUP(OrderLines[[#This Row],[OrderID]:[OrderID]],Orders[],MATCH(OrderLines[[#Headers],[PaymentType]],Orders[#Headers],0),FALSE)</f>
        <v>Cash</v>
      </c>
      <c r="L750" t="str" cm="1">
        <f t="array" ref="L750">VLOOKUP(OrderLines[[#This Row],[OrderID]:[OrderID]],Orders[],MATCH(OrderLines[[#Headers],[Shift]],Orders[#Headers],0),FALSE)</f>
        <v>Dinner</v>
      </c>
      <c r="M750" s="8">
        <f>(OrderLines[[#This Row],[Qty]]*OrderLines[[#This Row],[UnitPrice]])*(1-OrderLines[[#This Row],[DiscountPct]])</f>
        <v>40.404000000000003</v>
      </c>
      <c r="N750" t="str">
        <f>IF(AND(COUNTIFS(OrderLines[OrderID],OrderLines[[#This Row],[OrderID]],OrderLines[Category],"Hot Meal"),COUNTIFS(OrderLines[OrderID],OrderLines[[#This Row],[OrderID]],OrderLines[Category],"Beverage")),"Combo","Single")</f>
        <v>Combo</v>
      </c>
      <c r="O750" s="8" t="str" cm="1">
        <f t="array" ref="O750">IF(SUMPRODUCT(OrderLines[UnitPrice],OrderLines[Qty],OrderLines[DiscountPct],--(OrderLines[OrderID] = OrderLines[[#This Row],[OrderID]]))&gt;40,"High Discount","Ok")</f>
        <v>Ok</v>
      </c>
      <c r="P750">
        <f>OrderLines[[#This Row],[UnitCost]]*OrderLines[[#This Row],[Qty]]</f>
        <v>18.760000000000002</v>
      </c>
      <c r="Q750" s="8">
        <f>OrderLines[[#This Row],[LineNetAmount]]-OrderLines[[#This Row],[Food Cost]]</f>
        <v>21.644000000000002</v>
      </c>
    </row>
    <row r="751" spans="1:17" x14ac:dyDescent="0.3">
      <c r="A751" t="s">
        <v>326</v>
      </c>
      <c r="B751" t="s">
        <v>408</v>
      </c>
      <c r="C751">
        <v>3</v>
      </c>
      <c r="D751" cm="1">
        <f t="array" ref="D751">VLOOKUP(OrderLines[[#This Row],[SKU]:[SKU]],Menu[],MATCH(OrderLines[[#Headers],[UnitPrice]],Menu[#Headers],0),FALSE)</f>
        <v>70.540000000000006</v>
      </c>
      <c r="E751" cm="1">
        <f t="array" ref="E751">VLOOKUP(OrderLines[[#This Row],[SKU]:[SKU]],Menu[],MATCH(OrderLines[[#Headers],[UnitCost]],Menu[#Headers],0),FALSE)</f>
        <v>35.81</v>
      </c>
      <c r="F751" t="str" cm="1">
        <f t="array" ref="F751">VLOOKUP(OrderLines[[#This Row],[SKU]:[SKU]],Menu[],MATCH(OrderLines[[#Headers],[Category]],Menu[#Headers],0),FALSE)</f>
        <v>Snack</v>
      </c>
      <c r="G751" t="str" cm="1">
        <f t="array" ref="G751">_xlfn.TEXTJOIN("+",TRUE,_xlfn._xlws.SORT(_xlfn.UNIQUE(_xlfn._xlws.FILTER(OrderLines[Category],OrderLines[OrderID]=OrderLines[[#This Row],[OrderID]]))))</f>
        <v>Beverage+Dessert+Snack</v>
      </c>
      <c r="H751" s="2" cm="1">
        <f t="array" ref="H751">INT(VLOOKUP(OrderLines[[#This Row],[OrderID]:[OrderID]],Orders[],MATCH(OrderLines[[#Headers],[OrderDateTime]],Orders[#Headers],0),FALSE))</f>
        <v>45882</v>
      </c>
      <c r="I751" t="str" cm="1">
        <f t="array" ref="I751">VLOOKUP(OrderLines[[#This Row],[OrderID]:[OrderID]],Orders[],MATCH(OrderLines[[#Headers],[Branch]],Orders[#Headers],0),FALSE)</f>
        <v>Head Office Café</v>
      </c>
      <c r="J751" cm="1">
        <f t="array" ref="J751">VLOOKUP(OrderLines[[#This Row],[OrderID]:[OrderID]],Orders[],MATCH(OrderLines[[#Headers],[DiscountPct]],Orders[#Headers],0),FALSE)</f>
        <v>0.06</v>
      </c>
      <c r="K751" t="str" cm="1">
        <f t="array" ref="K751">VLOOKUP(OrderLines[[#This Row],[OrderID]:[OrderID]],Orders[],MATCH(OrderLines[[#Headers],[PaymentType]],Orders[#Headers],0),FALSE)</f>
        <v>Card</v>
      </c>
      <c r="L751" t="str" cm="1">
        <f t="array" ref="L751">VLOOKUP(OrderLines[[#This Row],[OrderID]:[OrderID]],Orders[],MATCH(OrderLines[[#Headers],[Shift]],Orders[#Headers],0),FALSE)</f>
        <v>Breakfast</v>
      </c>
      <c r="M751" s="8">
        <f>(OrderLines[[#This Row],[Qty]]*OrderLines[[#This Row],[UnitPrice]])*(1-OrderLines[[#This Row],[DiscountPct]])</f>
        <v>198.9228</v>
      </c>
      <c r="N751" t="str">
        <f>IF(AND(COUNTIFS(OrderLines[OrderID],OrderLines[[#This Row],[OrderID]],OrderLines[Category],"Hot Meal"),COUNTIFS(OrderLines[OrderID],OrderLines[[#This Row],[OrderID]],OrderLines[Category],"Beverage")),"Combo","Single")</f>
        <v>Single</v>
      </c>
      <c r="O751" s="8" t="str" cm="1">
        <f t="array" ref="O751">IF(SUMPRODUCT(OrderLines[UnitPrice],OrderLines[Qty],OrderLines[DiscountPct],--(OrderLines[OrderID] = OrderLines[[#This Row],[OrderID]]))&gt;40,"High Discount","Ok")</f>
        <v>Ok</v>
      </c>
      <c r="P751">
        <f>OrderLines[[#This Row],[UnitCost]]*OrderLines[[#This Row],[Qty]]</f>
        <v>107.43</v>
      </c>
      <c r="Q751" s="8">
        <f>OrderLines[[#This Row],[LineNetAmount]]-OrderLines[[#This Row],[Food Cost]]</f>
        <v>91.492799999999988</v>
      </c>
    </row>
    <row r="752" spans="1:17" x14ac:dyDescent="0.3">
      <c r="A752" t="s">
        <v>326</v>
      </c>
      <c r="B752" t="s">
        <v>410</v>
      </c>
      <c r="C752">
        <v>1</v>
      </c>
      <c r="D752" cm="1">
        <f t="array" ref="D752">VLOOKUP(OrderLines[[#This Row],[SKU]:[SKU]],Menu[],MATCH(OrderLines[[#Headers],[UnitPrice]],Menu[#Headers],0),FALSE)</f>
        <v>20.11</v>
      </c>
      <c r="E752" cm="1">
        <f t="array" ref="E752">VLOOKUP(OrderLines[[#This Row],[SKU]:[SKU]],Menu[],MATCH(OrderLines[[#Headers],[UnitCost]],Menu[#Headers],0),FALSE)</f>
        <v>8</v>
      </c>
      <c r="F752" t="str" cm="1">
        <f t="array" ref="F752">VLOOKUP(OrderLines[[#This Row],[SKU]:[SKU]],Menu[],MATCH(OrderLines[[#Headers],[Category]],Menu[#Headers],0),FALSE)</f>
        <v>Beverage</v>
      </c>
      <c r="G752" t="str" cm="1">
        <f t="array" ref="G752">_xlfn.TEXTJOIN("+",TRUE,_xlfn._xlws.SORT(_xlfn.UNIQUE(_xlfn._xlws.FILTER(OrderLines[Category],OrderLines[OrderID]=OrderLines[[#This Row],[OrderID]]))))</f>
        <v>Beverage+Dessert+Snack</v>
      </c>
      <c r="H752" s="2" cm="1">
        <f t="array" ref="H752">INT(VLOOKUP(OrderLines[[#This Row],[OrderID]:[OrderID]],Orders[],MATCH(OrderLines[[#Headers],[OrderDateTime]],Orders[#Headers],0),FALSE))</f>
        <v>45882</v>
      </c>
      <c r="I752" t="str" cm="1">
        <f t="array" ref="I752">VLOOKUP(OrderLines[[#This Row],[OrderID]:[OrderID]],Orders[],MATCH(OrderLines[[#Headers],[Branch]],Orders[#Headers],0),FALSE)</f>
        <v>Head Office Café</v>
      </c>
      <c r="J752" cm="1">
        <f t="array" ref="J752">VLOOKUP(OrderLines[[#This Row],[OrderID]:[OrderID]],Orders[],MATCH(OrderLines[[#Headers],[DiscountPct]],Orders[#Headers],0),FALSE)</f>
        <v>0.06</v>
      </c>
      <c r="K752" t="str" cm="1">
        <f t="array" ref="K752">VLOOKUP(OrderLines[[#This Row],[OrderID]:[OrderID]],Orders[],MATCH(OrderLines[[#Headers],[PaymentType]],Orders[#Headers],0),FALSE)</f>
        <v>Card</v>
      </c>
      <c r="L752" t="str" cm="1">
        <f t="array" ref="L752">VLOOKUP(OrderLines[[#This Row],[OrderID]:[OrderID]],Orders[],MATCH(OrderLines[[#Headers],[Shift]],Orders[#Headers],0),FALSE)</f>
        <v>Breakfast</v>
      </c>
      <c r="M752" s="8">
        <f>(OrderLines[[#This Row],[Qty]]*OrderLines[[#This Row],[UnitPrice]])*(1-OrderLines[[#This Row],[DiscountPct]])</f>
        <v>18.903399999999998</v>
      </c>
      <c r="N752" t="str">
        <f>IF(AND(COUNTIFS(OrderLines[OrderID],OrderLines[[#This Row],[OrderID]],OrderLines[Category],"Hot Meal"),COUNTIFS(OrderLines[OrderID],OrderLines[[#This Row],[OrderID]],OrderLines[Category],"Beverage")),"Combo","Single")</f>
        <v>Single</v>
      </c>
      <c r="O752" s="8" t="str" cm="1">
        <f t="array" ref="O752">IF(SUMPRODUCT(OrderLines[UnitPrice],OrderLines[Qty],OrderLines[DiscountPct],--(OrderLines[OrderID] = OrderLines[[#This Row],[OrderID]]))&gt;40,"High Discount","Ok")</f>
        <v>Ok</v>
      </c>
      <c r="P752">
        <f>OrderLines[[#This Row],[UnitCost]]*OrderLines[[#This Row],[Qty]]</f>
        <v>8</v>
      </c>
      <c r="Q752" s="8">
        <f>OrderLines[[#This Row],[LineNetAmount]]-OrderLines[[#This Row],[Food Cost]]</f>
        <v>10.903399999999998</v>
      </c>
    </row>
    <row r="753" spans="1:17" x14ac:dyDescent="0.3">
      <c r="A753" t="s">
        <v>326</v>
      </c>
      <c r="B753" t="s">
        <v>403</v>
      </c>
      <c r="C753">
        <v>1</v>
      </c>
      <c r="D753" cm="1">
        <f t="array" ref="D753">VLOOKUP(OrderLines[[#This Row],[SKU]:[SKU]],Menu[],MATCH(OrderLines[[#Headers],[UnitPrice]],Menu[#Headers],0),FALSE)</f>
        <v>76.55</v>
      </c>
      <c r="E753" cm="1">
        <f t="array" ref="E753">VLOOKUP(OrderLines[[#This Row],[SKU]:[SKU]],Menu[],MATCH(OrderLines[[#Headers],[UnitCost]],Menu[#Headers],0),FALSE)</f>
        <v>38.229999999999997</v>
      </c>
      <c r="F753" t="str" cm="1">
        <f t="array" ref="F753">VLOOKUP(OrderLines[[#This Row],[SKU]:[SKU]],Menu[],MATCH(OrderLines[[#Headers],[Category]],Menu[#Headers],0),FALSE)</f>
        <v>Dessert</v>
      </c>
      <c r="G753" t="str" cm="1">
        <f t="array" ref="G753">_xlfn.TEXTJOIN("+",TRUE,_xlfn._xlws.SORT(_xlfn.UNIQUE(_xlfn._xlws.FILTER(OrderLines[Category],OrderLines[OrderID]=OrderLines[[#This Row],[OrderID]]))))</f>
        <v>Beverage+Dessert+Snack</v>
      </c>
      <c r="H753" s="2" cm="1">
        <f t="array" ref="H753">INT(VLOOKUP(OrderLines[[#This Row],[OrderID]:[OrderID]],Orders[],MATCH(OrderLines[[#Headers],[OrderDateTime]],Orders[#Headers],0),FALSE))</f>
        <v>45882</v>
      </c>
      <c r="I753" t="str" cm="1">
        <f t="array" ref="I753">VLOOKUP(OrderLines[[#This Row],[OrderID]:[OrderID]],Orders[],MATCH(OrderLines[[#Headers],[Branch]],Orders[#Headers],0),FALSE)</f>
        <v>Head Office Café</v>
      </c>
      <c r="J753" cm="1">
        <f t="array" ref="J753">VLOOKUP(OrderLines[[#This Row],[OrderID]:[OrderID]],Orders[],MATCH(OrderLines[[#Headers],[DiscountPct]],Orders[#Headers],0),FALSE)</f>
        <v>0.06</v>
      </c>
      <c r="K753" t="str" cm="1">
        <f t="array" ref="K753">VLOOKUP(OrderLines[[#This Row],[OrderID]:[OrderID]],Orders[],MATCH(OrderLines[[#Headers],[PaymentType]],Orders[#Headers],0),FALSE)</f>
        <v>Card</v>
      </c>
      <c r="L753" t="str" cm="1">
        <f t="array" ref="L753">VLOOKUP(OrderLines[[#This Row],[OrderID]:[OrderID]],Orders[],MATCH(OrderLines[[#Headers],[Shift]],Orders[#Headers],0),FALSE)</f>
        <v>Breakfast</v>
      </c>
      <c r="M753" s="8">
        <f>(OrderLines[[#This Row],[Qty]]*OrderLines[[#This Row],[UnitPrice]])*(1-OrderLines[[#This Row],[DiscountPct]])</f>
        <v>71.956999999999994</v>
      </c>
      <c r="N753" t="str">
        <f>IF(AND(COUNTIFS(OrderLines[OrderID],OrderLines[[#This Row],[OrderID]],OrderLines[Category],"Hot Meal"),COUNTIFS(OrderLines[OrderID],OrderLines[[#This Row],[OrderID]],OrderLines[Category],"Beverage")),"Combo","Single")</f>
        <v>Single</v>
      </c>
      <c r="O753" s="8" t="str" cm="1">
        <f t="array" ref="O753">IF(SUMPRODUCT(OrderLines[UnitPrice],OrderLines[Qty],OrderLines[DiscountPct],--(OrderLines[OrderID] = OrderLines[[#This Row],[OrderID]]))&gt;40,"High Discount","Ok")</f>
        <v>Ok</v>
      </c>
      <c r="P753">
        <f>OrderLines[[#This Row],[UnitCost]]*OrderLines[[#This Row],[Qty]]</f>
        <v>38.229999999999997</v>
      </c>
      <c r="Q753" s="8">
        <f>OrderLines[[#This Row],[LineNetAmount]]-OrderLines[[#This Row],[Food Cost]]</f>
        <v>33.726999999999997</v>
      </c>
    </row>
    <row r="754" spans="1:17" x14ac:dyDescent="0.3">
      <c r="A754" t="s">
        <v>327</v>
      </c>
      <c r="B754" t="s">
        <v>404</v>
      </c>
      <c r="C754">
        <v>1</v>
      </c>
      <c r="D754" cm="1">
        <f t="array" ref="D754">VLOOKUP(OrderLines[[#This Row],[SKU]:[SKU]],Menu[],MATCH(OrderLines[[#Headers],[UnitPrice]],Menu[#Headers],0),FALSE)</f>
        <v>32.979999999999997</v>
      </c>
      <c r="E754" cm="1">
        <f t="array" ref="E754">VLOOKUP(OrderLines[[#This Row],[SKU]:[SKU]],Menu[],MATCH(OrderLines[[#Headers],[UnitCost]],Menu[#Headers],0),FALSE)</f>
        <v>11.84</v>
      </c>
      <c r="F754" t="str" cm="1">
        <f t="array" ref="F754">VLOOKUP(OrderLines[[#This Row],[SKU]:[SKU]],Menu[],MATCH(OrderLines[[#Headers],[Category]],Menu[#Headers],0),FALSE)</f>
        <v>Beverage</v>
      </c>
      <c r="G754" t="str" cm="1">
        <f t="array" ref="G754">_xlfn.TEXTJOIN("+",TRUE,_xlfn._xlws.SORT(_xlfn.UNIQUE(_xlfn._xlws.FILTER(OrderLines[Category],OrderLines[OrderID]=OrderLines[[#This Row],[OrderID]]))))</f>
        <v>Beverage</v>
      </c>
      <c r="H754" s="2" cm="1">
        <f t="array" ref="H754">INT(VLOOKUP(OrderLines[[#This Row],[OrderID]:[OrderID]],Orders[],MATCH(OrderLines[[#Headers],[OrderDateTime]],Orders[#Headers],0),FALSE))</f>
        <v>45873</v>
      </c>
      <c r="I754" t="str" cm="1">
        <f t="array" ref="I754">VLOOKUP(OrderLines[[#This Row],[OrderID]:[OrderID]],Orders[],MATCH(OrderLines[[#Headers],[Branch]],Orders[#Headers],0),FALSE)</f>
        <v>Head Office Café</v>
      </c>
      <c r="J754" cm="1">
        <f t="array" ref="J754">VLOOKUP(OrderLines[[#This Row],[OrderID]:[OrderID]],Orders[],MATCH(OrderLines[[#Headers],[DiscountPct]],Orders[#Headers],0),FALSE)</f>
        <v>0.02</v>
      </c>
      <c r="K754" t="str" cm="1">
        <f t="array" ref="K754">VLOOKUP(OrderLines[[#This Row],[OrderID]:[OrderID]],Orders[],MATCH(OrderLines[[#Headers],[PaymentType]],Orders[#Headers],0),FALSE)</f>
        <v>Card</v>
      </c>
      <c r="L754" t="str" cm="1">
        <f t="array" ref="L754">VLOOKUP(OrderLines[[#This Row],[OrderID]:[OrderID]],Orders[],MATCH(OrderLines[[#Headers],[Shift]],Orders[#Headers],0),FALSE)</f>
        <v>Breakfast</v>
      </c>
      <c r="M754" s="8">
        <f>(OrderLines[[#This Row],[Qty]]*OrderLines[[#This Row],[UnitPrice]])*(1-OrderLines[[#This Row],[DiscountPct]])</f>
        <v>32.320399999999999</v>
      </c>
      <c r="N754" t="str">
        <f>IF(AND(COUNTIFS(OrderLines[OrderID],OrderLines[[#This Row],[OrderID]],OrderLines[Category],"Hot Meal"),COUNTIFS(OrderLines[OrderID],OrderLines[[#This Row],[OrderID]],OrderLines[Category],"Beverage")),"Combo","Single")</f>
        <v>Single</v>
      </c>
      <c r="O754" s="8" t="str" cm="1">
        <f t="array" ref="O754">IF(SUMPRODUCT(OrderLines[UnitPrice],OrderLines[Qty],OrderLines[DiscountPct],--(OrderLines[OrderID] = OrderLines[[#This Row],[OrderID]]))&gt;40,"High Discount","Ok")</f>
        <v>Ok</v>
      </c>
      <c r="P754">
        <f>OrderLines[[#This Row],[UnitCost]]*OrderLines[[#This Row],[Qty]]</f>
        <v>11.84</v>
      </c>
      <c r="Q754" s="8">
        <f>OrderLines[[#This Row],[LineNetAmount]]-OrderLines[[#This Row],[Food Cost]]</f>
        <v>20.480399999999999</v>
      </c>
    </row>
    <row r="755" spans="1:17" x14ac:dyDescent="0.3">
      <c r="A755" t="s">
        <v>327</v>
      </c>
      <c r="B755" t="s">
        <v>410</v>
      </c>
      <c r="C755">
        <v>1</v>
      </c>
      <c r="D755" cm="1">
        <f t="array" ref="D755">VLOOKUP(OrderLines[[#This Row],[SKU]:[SKU]],Menu[],MATCH(OrderLines[[#Headers],[UnitPrice]],Menu[#Headers],0),FALSE)</f>
        <v>20.11</v>
      </c>
      <c r="E755" cm="1">
        <f t="array" ref="E755">VLOOKUP(OrderLines[[#This Row],[SKU]:[SKU]],Menu[],MATCH(OrderLines[[#Headers],[UnitCost]],Menu[#Headers],0),FALSE)</f>
        <v>8</v>
      </c>
      <c r="F755" t="str" cm="1">
        <f t="array" ref="F755">VLOOKUP(OrderLines[[#This Row],[SKU]:[SKU]],Menu[],MATCH(OrderLines[[#Headers],[Category]],Menu[#Headers],0),FALSE)</f>
        <v>Beverage</v>
      </c>
      <c r="G755" t="str" cm="1">
        <f t="array" ref="G755">_xlfn.TEXTJOIN("+",TRUE,_xlfn._xlws.SORT(_xlfn.UNIQUE(_xlfn._xlws.FILTER(OrderLines[Category],OrderLines[OrderID]=OrderLines[[#This Row],[OrderID]]))))</f>
        <v>Beverage</v>
      </c>
      <c r="H755" s="2" cm="1">
        <f t="array" ref="H755">INT(VLOOKUP(OrderLines[[#This Row],[OrderID]:[OrderID]],Orders[],MATCH(OrderLines[[#Headers],[OrderDateTime]],Orders[#Headers],0),FALSE))</f>
        <v>45873</v>
      </c>
      <c r="I755" t="str" cm="1">
        <f t="array" ref="I755">VLOOKUP(OrderLines[[#This Row],[OrderID]:[OrderID]],Orders[],MATCH(OrderLines[[#Headers],[Branch]],Orders[#Headers],0),FALSE)</f>
        <v>Head Office Café</v>
      </c>
      <c r="J755" cm="1">
        <f t="array" ref="J755">VLOOKUP(OrderLines[[#This Row],[OrderID]:[OrderID]],Orders[],MATCH(OrderLines[[#Headers],[DiscountPct]],Orders[#Headers],0),FALSE)</f>
        <v>0.02</v>
      </c>
      <c r="K755" t="str" cm="1">
        <f t="array" ref="K755">VLOOKUP(OrderLines[[#This Row],[OrderID]:[OrderID]],Orders[],MATCH(OrderLines[[#Headers],[PaymentType]],Orders[#Headers],0),FALSE)</f>
        <v>Card</v>
      </c>
      <c r="L755" t="str" cm="1">
        <f t="array" ref="L755">VLOOKUP(OrderLines[[#This Row],[OrderID]:[OrderID]],Orders[],MATCH(OrderLines[[#Headers],[Shift]],Orders[#Headers],0),FALSE)</f>
        <v>Breakfast</v>
      </c>
      <c r="M755" s="8">
        <f>(OrderLines[[#This Row],[Qty]]*OrderLines[[#This Row],[UnitPrice]])*(1-OrderLines[[#This Row],[DiscountPct]])</f>
        <v>19.707799999999999</v>
      </c>
      <c r="N755" t="str">
        <f>IF(AND(COUNTIFS(OrderLines[OrderID],OrderLines[[#This Row],[OrderID]],OrderLines[Category],"Hot Meal"),COUNTIFS(OrderLines[OrderID],OrderLines[[#This Row],[OrderID]],OrderLines[Category],"Beverage")),"Combo","Single")</f>
        <v>Single</v>
      </c>
      <c r="O755" s="8" t="str" cm="1">
        <f t="array" ref="O755">IF(SUMPRODUCT(OrderLines[UnitPrice],OrderLines[Qty],OrderLines[DiscountPct],--(OrderLines[OrderID] = OrderLines[[#This Row],[OrderID]]))&gt;40,"High Discount","Ok")</f>
        <v>Ok</v>
      </c>
      <c r="P755">
        <f>OrderLines[[#This Row],[UnitCost]]*OrderLines[[#This Row],[Qty]]</f>
        <v>8</v>
      </c>
      <c r="Q755" s="8">
        <f>OrderLines[[#This Row],[LineNetAmount]]-OrderLines[[#This Row],[Food Cost]]</f>
        <v>11.707799999999999</v>
      </c>
    </row>
    <row r="756" spans="1:17" x14ac:dyDescent="0.3">
      <c r="A756" t="s">
        <v>328</v>
      </c>
      <c r="B756" t="s">
        <v>415</v>
      </c>
      <c r="C756">
        <v>2</v>
      </c>
      <c r="D756" cm="1">
        <f t="array" ref="D756">VLOOKUP(OrderLines[[#This Row],[SKU]:[SKU]],Menu[],MATCH(OrderLines[[#Headers],[UnitPrice]],Menu[#Headers],0),FALSE)</f>
        <v>256.91000000000003</v>
      </c>
      <c r="E756" cm="1">
        <f t="array" ref="E756">VLOOKUP(OrderLines[[#This Row],[SKU]:[SKU]],Menu[],MATCH(OrderLines[[#Headers],[UnitCost]],Menu[#Headers],0),FALSE)</f>
        <v>121.24</v>
      </c>
      <c r="F756" t="str" cm="1">
        <f t="array" ref="F756">VLOOKUP(OrderLines[[#This Row],[SKU]:[SKU]],Menu[],MATCH(OrderLines[[#Headers],[Category]],Menu[#Headers],0),FALSE)</f>
        <v>Hot Meal</v>
      </c>
      <c r="G756" t="str" cm="1">
        <f t="array" ref="G756">_xlfn.TEXTJOIN("+",TRUE,_xlfn._xlws.SORT(_xlfn.UNIQUE(_xlfn._xlws.FILTER(OrderLines[Category],OrderLines[OrderID]=OrderLines[[#This Row],[OrderID]]))))</f>
        <v>Hot Meal</v>
      </c>
      <c r="H756" s="2" cm="1">
        <f t="array" ref="H756">INT(VLOOKUP(OrderLines[[#This Row],[OrderID]:[OrderID]],Orders[],MATCH(OrderLines[[#Headers],[OrderDateTime]],Orders[#Headers],0),FALSE))</f>
        <v>45883</v>
      </c>
      <c r="I756" t="str" cm="1">
        <f t="array" ref="I756">VLOOKUP(OrderLines[[#This Row],[OrderID]:[OrderID]],Orders[],MATCH(OrderLines[[#Headers],[Branch]],Orders[#Headers],0),FALSE)</f>
        <v>Plant 1 Canteen</v>
      </c>
      <c r="J756" cm="1">
        <f t="array" ref="J756">VLOOKUP(OrderLines[[#This Row],[OrderID]:[OrderID]],Orders[],MATCH(OrderLines[[#Headers],[DiscountPct]],Orders[#Headers],0),FALSE)</f>
        <v>0.06</v>
      </c>
      <c r="K756" t="str" cm="1">
        <f t="array" ref="K756">VLOOKUP(OrderLines[[#This Row],[OrderID]:[OrderID]],Orders[],MATCH(OrderLines[[#Headers],[PaymentType]],Orders[#Headers],0),FALSE)</f>
        <v>Card</v>
      </c>
      <c r="L756" t="str" cm="1">
        <f t="array" ref="L756">VLOOKUP(OrderLines[[#This Row],[OrderID]:[OrderID]],Orders[],MATCH(OrderLines[[#Headers],[Shift]],Orders[#Headers],0),FALSE)</f>
        <v>Breakfast</v>
      </c>
      <c r="M756" s="8">
        <f>(OrderLines[[#This Row],[Qty]]*OrderLines[[#This Row],[UnitPrice]])*(1-OrderLines[[#This Row],[DiscountPct]])</f>
        <v>482.99080000000004</v>
      </c>
      <c r="N756" t="str">
        <f>IF(AND(COUNTIFS(OrderLines[OrderID],OrderLines[[#This Row],[OrderID]],OrderLines[Category],"Hot Meal"),COUNTIFS(OrderLines[OrderID],OrderLines[[#This Row],[OrderID]],OrderLines[Category],"Beverage")),"Combo","Single")</f>
        <v>Single</v>
      </c>
      <c r="O756" s="8" t="str" cm="1">
        <f t="array" ref="O756">IF(SUMPRODUCT(OrderLines[UnitPrice],OrderLines[Qty],OrderLines[DiscountPct],--(OrderLines[OrderID] = OrderLines[[#This Row],[OrderID]]))&gt;40,"High Discount","Ok")</f>
        <v>Ok</v>
      </c>
      <c r="P756">
        <f>OrderLines[[#This Row],[UnitCost]]*OrderLines[[#This Row],[Qty]]</f>
        <v>242.48</v>
      </c>
      <c r="Q756" s="8">
        <f>OrderLines[[#This Row],[LineNetAmount]]-OrderLines[[#This Row],[Food Cost]]</f>
        <v>240.51080000000005</v>
      </c>
    </row>
    <row r="757" spans="1:17" x14ac:dyDescent="0.3">
      <c r="A757" t="s">
        <v>329</v>
      </c>
      <c r="B757" t="s">
        <v>410</v>
      </c>
      <c r="C757">
        <v>1</v>
      </c>
      <c r="D757" cm="1">
        <f t="array" ref="D757">VLOOKUP(OrderLines[[#This Row],[SKU]:[SKU]],Menu[],MATCH(OrderLines[[#Headers],[UnitPrice]],Menu[#Headers],0),FALSE)</f>
        <v>20.11</v>
      </c>
      <c r="E757" cm="1">
        <f t="array" ref="E757">VLOOKUP(OrderLines[[#This Row],[SKU]:[SKU]],Menu[],MATCH(OrderLines[[#Headers],[UnitCost]],Menu[#Headers],0),FALSE)</f>
        <v>8</v>
      </c>
      <c r="F757" t="str" cm="1">
        <f t="array" ref="F757">VLOOKUP(OrderLines[[#This Row],[SKU]:[SKU]],Menu[],MATCH(OrderLines[[#Headers],[Category]],Menu[#Headers],0),FALSE)</f>
        <v>Beverage</v>
      </c>
      <c r="G757" t="str" cm="1">
        <f t="array" ref="G757">_xlfn.TEXTJOIN("+",TRUE,_xlfn._xlws.SORT(_xlfn.UNIQUE(_xlfn._xlws.FILTER(OrderLines[Category],OrderLines[OrderID]=OrderLines[[#This Row],[OrderID]]))))</f>
        <v>Beverage</v>
      </c>
      <c r="H757" s="2" cm="1">
        <f t="array" ref="H757">INT(VLOOKUP(OrderLines[[#This Row],[OrderID]:[OrderID]],Orders[],MATCH(OrderLines[[#Headers],[OrderDateTime]],Orders[#Headers],0),FALSE))</f>
        <v>45846</v>
      </c>
      <c r="I757" t="str" cm="1">
        <f t="array" ref="I757">VLOOKUP(OrderLines[[#This Row],[OrderID]:[OrderID]],Orders[],MATCH(OrderLines[[#Headers],[Branch]],Orders[#Headers],0),FALSE)</f>
        <v>Head Office Café</v>
      </c>
      <c r="J757" cm="1">
        <f t="array" ref="J757">VLOOKUP(OrderLines[[#This Row],[OrderID]:[OrderID]],Orders[],MATCH(OrderLines[[#Headers],[DiscountPct]],Orders[#Headers],0),FALSE)</f>
        <v>0.03</v>
      </c>
      <c r="K757" t="str" cm="1">
        <f t="array" ref="K757">VLOOKUP(OrderLines[[#This Row],[OrderID]:[OrderID]],Orders[],MATCH(OrderLines[[#Headers],[PaymentType]],Orders[#Headers],0),FALSE)</f>
        <v>UPI</v>
      </c>
      <c r="L757" t="str" cm="1">
        <f t="array" ref="L757">VLOOKUP(OrderLines[[#This Row],[OrderID]:[OrderID]],Orders[],MATCH(OrderLines[[#Headers],[Shift]],Orders[#Headers],0),FALSE)</f>
        <v>Dinner</v>
      </c>
      <c r="M757" s="8">
        <f>(OrderLines[[#This Row],[Qty]]*OrderLines[[#This Row],[UnitPrice]])*(1-OrderLines[[#This Row],[DiscountPct]])</f>
        <v>19.506699999999999</v>
      </c>
      <c r="N757" t="str">
        <f>IF(AND(COUNTIFS(OrderLines[OrderID],OrderLines[[#This Row],[OrderID]],OrderLines[Category],"Hot Meal"),COUNTIFS(OrderLines[OrderID],OrderLines[[#This Row],[OrderID]],OrderLines[Category],"Beverage")),"Combo","Single")</f>
        <v>Single</v>
      </c>
      <c r="O757" s="8" t="str" cm="1">
        <f t="array" ref="O757">IF(SUMPRODUCT(OrderLines[UnitPrice],OrderLines[Qty],OrderLines[DiscountPct],--(OrderLines[OrderID] = OrderLines[[#This Row],[OrderID]]))&gt;40,"High Discount","Ok")</f>
        <v>Ok</v>
      </c>
      <c r="P757">
        <f>OrderLines[[#This Row],[UnitCost]]*OrderLines[[#This Row],[Qty]]</f>
        <v>8</v>
      </c>
      <c r="Q757" s="8">
        <f>OrderLines[[#This Row],[LineNetAmount]]-OrderLines[[#This Row],[Food Cost]]</f>
        <v>11.506699999999999</v>
      </c>
    </row>
    <row r="758" spans="1:17" x14ac:dyDescent="0.3">
      <c r="A758" t="s">
        <v>329</v>
      </c>
      <c r="B758" t="s">
        <v>402</v>
      </c>
      <c r="C758">
        <v>2</v>
      </c>
      <c r="D758" cm="1">
        <f t="array" ref="D758">VLOOKUP(OrderLines[[#This Row],[SKU]:[SKU]],Menu[],MATCH(OrderLines[[#Headers],[UnitPrice]],Menu[#Headers],0),FALSE)</f>
        <v>30.34</v>
      </c>
      <c r="E758" cm="1">
        <f t="array" ref="E758">VLOOKUP(OrderLines[[#This Row],[SKU]:[SKU]],Menu[],MATCH(OrderLines[[#Headers],[UnitCost]],Menu[#Headers],0),FALSE)</f>
        <v>14.18</v>
      </c>
      <c r="F758" t="str" cm="1">
        <f t="array" ref="F758">VLOOKUP(OrderLines[[#This Row],[SKU]:[SKU]],Menu[],MATCH(OrderLines[[#Headers],[Category]],Menu[#Headers],0),FALSE)</f>
        <v>Beverage</v>
      </c>
      <c r="G758" t="str" cm="1">
        <f t="array" ref="G758">_xlfn.TEXTJOIN("+",TRUE,_xlfn._xlws.SORT(_xlfn.UNIQUE(_xlfn._xlws.FILTER(OrderLines[Category],OrderLines[OrderID]=OrderLines[[#This Row],[OrderID]]))))</f>
        <v>Beverage</v>
      </c>
      <c r="H758" s="2" cm="1">
        <f t="array" ref="H758">INT(VLOOKUP(OrderLines[[#This Row],[OrderID]:[OrderID]],Orders[],MATCH(OrderLines[[#Headers],[OrderDateTime]],Orders[#Headers],0),FALSE))</f>
        <v>45846</v>
      </c>
      <c r="I758" t="str" cm="1">
        <f t="array" ref="I758">VLOOKUP(OrderLines[[#This Row],[OrderID]:[OrderID]],Orders[],MATCH(OrderLines[[#Headers],[Branch]],Orders[#Headers],0),FALSE)</f>
        <v>Head Office Café</v>
      </c>
      <c r="J758" cm="1">
        <f t="array" ref="J758">VLOOKUP(OrderLines[[#This Row],[OrderID]:[OrderID]],Orders[],MATCH(OrderLines[[#Headers],[DiscountPct]],Orders[#Headers],0),FALSE)</f>
        <v>0.03</v>
      </c>
      <c r="K758" t="str" cm="1">
        <f t="array" ref="K758">VLOOKUP(OrderLines[[#This Row],[OrderID]:[OrderID]],Orders[],MATCH(OrderLines[[#Headers],[PaymentType]],Orders[#Headers],0),FALSE)</f>
        <v>UPI</v>
      </c>
      <c r="L758" t="str" cm="1">
        <f t="array" ref="L758">VLOOKUP(OrderLines[[#This Row],[OrderID]:[OrderID]],Orders[],MATCH(OrderLines[[#Headers],[Shift]],Orders[#Headers],0),FALSE)</f>
        <v>Dinner</v>
      </c>
      <c r="M758" s="8">
        <f>(OrderLines[[#This Row],[Qty]]*OrderLines[[#This Row],[UnitPrice]])*(1-OrderLines[[#This Row],[DiscountPct]])</f>
        <v>58.8596</v>
      </c>
      <c r="N758" t="str">
        <f>IF(AND(COUNTIFS(OrderLines[OrderID],OrderLines[[#This Row],[OrderID]],OrderLines[Category],"Hot Meal"),COUNTIFS(OrderLines[OrderID],OrderLines[[#This Row],[OrderID]],OrderLines[Category],"Beverage")),"Combo","Single")</f>
        <v>Single</v>
      </c>
      <c r="O758" s="8" t="str" cm="1">
        <f t="array" ref="O758">IF(SUMPRODUCT(OrderLines[UnitPrice],OrderLines[Qty],OrderLines[DiscountPct],--(OrderLines[OrderID] = OrderLines[[#This Row],[OrderID]]))&gt;40,"High Discount","Ok")</f>
        <v>Ok</v>
      </c>
      <c r="P758">
        <f>OrderLines[[#This Row],[UnitCost]]*OrderLines[[#This Row],[Qty]]</f>
        <v>28.36</v>
      </c>
      <c r="Q758" s="8">
        <f>OrderLines[[#This Row],[LineNetAmount]]-OrderLines[[#This Row],[Food Cost]]</f>
        <v>30.499600000000001</v>
      </c>
    </row>
    <row r="759" spans="1:17" x14ac:dyDescent="0.3">
      <c r="A759" t="s">
        <v>330</v>
      </c>
      <c r="B759" t="s">
        <v>416</v>
      </c>
      <c r="C759">
        <v>2</v>
      </c>
      <c r="D759" cm="1">
        <f t="array" ref="D759">VLOOKUP(OrderLines[[#This Row],[SKU]:[SKU]],Menu[],MATCH(OrderLines[[#Headers],[UnitPrice]],Menu[#Headers],0),FALSE)</f>
        <v>227.61</v>
      </c>
      <c r="E759" cm="1">
        <f t="array" ref="E759">VLOOKUP(OrderLines[[#This Row],[SKU]:[SKU]],Menu[],MATCH(OrderLines[[#Headers],[UnitCost]],Menu[#Headers],0),FALSE)</f>
        <v>96.22</v>
      </c>
      <c r="F759" t="str" cm="1">
        <f t="array" ref="F759">VLOOKUP(OrderLines[[#This Row],[SKU]:[SKU]],Menu[],MATCH(OrderLines[[#Headers],[Category]],Menu[#Headers],0),FALSE)</f>
        <v>Hot Meal</v>
      </c>
      <c r="G759" t="str" cm="1">
        <f t="array" ref="G759">_xlfn.TEXTJOIN("+",TRUE,_xlfn._xlws.SORT(_xlfn.UNIQUE(_xlfn._xlws.FILTER(OrderLines[Category],OrderLines[OrderID]=OrderLines[[#This Row],[OrderID]]))))</f>
        <v>Beverage+Hot Meal</v>
      </c>
      <c r="H759" s="2" cm="1">
        <f t="array" ref="H759">INT(VLOOKUP(OrderLines[[#This Row],[OrderID]:[OrderID]],Orders[],MATCH(OrderLines[[#Headers],[OrderDateTime]],Orders[#Headers],0),FALSE))</f>
        <v>45876</v>
      </c>
      <c r="I759" t="str" cm="1">
        <f t="array" ref="I759">VLOOKUP(OrderLines[[#This Row],[OrderID]:[OrderID]],Orders[],MATCH(OrderLines[[#Headers],[Branch]],Orders[#Headers],0),FALSE)</f>
        <v>Plant 2 Canteen</v>
      </c>
      <c r="J759" cm="1">
        <f t="array" ref="J759">VLOOKUP(OrderLines[[#This Row],[OrderID]:[OrderID]],Orders[],MATCH(OrderLines[[#Headers],[DiscountPct]],Orders[#Headers],0),FALSE)</f>
        <v>0.1</v>
      </c>
      <c r="K759" t="str" cm="1">
        <f t="array" ref="K759">VLOOKUP(OrderLines[[#This Row],[OrderID]:[OrderID]],Orders[],MATCH(OrderLines[[#Headers],[PaymentType]],Orders[#Headers],0),FALSE)</f>
        <v>UPI</v>
      </c>
      <c r="L759" t="str" cm="1">
        <f t="array" ref="L759">VLOOKUP(OrderLines[[#This Row],[OrderID]:[OrderID]],Orders[],MATCH(OrderLines[[#Headers],[Shift]],Orders[#Headers],0),FALSE)</f>
        <v>Lunch</v>
      </c>
      <c r="M759" s="8">
        <f>(OrderLines[[#This Row],[Qty]]*OrderLines[[#This Row],[UnitPrice]])*(1-OrderLines[[#This Row],[DiscountPct]])</f>
        <v>409.69800000000004</v>
      </c>
      <c r="N759" t="str">
        <f>IF(AND(COUNTIFS(OrderLines[OrderID],OrderLines[[#This Row],[OrderID]],OrderLines[Category],"Hot Meal"),COUNTIFS(OrderLines[OrderID],OrderLines[[#This Row],[OrderID]],OrderLines[Category],"Beverage")),"Combo","Single")</f>
        <v>Combo</v>
      </c>
      <c r="O759" s="8" t="str" cm="1">
        <f t="array" ref="O759">IF(SUMPRODUCT(OrderLines[UnitPrice],OrderLines[Qty],OrderLines[DiscountPct],--(OrderLines[OrderID] = OrderLines[[#This Row],[OrderID]]))&gt;40,"High Discount","Ok")</f>
        <v>High Discount</v>
      </c>
      <c r="P759">
        <f>OrderLines[[#This Row],[UnitCost]]*OrderLines[[#This Row],[Qty]]</f>
        <v>192.44</v>
      </c>
      <c r="Q759" s="8">
        <f>OrderLines[[#This Row],[LineNetAmount]]-OrderLines[[#This Row],[Food Cost]]</f>
        <v>217.25800000000004</v>
      </c>
    </row>
    <row r="760" spans="1:17" x14ac:dyDescent="0.3">
      <c r="A760" t="s">
        <v>330</v>
      </c>
      <c r="B760" t="s">
        <v>402</v>
      </c>
      <c r="C760">
        <v>2</v>
      </c>
      <c r="D760" cm="1">
        <f t="array" ref="D760">VLOOKUP(OrderLines[[#This Row],[SKU]:[SKU]],Menu[],MATCH(OrderLines[[#Headers],[UnitPrice]],Menu[#Headers],0),FALSE)</f>
        <v>30.34</v>
      </c>
      <c r="E760" cm="1">
        <f t="array" ref="E760">VLOOKUP(OrderLines[[#This Row],[SKU]:[SKU]],Menu[],MATCH(OrderLines[[#Headers],[UnitCost]],Menu[#Headers],0),FALSE)</f>
        <v>14.18</v>
      </c>
      <c r="F760" t="str" cm="1">
        <f t="array" ref="F760">VLOOKUP(OrderLines[[#This Row],[SKU]:[SKU]],Menu[],MATCH(OrderLines[[#Headers],[Category]],Menu[#Headers],0),FALSE)</f>
        <v>Beverage</v>
      </c>
      <c r="G760" t="str" cm="1">
        <f t="array" ref="G760">_xlfn.TEXTJOIN("+",TRUE,_xlfn._xlws.SORT(_xlfn.UNIQUE(_xlfn._xlws.FILTER(OrderLines[Category],OrderLines[OrderID]=OrderLines[[#This Row],[OrderID]]))))</f>
        <v>Beverage+Hot Meal</v>
      </c>
      <c r="H760" s="2" cm="1">
        <f t="array" ref="H760">INT(VLOOKUP(OrderLines[[#This Row],[OrderID]:[OrderID]],Orders[],MATCH(OrderLines[[#Headers],[OrderDateTime]],Orders[#Headers],0),FALSE))</f>
        <v>45876</v>
      </c>
      <c r="I760" t="str" cm="1">
        <f t="array" ref="I760">VLOOKUP(OrderLines[[#This Row],[OrderID]:[OrderID]],Orders[],MATCH(OrderLines[[#Headers],[Branch]],Orders[#Headers],0),FALSE)</f>
        <v>Plant 2 Canteen</v>
      </c>
      <c r="J760" cm="1">
        <f t="array" ref="J760">VLOOKUP(OrderLines[[#This Row],[OrderID]:[OrderID]],Orders[],MATCH(OrderLines[[#Headers],[DiscountPct]],Orders[#Headers],0),FALSE)</f>
        <v>0.1</v>
      </c>
      <c r="K760" t="str" cm="1">
        <f t="array" ref="K760">VLOOKUP(OrderLines[[#This Row],[OrderID]:[OrderID]],Orders[],MATCH(OrderLines[[#Headers],[PaymentType]],Orders[#Headers],0),FALSE)</f>
        <v>UPI</v>
      </c>
      <c r="L760" t="str" cm="1">
        <f t="array" ref="L760">VLOOKUP(OrderLines[[#This Row],[OrderID]:[OrderID]],Orders[],MATCH(OrderLines[[#Headers],[Shift]],Orders[#Headers],0),FALSE)</f>
        <v>Lunch</v>
      </c>
      <c r="M760" s="8">
        <f>(OrderLines[[#This Row],[Qty]]*OrderLines[[#This Row],[UnitPrice]])*(1-OrderLines[[#This Row],[DiscountPct]])</f>
        <v>54.612000000000002</v>
      </c>
      <c r="N760" t="str">
        <f>IF(AND(COUNTIFS(OrderLines[OrderID],OrderLines[[#This Row],[OrderID]],OrderLines[Category],"Hot Meal"),COUNTIFS(OrderLines[OrderID],OrderLines[[#This Row],[OrderID]],OrderLines[Category],"Beverage")),"Combo","Single")</f>
        <v>Combo</v>
      </c>
      <c r="O760" s="8" t="str" cm="1">
        <f t="array" ref="O760">IF(SUMPRODUCT(OrderLines[UnitPrice],OrderLines[Qty],OrderLines[DiscountPct],--(OrderLines[OrderID] = OrderLines[[#This Row],[OrderID]]))&gt;40,"High Discount","Ok")</f>
        <v>High Discount</v>
      </c>
      <c r="P760">
        <f>OrderLines[[#This Row],[UnitCost]]*OrderLines[[#This Row],[Qty]]</f>
        <v>28.36</v>
      </c>
      <c r="Q760" s="8">
        <f>OrderLines[[#This Row],[LineNetAmount]]-OrderLines[[#This Row],[Food Cost]]</f>
        <v>26.252000000000002</v>
      </c>
    </row>
    <row r="761" spans="1:17" x14ac:dyDescent="0.3">
      <c r="A761" t="s">
        <v>331</v>
      </c>
      <c r="B761" t="s">
        <v>409</v>
      </c>
      <c r="C761">
        <v>2</v>
      </c>
      <c r="D761" cm="1">
        <f t="array" ref="D761">VLOOKUP(OrderLines[[#This Row],[SKU]:[SKU]],Menu[],MATCH(OrderLines[[#Headers],[UnitPrice]],Menu[#Headers],0),FALSE)</f>
        <v>28.43</v>
      </c>
      <c r="E761" cm="1">
        <f t="array" ref="E761">VLOOKUP(OrderLines[[#This Row],[SKU]:[SKU]],Menu[],MATCH(OrderLines[[#Headers],[UnitCost]],Menu[#Headers],0),FALSE)</f>
        <v>13.89</v>
      </c>
      <c r="F761" t="str" cm="1">
        <f t="array" ref="F761">VLOOKUP(OrderLines[[#This Row],[SKU]:[SKU]],Menu[],MATCH(OrderLines[[#Headers],[Category]],Menu[#Headers],0),FALSE)</f>
        <v>Beverage</v>
      </c>
      <c r="G761" t="str" cm="1">
        <f t="array" ref="G761">_xlfn.TEXTJOIN("+",TRUE,_xlfn._xlws.SORT(_xlfn.UNIQUE(_xlfn._xlws.FILTER(OrderLines[Category],OrderLines[OrderID]=OrderLines[[#This Row],[OrderID]]))))</f>
        <v>Beverage</v>
      </c>
      <c r="H761" s="2" cm="1">
        <f t="array" ref="H761">INT(VLOOKUP(OrderLines[[#This Row],[OrderID]:[OrderID]],Orders[],MATCH(OrderLines[[#Headers],[OrderDateTime]],Orders[#Headers],0),FALSE))</f>
        <v>45882</v>
      </c>
      <c r="I761" t="str" cm="1">
        <f t="array" ref="I761">VLOOKUP(OrderLines[[#This Row],[OrderID]:[OrderID]],Orders[],MATCH(OrderLines[[#Headers],[Branch]],Orders[#Headers],0),FALSE)</f>
        <v>Head Office Café</v>
      </c>
      <c r="J761" cm="1">
        <f t="array" ref="J761">VLOOKUP(OrderLines[[#This Row],[OrderID]:[OrderID]],Orders[],MATCH(OrderLines[[#Headers],[DiscountPct]],Orders[#Headers],0),FALSE)</f>
        <v>0.05</v>
      </c>
      <c r="K761" t="str" cm="1">
        <f t="array" ref="K761">VLOOKUP(OrderLines[[#This Row],[OrderID]:[OrderID]],Orders[],MATCH(OrderLines[[#Headers],[PaymentType]],Orders[#Headers],0),FALSE)</f>
        <v>Cash</v>
      </c>
      <c r="L761" t="str" cm="1">
        <f t="array" ref="L761">VLOOKUP(OrderLines[[#This Row],[OrderID]:[OrderID]],Orders[],MATCH(OrderLines[[#Headers],[Shift]],Orders[#Headers],0),FALSE)</f>
        <v>Dinner</v>
      </c>
      <c r="M761" s="8">
        <f>(OrderLines[[#This Row],[Qty]]*OrderLines[[#This Row],[UnitPrice]])*(1-OrderLines[[#This Row],[DiscountPct]])</f>
        <v>54.016999999999996</v>
      </c>
      <c r="N761" t="str">
        <f>IF(AND(COUNTIFS(OrderLines[OrderID],OrderLines[[#This Row],[OrderID]],OrderLines[Category],"Hot Meal"),COUNTIFS(OrderLines[OrderID],OrderLines[[#This Row],[OrderID]],OrderLines[Category],"Beverage")),"Combo","Single")</f>
        <v>Single</v>
      </c>
      <c r="O761" s="8" t="str" cm="1">
        <f t="array" ref="O761">IF(SUMPRODUCT(OrderLines[UnitPrice],OrderLines[Qty],OrderLines[DiscountPct],--(OrderLines[OrderID] = OrderLines[[#This Row],[OrderID]]))&gt;40,"High Discount","Ok")</f>
        <v>Ok</v>
      </c>
      <c r="P761">
        <f>OrderLines[[#This Row],[UnitCost]]*OrderLines[[#This Row],[Qty]]</f>
        <v>27.78</v>
      </c>
      <c r="Q761" s="8">
        <f>OrderLines[[#This Row],[LineNetAmount]]-OrderLines[[#This Row],[Food Cost]]</f>
        <v>26.236999999999995</v>
      </c>
    </row>
    <row r="762" spans="1:17" x14ac:dyDescent="0.3">
      <c r="A762" t="s">
        <v>332</v>
      </c>
      <c r="B762" t="s">
        <v>412</v>
      </c>
      <c r="C762">
        <v>1</v>
      </c>
      <c r="D762" cm="1">
        <f t="array" ref="D762">VLOOKUP(OrderLines[[#This Row],[SKU]:[SKU]],Menu[],MATCH(OrderLines[[#Headers],[UnitPrice]],Menu[#Headers],0),FALSE)</f>
        <v>57.07</v>
      </c>
      <c r="E762" cm="1">
        <f t="array" ref="E762">VLOOKUP(OrderLines[[#This Row],[SKU]:[SKU]],Menu[],MATCH(OrderLines[[#Headers],[UnitCost]],Menu[#Headers],0),FALSE)</f>
        <v>29.14</v>
      </c>
      <c r="F762" t="str" cm="1">
        <f t="array" ref="F762">VLOOKUP(OrderLines[[#This Row],[SKU]:[SKU]],Menu[],MATCH(OrderLines[[#Headers],[Category]],Menu[#Headers],0),FALSE)</f>
        <v>Dessert</v>
      </c>
      <c r="G762" t="str" cm="1">
        <f t="array" ref="G762">_xlfn.TEXTJOIN("+",TRUE,_xlfn._xlws.SORT(_xlfn.UNIQUE(_xlfn._xlws.FILTER(OrderLines[Category],OrderLines[OrderID]=OrderLines[[#This Row],[OrderID]]))))</f>
        <v>Beverage+Dessert</v>
      </c>
      <c r="H762" s="2" cm="1">
        <f t="array" ref="H762">INT(VLOOKUP(OrderLines[[#This Row],[OrderID]:[OrderID]],Orders[],MATCH(OrderLines[[#Headers],[OrderDateTime]],Orders[#Headers],0),FALSE))</f>
        <v>45897</v>
      </c>
      <c r="I762" t="str" cm="1">
        <f t="array" ref="I762">VLOOKUP(OrderLines[[#This Row],[OrderID]:[OrderID]],Orders[],MATCH(OrderLines[[#Headers],[Branch]],Orders[#Headers],0),FALSE)</f>
        <v>Plant 2 Canteen</v>
      </c>
      <c r="J762" cm="1">
        <f t="array" ref="J762">VLOOKUP(OrderLines[[#This Row],[OrderID]:[OrderID]],Orders[],MATCH(OrderLines[[#Headers],[DiscountPct]],Orders[#Headers],0),FALSE)</f>
        <v>0.03</v>
      </c>
      <c r="K762" t="str" cm="1">
        <f t="array" ref="K762">VLOOKUP(OrderLines[[#This Row],[OrderID]:[OrderID]],Orders[],MATCH(OrderLines[[#Headers],[PaymentType]],Orders[#Headers],0),FALSE)</f>
        <v>Cash</v>
      </c>
      <c r="L762" t="str" cm="1">
        <f t="array" ref="L762">VLOOKUP(OrderLines[[#This Row],[OrderID]:[OrderID]],Orders[],MATCH(OrderLines[[#Headers],[Shift]],Orders[#Headers],0),FALSE)</f>
        <v>Dinner</v>
      </c>
      <c r="M762" s="8">
        <f>(OrderLines[[#This Row],[Qty]]*OrderLines[[#This Row],[UnitPrice]])*(1-OrderLines[[#This Row],[DiscountPct]])</f>
        <v>55.357900000000001</v>
      </c>
      <c r="N762" t="str">
        <f>IF(AND(COUNTIFS(OrderLines[OrderID],OrderLines[[#This Row],[OrderID]],OrderLines[Category],"Hot Meal"),COUNTIFS(OrderLines[OrderID],OrderLines[[#This Row],[OrderID]],OrderLines[Category],"Beverage")),"Combo","Single")</f>
        <v>Single</v>
      </c>
      <c r="O762" s="8" t="str" cm="1">
        <f t="array" ref="O762">IF(SUMPRODUCT(OrderLines[UnitPrice],OrderLines[Qty],OrderLines[DiscountPct],--(OrderLines[OrderID] = OrderLines[[#This Row],[OrderID]]))&gt;40,"High Discount","Ok")</f>
        <v>Ok</v>
      </c>
      <c r="P762">
        <f>OrderLines[[#This Row],[UnitCost]]*OrderLines[[#This Row],[Qty]]</f>
        <v>29.14</v>
      </c>
      <c r="Q762" s="8">
        <f>OrderLines[[#This Row],[LineNetAmount]]-OrderLines[[#This Row],[Food Cost]]</f>
        <v>26.2179</v>
      </c>
    </row>
    <row r="763" spans="1:17" x14ac:dyDescent="0.3">
      <c r="A763" t="s">
        <v>332</v>
      </c>
      <c r="B763" t="s">
        <v>411</v>
      </c>
      <c r="C763">
        <v>1</v>
      </c>
      <c r="D763" cm="1">
        <f t="array" ref="D763">VLOOKUP(OrderLines[[#This Row],[SKU]:[SKU]],Menu[],MATCH(OrderLines[[#Headers],[UnitPrice]],Menu[#Headers],0),FALSE)</f>
        <v>22.2</v>
      </c>
      <c r="E763" cm="1">
        <f t="array" ref="E763">VLOOKUP(OrderLines[[#This Row],[SKU]:[SKU]],Menu[],MATCH(OrderLines[[#Headers],[UnitCost]],Menu[#Headers],0),FALSE)</f>
        <v>9.3800000000000008</v>
      </c>
      <c r="F763" t="str" cm="1">
        <f t="array" ref="F763">VLOOKUP(OrderLines[[#This Row],[SKU]:[SKU]],Menu[],MATCH(OrderLines[[#Headers],[Category]],Menu[#Headers],0),FALSE)</f>
        <v>Beverage</v>
      </c>
      <c r="G763" t="str" cm="1">
        <f t="array" ref="G763">_xlfn.TEXTJOIN("+",TRUE,_xlfn._xlws.SORT(_xlfn.UNIQUE(_xlfn._xlws.FILTER(OrderLines[Category],OrderLines[OrderID]=OrderLines[[#This Row],[OrderID]]))))</f>
        <v>Beverage+Dessert</v>
      </c>
      <c r="H763" s="2" cm="1">
        <f t="array" ref="H763">INT(VLOOKUP(OrderLines[[#This Row],[OrderID]:[OrderID]],Orders[],MATCH(OrderLines[[#Headers],[OrderDateTime]],Orders[#Headers],0),FALSE))</f>
        <v>45897</v>
      </c>
      <c r="I763" t="str" cm="1">
        <f t="array" ref="I763">VLOOKUP(OrderLines[[#This Row],[OrderID]:[OrderID]],Orders[],MATCH(OrderLines[[#Headers],[Branch]],Orders[#Headers],0),FALSE)</f>
        <v>Plant 2 Canteen</v>
      </c>
      <c r="J763" cm="1">
        <f t="array" ref="J763">VLOOKUP(OrderLines[[#This Row],[OrderID]:[OrderID]],Orders[],MATCH(OrderLines[[#Headers],[DiscountPct]],Orders[#Headers],0),FALSE)</f>
        <v>0.03</v>
      </c>
      <c r="K763" t="str" cm="1">
        <f t="array" ref="K763">VLOOKUP(OrderLines[[#This Row],[OrderID]:[OrderID]],Orders[],MATCH(OrderLines[[#Headers],[PaymentType]],Orders[#Headers],0),FALSE)</f>
        <v>Cash</v>
      </c>
      <c r="L763" t="str" cm="1">
        <f t="array" ref="L763">VLOOKUP(OrderLines[[#This Row],[OrderID]:[OrderID]],Orders[],MATCH(OrderLines[[#Headers],[Shift]],Orders[#Headers],0),FALSE)</f>
        <v>Dinner</v>
      </c>
      <c r="M763" s="8">
        <f>(OrderLines[[#This Row],[Qty]]*OrderLines[[#This Row],[UnitPrice]])*(1-OrderLines[[#This Row],[DiscountPct]])</f>
        <v>21.533999999999999</v>
      </c>
      <c r="N763" t="str">
        <f>IF(AND(COUNTIFS(OrderLines[OrderID],OrderLines[[#This Row],[OrderID]],OrderLines[Category],"Hot Meal"),COUNTIFS(OrderLines[OrderID],OrderLines[[#This Row],[OrderID]],OrderLines[Category],"Beverage")),"Combo","Single")</f>
        <v>Single</v>
      </c>
      <c r="O763" s="8" t="str" cm="1">
        <f t="array" ref="O763">IF(SUMPRODUCT(OrderLines[UnitPrice],OrderLines[Qty],OrderLines[DiscountPct],--(OrderLines[OrderID] = OrderLines[[#This Row],[OrderID]]))&gt;40,"High Discount","Ok")</f>
        <v>Ok</v>
      </c>
      <c r="P763">
        <f>OrderLines[[#This Row],[UnitCost]]*OrderLines[[#This Row],[Qty]]</f>
        <v>9.3800000000000008</v>
      </c>
      <c r="Q763" s="8">
        <f>OrderLines[[#This Row],[LineNetAmount]]-OrderLines[[#This Row],[Food Cost]]</f>
        <v>12.153999999999998</v>
      </c>
    </row>
    <row r="764" spans="1:17" x14ac:dyDescent="0.3">
      <c r="A764" t="s">
        <v>333</v>
      </c>
      <c r="B764" t="s">
        <v>419</v>
      </c>
      <c r="C764">
        <v>1</v>
      </c>
      <c r="D764" cm="1">
        <f t="array" ref="D764">VLOOKUP(OrderLines[[#This Row],[SKU]:[SKU]],Menu[],MATCH(OrderLines[[#Headers],[UnitPrice]],Menu[#Headers],0),FALSE)</f>
        <v>50.19</v>
      </c>
      <c r="E764" cm="1">
        <f t="array" ref="E764">VLOOKUP(OrderLines[[#This Row],[SKU]:[SKU]],Menu[],MATCH(OrderLines[[#Headers],[UnitCost]],Menu[#Headers],0),FALSE)</f>
        <v>22.61</v>
      </c>
      <c r="F764" t="str" cm="1">
        <f t="array" ref="F764">VLOOKUP(OrderLines[[#This Row],[SKU]:[SKU]],Menu[],MATCH(OrderLines[[#Headers],[Category]],Menu[#Headers],0),FALSE)</f>
        <v>Snack</v>
      </c>
      <c r="G764" t="str" cm="1">
        <f t="array" ref="G764">_xlfn.TEXTJOIN("+",TRUE,_xlfn._xlws.SORT(_xlfn.UNIQUE(_xlfn._xlws.FILTER(OrderLines[Category],OrderLines[OrderID]=OrderLines[[#This Row],[OrderID]]))))</f>
        <v>Snack</v>
      </c>
      <c r="H764" s="2" cm="1">
        <f t="array" ref="H764">INT(VLOOKUP(OrderLines[[#This Row],[OrderID]:[OrderID]],Orders[],MATCH(OrderLines[[#Headers],[OrderDateTime]],Orders[#Headers],0),FALSE))</f>
        <v>45882</v>
      </c>
      <c r="I764" t="str" cm="1">
        <f t="array" ref="I764">VLOOKUP(OrderLines[[#This Row],[OrderID]:[OrderID]],Orders[],MATCH(OrderLines[[#Headers],[Branch]],Orders[#Headers],0),FALSE)</f>
        <v>Plant 1 Canteen</v>
      </c>
      <c r="J764" cm="1">
        <f t="array" ref="J764">VLOOKUP(OrderLines[[#This Row],[OrderID]:[OrderID]],Orders[],MATCH(OrderLines[[#Headers],[DiscountPct]],Orders[#Headers],0),FALSE)</f>
        <v>0.05</v>
      </c>
      <c r="K764" t="str" cm="1">
        <f t="array" ref="K764">VLOOKUP(OrderLines[[#This Row],[OrderID]:[OrderID]],Orders[],MATCH(OrderLines[[#Headers],[PaymentType]],Orders[#Headers],0),FALSE)</f>
        <v>UPI</v>
      </c>
      <c r="L764" t="str" cm="1">
        <f t="array" ref="L764">VLOOKUP(OrderLines[[#This Row],[OrderID]:[OrderID]],Orders[],MATCH(OrderLines[[#Headers],[Shift]],Orders[#Headers],0),FALSE)</f>
        <v>Dinner</v>
      </c>
      <c r="M764" s="8">
        <f>(OrderLines[[#This Row],[Qty]]*OrderLines[[#This Row],[UnitPrice]])*(1-OrderLines[[#This Row],[DiscountPct]])</f>
        <v>47.680499999999995</v>
      </c>
      <c r="N764" t="str">
        <f>IF(AND(COUNTIFS(OrderLines[OrderID],OrderLines[[#This Row],[OrderID]],OrderLines[Category],"Hot Meal"),COUNTIFS(OrderLines[OrderID],OrderLines[[#This Row],[OrderID]],OrderLines[Category],"Beverage")),"Combo","Single")</f>
        <v>Single</v>
      </c>
      <c r="O764" s="8" t="str" cm="1">
        <f t="array" ref="O764">IF(SUMPRODUCT(OrderLines[UnitPrice],OrderLines[Qty],OrderLines[DiscountPct],--(OrderLines[OrderID] = OrderLines[[#This Row],[OrderID]]))&gt;40,"High Discount","Ok")</f>
        <v>Ok</v>
      </c>
      <c r="P764">
        <f>OrderLines[[#This Row],[UnitCost]]*OrderLines[[#This Row],[Qty]]</f>
        <v>22.61</v>
      </c>
      <c r="Q764" s="8">
        <f>OrderLines[[#This Row],[LineNetAmount]]-OrderLines[[#This Row],[Food Cost]]</f>
        <v>25.070499999999996</v>
      </c>
    </row>
    <row r="765" spans="1:17" x14ac:dyDescent="0.3">
      <c r="A765" t="s">
        <v>333</v>
      </c>
      <c r="B765" t="s">
        <v>418</v>
      </c>
      <c r="C765">
        <v>3</v>
      </c>
      <c r="D765" cm="1">
        <f t="array" ref="D765">VLOOKUP(OrderLines[[#This Row],[SKU]:[SKU]],Menu[],MATCH(OrderLines[[#Headers],[UnitPrice]],Menu[#Headers],0),FALSE)</f>
        <v>39.950000000000003</v>
      </c>
      <c r="E765" cm="1">
        <f t="array" ref="E765">VLOOKUP(OrderLines[[#This Row],[SKU]:[SKU]],Menu[],MATCH(OrderLines[[#Headers],[UnitCost]],Menu[#Headers],0),FALSE)</f>
        <v>15.51</v>
      </c>
      <c r="F765" t="str" cm="1">
        <f t="array" ref="F765">VLOOKUP(OrderLines[[#This Row],[SKU]:[SKU]],Menu[],MATCH(OrderLines[[#Headers],[Category]],Menu[#Headers],0),FALSE)</f>
        <v>Snack</v>
      </c>
      <c r="G765" t="str" cm="1">
        <f t="array" ref="G765">_xlfn.TEXTJOIN("+",TRUE,_xlfn._xlws.SORT(_xlfn.UNIQUE(_xlfn._xlws.FILTER(OrderLines[Category],OrderLines[OrderID]=OrderLines[[#This Row],[OrderID]]))))</f>
        <v>Snack</v>
      </c>
      <c r="H765" s="2" cm="1">
        <f t="array" ref="H765">INT(VLOOKUP(OrderLines[[#This Row],[OrderID]:[OrderID]],Orders[],MATCH(OrderLines[[#Headers],[OrderDateTime]],Orders[#Headers],0),FALSE))</f>
        <v>45882</v>
      </c>
      <c r="I765" t="str" cm="1">
        <f t="array" ref="I765">VLOOKUP(OrderLines[[#This Row],[OrderID]:[OrderID]],Orders[],MATCH(OrderLines[[#Headers],[Branch]],Orders[#Headers],0),FALSE)</f>
        <v>Plant 1 Canteen</v>
      </c>
      <c r="J765" cm="1">
        <f t="array" ref="J765">VLOOKUP(OrderLines[[#This Row],[OrderID]:[OrderID]],Orders[],MATCH(OrderLines[[#Headers],[DiscountPct]],Orders[#Headers],0),FALSE)</f>
        <v>0.05</v>
      </c>
      <c r="K765" t="str" cm="1">
        <f t="array" ref="K765">VLOOKUP(OrderLines[[#This Row],[OrderID]:[OrderID]],Orders[],MATCH(OrderLines[[#Headers],[PaymentType]],Orders[#Headers],0),FALSE)</f>
        <v>UPI</v>
      </c>
      <c r="L765" t="str" cm="1">
        <f t="array" ref="L765">VLOOKUP(OrderLines[[#This Row],[OrderID]:[OrderID]],Orders[],MATCH(OrderLines[[#Headers],[Shift]],Orders[#Headers],0),FALSE)</f>
        <v>Dinner</v>
      </c>
      <c r="M765" s="8">
        <f>(OrderLines[[#This Row],[Qty]]*OrderLines[[#This Row],[UnitPrice]])*(1-OrderLines[[#This Row],[DiscountPct]])</f>
        <v>113.8575</v>
      </c>
      <c r="N765" t="str">
        <f>IF(AND(COUNTIFS(OrderLines[OrderID],OrderLines[[#This Row],[OrderID]],OrderLines[Category],"Hot Meal"),COUNTIFS(OrderLines[OrderID],OrderLines[[#This Row],[OrderID]],OrderLines[Category],"Beverage")),"Combo","Single")</f>
        <v>Single</v>
      </c>
      <c r="O765" s="8" t="str" cm="1">
        <f t="array" ref="O765">IF(SUMPRODUCT(OrderLines[UnitPrice],OrderLines[Qty],OrderLines[DiscountPct],--(OrderLines[OrderID] = OrderLines[[#This Row],[OrderID]]))&gt;40,"High Discount","Ok")</f>
        <v>Ok</v>
      </c>
      <c r="P765">
        <f>OrderLines[[#This Row],[UnitCost]]*OrderLines[[#This Row],[Qty]]</f>
        <v>46.53</v>
      </c>
      <c r="Q765" s="8">
        <f>OrderLines[[#This Row],[LineNetAmount]]-OrderLines[[#This Row],[Food Cost]]</f>
        <v>67.327500000000001</v>
      </c>
    </row>
    <row r="766" spans="1:17" x14ac:dyDescent="0.3">
      <c r="A766" t="s">
        <v>334</v>
      </c>
      <c r="B766" t="s">
        <v>408</v>
      </c>
      <c r="C766">
        <v>3</v>
      </c>
      <c r="D766" cm="1">
        <f t="array" ref="D766">VLOOKUP(OrderLines[[#This Row],[SKU]:[SKU]],Menu[],MATCH(OrderLines[[#Headers],[UnitPrice]],Menu[#Headers],0),FALSE)</f>
        <v>70.540000000000006</v>
      </c>
      <c r="E766" cm="1">
        <f t="array" ref="E766">VLOOKUP(OrderLines[[#This Row],[SKU]:[SKU]],Menu[],MATCH(OrderLines[[#Headers],[UnitCost]],Menu[#Headers],0),FALSE)</f>
        <v>35.81</v>
      </c>
      <c r="F766" t="str" cm="1">
        <f t="array" ref="F766">VLOOKUP(OrderLines[[#This Row],[SKU]:[SKU]],Menu[],MATCH(OrderLines[[#Headers],[Category]],Menu[#Headers],0),FALSE)</f>
        <v>Snack</v>
      </c>
      <c r="G766" t="str" cm="1">
        <f t="array" ref="G766">_xlfn.TEXTJOIN("+",TRUE,_xlfn._xlws.SORT(_xlfn.UNIQUE(_xlfn._xlws.FILTER(OrderLines[Category],OrderLines[OrderID]=OrderLines[[#This Row],[OrderID]]))))</f>
        <v>Snack</v>
      </c>
      <c r="H766" s="2" cm="1">
        <f t="array" ref="H766">INT(VLOOKUP(OrderLines[[#This Row],[OrderID]:[OrderID]],Orders[],MATCH(OrderLines[[#Headers],[OrderDateTime]],Orders[#Headers],0),FALSE))</f>
        <v>45888</v>
      </c>
      <c r="I766" t="str" cm="1">
        <f t="array" ref="I766">VLOOKUP(OrderLines[[#This Row],[OrderID]:[OrderID]],Orders[],MATCH(OrderLines[[#Headers],[Branch]],Orders[#Headers],0),FALSE)</f>
        <v>Head Office Café</v>
      </c>
      <c r="J766" cm="1">
        <f t="array" ref="J766">VLOOKUP(OrderLines[[#This Row],[OrderID]:[OrderID]],Orders[],MATCH(OrderLines[[#Headers],[DiscountPct]],Orders[#Headers],0),FALSE)</f>
        <v>0.08</v>
      </c>
      <c r="K766" t="str" cm="1">
        <f t="array" ref="K766">VLOOKUP(OrderLines[[#This Row],[OrderID]:[OrderID]],Orders[],MATCH(OrderLines[[#Headers],[PaymentType]],Orders[#Headers],0),FALSE)</f>
        <v>Cash</v>
      </c>
      <c r="L766" t="str" cm="1">
        <f t="array" ref="L766">VLOOKUP(OrderLines[[#This Row],[OrderID]:[OrderID]],Orders[],MATCH(OrderLines[[#Headers],[Shift]],Orders[#Headers],0),FALSE)</f>
        <v>Breakfast</v>
      </c>
      <c r="M766" s="8">
        <f>(OrderLines[[#This Row],[Qty]]*OrderLines[[#This Row],[UnitPrice]])*(1-OrderLines[[#This Row],[DiscountPct]])</f>
        <v>194.69040000000001</v>
      </c>
      <c r="N766" t="str">
        <f>IF(AND(COUNTIFS(OrderLines[OrderID],OrderLines[[#This Row],[OrderID]],OrderLines[Category],"Hot Meal"),COUNTIFS(OrderLines[OrderID],OrderLines[[#This Row],[OrderID]],OrderLines[Category],"Beverage")),"Combo","Single")</f>
        <v>Single</v>
      </c>
      <c r="O766" s="8" t="str" cm="1">
        <f t="array" ref="O766">IF(SUMPRODUCT(OrderLines[UnitPrice],OrderLines[Qty],OrderLines[DiscountPct],--(OrderLines[OrderID] = OrderLines[[#This Row],[OrderID]]))&gt;40,"High Discount","Ok")</f>
        <v>Ok</v>
      </c>
      <c r="P766">
        <f>OrderLines[[#This Row],[UnitCost]]*OrderLines[[#This Row],[Qty]]</f>
        <v>107.43</v>
      </c>
      <c r="Q766" s="8">
        <f>OrderLines[[#This Row],[LineNetAmount]]-OrderLines[[#This Row],[Food Cost]]</f>
        <v>87.260400000000004</v>
      </c>
    </row>
    <row r="767" spans="1:17" x14ac:dyDescent="0.3">
      <c r="A767" t="s">
        <v>335</v>
      </c>
      <c r="B767" t="s">
        <v>415</v>
      </c>
      <c r="C767">
        <v>1</v>
      </c>
      <c r="D767" cm="1">
        <f t="array" ref="D767">VLOOKUP(OrderLines[[#This Row],[SKU]:[SKU]],Menu[],MATCH(OrderLines[[#Headers],[UnitPrice]],Menu[#Headers],0),FALSE)</f>
        <v>256.91000000000003</v>
      </c>
      <c r="E767" cm="1">
        <f t="array" ref="E767">VLOOKUP(OrderLines[[#This Row],[SKU]:[SKU]],Menu[],MATCH(OrderLines[[#Headers],[UnitCost]],Menu[#Headers],0),FALSE)</f>
        <v>121.24</v>
      </c>
      <c r="F767" t="str" cm="1">
        <f t="array" ref="F767">VLOOKUP(OrderLines[[#This Row],[SKU]:[SKU]],Menu[],MATCH(OrderLines[[#Headers],[Category]],Menu[#Headers],0),FALSE)</f>
        <v>Hot Meal</v>
      </c>
      <c r="G767" t="str" cm="1">
        <f t="array" ref="G767">_xlfn.TEXTJOIN("+",TRUE,_xlfn._xlws.SORT(_xlfn.UNIQUE(_xlfn._xlws.FILTER(OrderLines[Category],OrderLines[OrderID]=OrderLines[[#This Row],[OrderID]]))))</f>
        <v>Hot Meal</v>
      </c>
      <c r="H767" s="2" cm="1">
        <f t="array" ref="H767">INT(VLOOKUP(OrderLines[[#This Row],[OrderID]:[OrderID]],Orders[],MATCH(OrderLines[[#Headers],[OrderDateTime]],Orders[#Headers],0),FALSE))</f>
        <v>45881</v>
      </c>
      <c r="I767" t="str" cm="1">
        <f t="array" ref="I767">VLOOKUP(OrderLines[[#This Row],[OrderID]:[OrderID]],Orders[],MATCH(OrderLines[[#Headers],[Branch]],Orders[#Headers],0),FALSE)</f>
        <v>Plant 2 Canteen</v>
      </c>
      <c r="J767" cm="1">
        <f t="array" ref="J767">VLOOKUP(OrderLines[[#This Row],[OrderID]:[OrderID]],Orders[],MATCH(OrderLines[[#Headers],[DiscountPct]],Orders[#Headers],0),FALSE)</f>
        <v>0.04</v>
      </c>
      <c r="K767" t="str" cm="1">
        <f t="array" ref="K767">VLOOKUP(OrderLines[[#This Row],[OrderID]:[OrderID]],Orders[],MATCH(OrderLines[[#Headers],[PaymentType]],Orders[#Headers],0),FALSE)</f>
        <v>UPI</v>
      </c>
      <c r="L767" t="str" cm="1">
        <f t="array" ref="L767">VLOOKUP(OrderLines[[#This Row],[OrderID]:[OrderID]],Orders[],MATCH(OrderLines[[#Headers],[Shift]],Orders[#Headers],0),FALSE)</f>
        <v>Dinner</v>
      </c>
      <c r="M767" s="8">
        <f>(OrderLines[[#This Row],[Qty]]*OrderLines[[#This Row],[UnitPrice]])*(1-OrderLines[[#This Row],[DiscountPct]])</f>
        <v>246.6336</v>
      </c>
      <c r="N767" t="str">
        <f>IF(AND(COUNTIFS(OrderLines[OrderID],OrderLines[[#This Row],[OrderID]],OrderLines[Category],"Hot Meal"),COUNTIFS(OrderLines[OrderID],OrderLines[[#This Row],[OrderID]],OrderLines[Category],"Beverage")),"Combo","Single")</f>
        <v>Single</v>
      </c>
      <c r="O767" s="8" t="str" cm="1">
        <f t="array" ref="O767">IF(SUMPRODUCT(OrderLines[UnitPrice],OrderLines[Qty],OrderLines[DiscountPct],--(OrderLines[OrderID] = OrderLines[[#This Row],[OrderID]]))&gt;40,"High Discount","Ok")</f>
        <v>Ok</v>
      </c>
      <c r="P767">
        <f>OrderLines[[#This Row],[UnitCost]]*OrderLines[[#This Row],[Qty]]</f>
        <v>121.24</v>
      </c>
      <c r="Q767" s="8">
        <f>OrderLines[[#This Row],[LineNetAmount]]-OrderLines[[#This Row],[Food Cost]]</f>
        <v>125.39360000000001</v>
      </c>
    </row>
    <row r="768" spans="1:17" x14ac:dyDescent="0.3">
      <c r="A768" t="s">
        <v>336</v>
      </c>
      <c r="B768" t="s">
        <v>406</v>
      </c>
      <c r="C768">
        <v>1</v>
      </c>
      <c r="D768" cm="1">
        <f t="array" ref="D768">VLOOKUP(OrderLines[[#This Row],[SKU]:[SKU]],Menu[],MATCH(OrderLines[[#Headers],[UnitPrice]],Menu[#Headers],0),FALSE)</f>
        <v>38.06</v>
      </c>
      <c r="E768" cm="1">
        <f t="array" ref="E768">VLOOKUP(OrderLines[[#This Row],[SKU]:[SKU]],Menu[],MATCH(OrderLines[[#Headers],[UnitCost]],Menu[#Headers],0),FALSE)</f>
        <v>19.55</v>
      </c>
      <c r="F768" t="str" cm="1">
        <f t="array" ref="F768">VLOOKUP(OrderLines[[#This Row],[SKU]:[SKU]],Menu[],MATCH(OrderLines[[#Headers],[Category]],Menu[#Headers],0),FALSE)</f>
        <v>Snack</v>
      </c>
      <c r="G768" t="str" cm="1">
        <f t="array" ref="G768">_xlfn.TEXTJOIN("+",TRUE,_xlfn._xlws.SORT(_xlfn.UNIQUE(_xlfn._xlws.FILTER(OrderLines[Category],OrderLines[OrderID]=OrderLines[[#This Row],[OrderID]]))))</f>
        <v>Beverage+Dessert+Hot Meal+Snack</v>
      </c>
      <c r="H768" s="2" cm="1">
        <f t="array" ref="H768">INT(VLOOKUP(OrderLines[[#This Row],[OrderID]:[OrderID]],Orders[],MATCH(OrderLines[[#Headers],[OrderDateTime]],Orders[#Headers],0),FALSE))</f>
        <v>45874</v>
      </c>
      <c r="I768" t="str" cm="1">
        <f t="array" ref="I768">VLOOKUP(OrderLines[[#This Row],[OrderID]:[OrderID]],Orders[],MATCH(OrderLines[[#Headers],[Branch]],Orders[#Headers],0),FALSE)</f>
        <v>Plant 2 Canteen</v>
      </c>
      <c r="J768" cm="1">
        <f t="array" ref="J768">VLOOKUP(OrderLines[[#This Row],[OrderID]:[OrderID]],Orders[],MATCH(OrderLines[[#Headers],[DiscountPct]],Orders[#Headers],0),FALSE)</f>
        <v>0.03</v>
      </c>
      <c r="K768" t="str" cm="1">
        <f t="array" ref="K768">VLOOKUP(OrderLines[[#This Row],[OrderID]:[OrderID]],Orders[],MATCH(OrderLines[[#Headers],[PaymentType]],Orders[#Headers],0),FALSE)</f>
        <v>Card</v>
      </c>
      <c r="L768" t="str" cm="1">
        <f t="array" ref="L768">VLOOKUP(OrderLines[[#This Row],[OrderID]:[OrderID]],Orders[],MATCH(OrderLines[[#Headers],[Shift]],Orders[#Headers],0),FALSE)</f>
        <v>Lunch</v>
      </c>
      <c r="M768" s="8">
        <f>(OrderLines[[#This Row],[Qty]]*OrderLines[[#This Row],[UnitPrice]])*(1-OrderLines[[#This Row],[DiscountPct]])</f>
        <v>36.918199999999999</v>
      </c>
      <c r="N768" t="str">
        <f>IF(AND(COUNTIFS(OrderLines[OrderID],OrderLines[[#This Row],[OrderID]],OrderLines[Category],"Hot Meal"),COUNTIFS(OrderLines[OrderID],OrderLines[[#This Row],[OrderID]],OrderLines[Category],"Beverage")),"Combo","Single")</f>
        <v>Combo</v>
      </c>
      <c r="O768" s="8" t="str" cm="1">
        <f t="array" ref="O768">IF(SUMPRODUCT(OrderLines[UnitPrice],OrderLines[Qty],OrderLines[DiscountPct],--(OrderLines[OrderID] = OrderLines[[#This Row],[OrderID]]))&gt;40,"High Discount","Ok")</f>
        <v>Ok</v>
      </c>
      <c r="P768">
        <f>OrderLines[[#This Row],[UnitCost]]*OrderLines[[#This Row],[Qty]]</f>
        <v>19.55</v>
      </c>
      <c r="Q768" s="8">
        <f>OrderLines[[#This Row],[LineNetAmount]]-OrderLines[[#This Row],[Food Cost]]</f>
        <v>17.368199999999998</v>
      </c>
    </row>
    <row r="769" spans="1:17" x14ac:dyDescent="0.3">
      <c r="A769" t="s">
        <v>336</v>
      </c>
      <c r="B769" t="s">
        <v>414</v>
      </c>
      <c r="C769">
        <v>1</v>
      </c>
      <c r="D769" cm="1">
        <f t="array" ref="D769">VLOOKUP(OrderLines[[#This Row],[SKU]:[SKU]],Menu[],MATCH(OrderLines[[#Headers],[UnitPrice]],Menu[#Headers],0),FALSE)</f>
        <v>116.8</v>
      </c>
      <c r="E769" cm="1">
        <f t="array" ref="E769">VLOOKUP(OrderLines[[#This Row],[SKU]:[SKU]],Menu[],MATCH(OrderLines[[#Headers],[UnitCost]],Menu[#Headers],0),FALSE)</f>
        <v>48.97</v>
      </c>
      <c r="F769" t="str" cm="1">
        <f t="array" ref="F769">VLOOKUP(OrderLines[[#This Row],[SKU]:[SKU]],Menu[],MATCH(OrderLines[[#Headers],[Category]],Menu[#Headers],0),FALSE)</f>
        <v>Dessert</v>
      </c>
      <c r="G769" t="str" cm="1">
        <f t="array" ref="G769">_xlfn.TEXTJOIN("+",TRUE,_xlfn._xlws.SORT(_xlfn.UNIQUE(_xlfn._xlws.FILTER(OrderLines[Category],OrderLines[OrderID]=OrderLines[[#This Row],[OrderID]]))))</f>
        <v>Beverage+Dessert+Hot Meal+Snack</v>
      </c>
      <c r="H769" s="2" cm="1">
        <f t="array" ref="H769">INT(VLOOKUP(OrderLines[[#This Row],[OrderID]:[OrderID]],Orders[],MATCH(OrderLines[[#Headers],[OrderDateTime]],Orders[#Headers],0),FALSE))</f>
        <v>45874</v>
      </c>
      <c r="I769" t="str" cm="1">
        <f t="array" ref="I769">VLOOKUP(OrderLines[[#This Row],[OrderID]:[OrderID]],Orders[],MATCH(OrderLines[[#Headers],[Branch]],Orders[#Headers],0),FALSE)</f>
        <v>Plant 2 Canteen</v>
      </c>
      <c r="J769" cm="1">
        <f t="array" ref="J769">VLOOKUP(OrderLines[[#This Row],[OrderID]:[OrderID]],Orders[],MATCH(OrderLines[[#Headers],[DiscountPct]],Orders[#Headers],0),FALSE)</f>
        <v>0.03</v>
      </c>
      <c r="K769" t="str" cm="1">
        <f t="array" ref="K769">VLOOKUP(OrderLines[[#This Row],[OrderID]:[OrderID]],Orders[],MATCH(OrderLines[[#Headers],[PaymentType]],Orders[#Headers],0),FALSE)</f>
        <v>Card</v>
      </c>
      <c r="L769" t="str" cm="1">
        <f t="array" ref="L769">VLOOKUP(OrderLines[[#This Row],[OrderID]:[OrderID]],Orders[],MATCH(OrderLines[[#Headers],[Shift]],Orders[#Headers],0),FALSE)</f>
        <v>Lunch</v>
      </c>
      <c r="M769" s="8">
        <f>(OrderLines[[#This Row],[Qty]]*OrderLines[[#This Row],[UnitPrice]])*(1-OrderLines[[#This Row],[DiscountPct]])</f>
        <v>113.29599999999999</v>
      </c>
      <c r="N769" t="str">
        <f>IF(AND(COUNTIFS(OrderLines[OrderID],OrderLines[[#This Row],[OrderID]],OrderLines[Category],"Hot Meal"),COUNTIFS(OrderLines[OrderID],OrderLines[[#This Row],[OrderID]],OrderLines[Category],"Beverage")),"Combo","Single")</f>
        <v>Combo</v>
      </c>
      <c r="O769" s="8" t="str" cm="1">
        <f t="array" ref="O769">IF(SUMPRODUCT(OrderLines[UnitPrice],OrderLines[Qty],OrderLines[DiscountPct],--(OrderLines[OrderID] = OrderLines[[#This Row],[OrderID]]))&gt;40,"High Discount","Ok")</f>
        <v>Ok</v>
      </c>
      <c r="P769">
        <f>OrderLines[[#This Row],[UnitCost]]*OrderLines[[#This Row],[Qty]]</f>
        <v>48.97</v>
      </c>
      <c r="Q769" s="8">
        <f>OrderLines[[#This Row],[LineNetAmount]]-OrderLines[[#This Row],[Food Cost]]</f>
        <v>64.325999999999993</v>
      </c>
    </row>
    <row r="770" spans="1:17" x14ac:dyDescent="0.3">
      <c r="A770" t="s">
        <v>336</v>
      </c>
      <c r="B770" t="s">
        <v>417</v>
      </c>
      <c r="C770">
        <v>2</v>
      </c>
      <c r="D770" cm="1">
        <f t="array" ref="D770">VLOOKUP(OrderLines[[#This Row],[SKU]:[SKU]],Menu[],MATCH(OrderLines[[#Headers],[UnitPrice]],Menu[#Headers],0),FALSE)</f>
        <v>146.4</v>
      </c>
      <c r="E770" cm="1">
        <f t="array" ref="E770">VLOOKUP(OrderLines[[#This Row],[SKU]:[SKU]],Menu[],MATCH(OrderLines[[#Headers],[UnitCost]],Menu[#Headers],0),FALSE)</f>
        <v>80.92</v>
      </c>
      <c r="F770" t="str" cm="1">
        <f t="array" ref="F770">VLOOKUP(OrderLines[[#This Row],[SKU]:[SKU]],Menu[],MATCH(OrderLines[[#Headers],[Category]],Menu[#Headers],0),FALSE)</f>
        <v>Hot Meal</v>
      </c>
      <c r="G770" t="str" cm="1">
        <f t="array" ref="G770">_xlfn.TEXTJOIN("+",TRUE,_xlfn._xlws.SORT(_xlfn.UNIQUE(_xlfn._xlws.FILTER(OrderLines[Category],OrderLines[OrderID]=OrderLines[[#This Row],[OrderID]]))))</f>
        <v>Beverage+Dessert+Hot Meal+Snack</v>
      </c>
      <c r="H770" s="2" cm="1">
        <f t="array" ref="H770">INT(VLOOKUP(OrderLines[[#This Row],[OrderID]:[OrderID]],Orders[],MATCH(OrderLines[[#Headers],[OrderDateTime]],Orders[#Headers],0),FALSE))</f>
        <v>45874</v>
      </c>
      <c r="I770" t="str" cm="1">
        <f t="array" ref="I770">VLOOKUP(OrderLines[[#This Row],[OrderID]:[OrderID]],Orders[],MATCH(OrderLines[[#Headers],[Branch]],Orders[#Headers],0),FALSE)</f>
        <v>Plant 2 Canteen</v>
      </c>
      <c r="J770" cm="1">
        <f t="array" ref="J770">VLOOKUP(OrderLines[[#This Row],[OrderID]:[OrderID]],Orders[],MATCH(OrderLines[[#Headers],[DiscountPct]],Orders[#Headers],0),FALSE)</f>
        <v>0.03</v>
      </c>
      <c r="K770" t="str" cm="1">
        <f t="array" ref="K770">VLOOKUP(OrderLines[[#This Row],[OrderID]:[OrderID]],Orders[],MATCH(OrderLines[[#Headers],[PaymentType]],Orders[#Headers],0),FALSE)</f>
        <v>Card</v>
      </c>
      <c r="L770" t="str" cm="1">
        <f t="array" ref="L770">VLOOKUP(OrderLines[[#This Row],[OrderID]:[OrderID]],Orders[],MATCH(OrderLines[[#Headers],[Shift]],Orders[#Headers],0),FALSE)</f>
        <v>Lunch</v>
      </c>
      <c r="M770" s="8">
        <f>(OrderLines[[#This Row],[Qty]]*OrderLines[[#This Row],[UnitPrice]])*(1-OrderLines[[#This Row],[DiscountPct]])</f>
        <v>284.01600000000002</v>
      </c>
      <c r="N770" t="str">
        <f>IF(AND(COUNTIFS(OrderLines[OrderID],OrderLines[[#This Row],[OrderID]],OrderLines[Category],"Hot Meal"),COUNTIFS(OrderLines[OrderID],OrderLines[[#This Row],[OrderID]],OrderLines[Category],"Beverage")),"Combo","Single")</f>
        <v>Combo</v>
      </c>
      <c r="O770" s="8" t="str" cm="1">
        <f t="array" ref="O770">IF(SUMPRODUCT(OrderLines[UnitPrice],OrderLines[Qty],OrderLines[DiscountPct],--(OrderLines[OrderID] = OrderLines[[#This Row],[OrderID]]))&gt;40,"High Discount","Ok")</f>
        <v>Ok</v>
      </c>
      <c r="P770">
        <f>OrderLines[[#This Row],[UnitCost]]*OrderLines[[#This Row],[Qty]]</f>
        <v>161.84</v>
      </c>
      <c r="Q770" s="8">
        <f>OrderLines[[#This Row],[LineNetAmount]]-OrderLines[[#This Row],[Food Cost]]</f>
        <v>122.17600000000002</v>
      </c>
    </row>
    <row r="771" spans="1:17" x14ac:dyDescent="0.3">
      <c r="A771" t="s">
        <v>336</v>
      </c>
      <c r="B771" t="s">
        <v>410</v>
      </c>
      <c r="C771">
        <v>1</v>
      </c>
      <c r="D771" cm="1">
        <f t="array" ref="D771">VLOOKUP(OrderLines[[#This Row],[SKU]:[SKU]],Menu[],MATCH(OrderLines[[#Headers],[UnitPrice]],Menu[#Headers],0),FALSE)</f>
        <v>20.11</v>
      </c>
      <c r="E771" cm="1">
        <f t="array" ref="E771">VLOOKUP(OrderLines[[#This Row],[SKU]:[SKU]],Menu[],MATCH(OrderLines[[#Headers],[UnitCost]],Menu[#Headers],0),FALSE)</f>
        <v>8</v>
      </c>
      <c r="F771" t="str" cm="1">
        <f t="array" ref="F771">VLOOKUP(OrderLines[[#This Row],[SKU]:[SKU]],Menu[],MATCH(OrderLines[[#Headers],[Category]],Menu[#Headers],0),FALSE)</f>
        <v>Beverage</v>
      </c>
      <c r="G771" t="str" cm="1">
        <f t="array" ref="G771">_xlfn.TEXTJOIN("+",TRUE,_xlfn._xlws.SORT(_xlfn.UNIQUE(_xlfn._xlws.FILTER(OrderLines[Category],OrderLines[OrderID]=OrderLines[[#This Row],[OrderID]]))))</f>
        <v>Beverage+Dessert+Hot Meal+Snack</v>
      </c>
      <c r="H771" s="2" cm="1">
        <f t="array" ref="H771">INT(VLOOKUP(OrderLines[[#This Row],[OrderID]:[OrderID]],Orders[],MATCH(OrderLines[[#Headers],[OrderDateTime]],Orders[#Headers],0),FALSE))</f>
        <v>45874</v>
      </c>
      <c r="I771" t="str" cm="1">
        <f t="array" ref="I771">VLOOKUP(OrderLines[[#This Row],[OrderID]:[OrderID]],Orders[],MATCH(OrderLines[[#Headers],[Branch]],Orders[#Headers],0),FALSE)</f>
        <v>Plant 2 Canteen</v>
      </c>
      <c r="J771" cm="1">
        <f t="array" ref="J771">VLOOKUP(OrderLines[[#This Row],[OrderID]:[OrderID]],Orders[],MATCH(OrderLines[[#Headers],[DiscountPct]],Orders[#Headers],0),FALSE)</f>
        <v>0.03</v>
      </c>
      <c r="K771" t="str" cm="1">
        <f t="array" ref="K771">VLOOKUP(OrderLines[[#This Row],[OrderID]:[OrderID]],Orders[],MATCH(OrderLines[[#Headers],[PaymentType]],Orders[#Headers],0),FALSE)</f>
        <v>Card</v>
      </c>
      <c r="L771" t="str" cm="1">
        <f t="array" ref="L771">VLOOKUP(OrderLines[[#This Row],[OrderID]:[OrderID]],Orders[],MATCH(OrderLines[[#Headers],[Shift]],Orders[#Headers],0),FALSE)</f>
        <v>Lunch</v>
      </c>
      <c r="M771" s="8">
        <f>(OrderLines[[#This Row],[Qty]]*OrderLines[[#This Row],[UnitPrice]])*(1-OrderLines[[#This Row],[DiscountPct]])</f>
        <v>19.506699999999999</v>
      </c>
      <c r="N771" t="str">
        <f>IF(AND(COUNTIFS(OrderLines[OrderID],OrderLines[[#This Row],[OrderID]],OrderLines[Category],"Hot Meal"),COUNTIFS(OrderLines[OrderID],OrderLines[[#This Row],[OrderID]],OrderLines[Category],"Beverage")),"Combo","Single")</f>
        <v>Combo</v>
      </c>
      <c r="O771" s="8" t="str" cm="1">
        <f t="array" ref="O771">IF(SUMPRODUCT(OrderLines[UnitPrice],OrderLines[Qty],OrderLines[DiscountPct],--(OrderLines[OrderID] = OrderLines[[#This Row],[OrderID]]))&gt;40,"High Discount","Ok")</f>
        <v>Ok</v>
      </c>
      <c r="P771">
        <f>OrderLines[[#This Row],[UnitCost]]*OrderLines[[#This Row],[Qty]]</f>
        <v>8</v>
      </c>
      <c r="Q771" s="8">
        <f>OrderLines[[#This Row],[LineNetAmount]]-OrderLines[[#This Row],[Food Cost]]</f>
        <v>11.506699999999999</v>
      </c>
    </row>
    <row r="772" spans="1:17" x14ac:dyDescent="0.3">
      <c r="A772" t="s">
        <v>337</v>
      </c>
      <c r="B772" t="s">
        <v>413</v>
      </c>
      <c r="C772">
        <v>1</v>
      </c>
      <c r="D772" cm="1">
        <f t="array" ref="D772">VLOOKUP(OrderLines[[#This Row],[SKU]:[SKU]],Menu[],MATCH(OrderLines[[#Headers],[UnitPrice]],Menu[#Headers],0),FALSE)</f>
        <v>54.2</v>
      </c>
      <c r="E772" cm="1">
        <f t="array" ref="E772">VLOOKUP(OrderLines[[#This Row],[SKU]:[SKU]],Menu[],MATCH(OrderLines[[#Headers],[UnitCost]],Menu[#Headers],0),FALSE)</f>
        <v>21.95</v>
      </c>
      <c r="F772" t="str" cm="1">
        <f t="array" ref="F772">VLOOKUP(OrderLines[[#This Row],[SKU]:[SKU]],Menu[],MATCH(OrderLines[[#Headers],[Category]],Menu[#Headers],0),FALSE)</f>
        <v>Dessert</v>
      </c>
      <c r="G772" t="str" cm="1">
        <f t="array" ref="G772">_xlfn.TEXTJOIN("+",TRUE,_xlfn._xlws.SORT(_xlfn.UNIQUE(_xlfn._xlws.FILTER(OrderLines[Category],OrderLines[OrderID]=OrderLines[[#This Row],[OrderID]]))))</f>
        <v>Dessert+Hot Meal+Snack</v>
      </c>
      <c r="H772" s="2" cm="1">
        <f t="array" ref="H772">INT(VLOOKUP(OrderLines[[#This Row],[OrderID]:[OrderID]],Orders[],MATCH(OrderLines[[#Headers],[OrderDateTime]],Orders[#Headers],0),FALSE))</f>
        <v>45872</v>
      </c>
      <c r="I772" t="str" cm="1">
        <f t="array" ref="I772">VLOOKUP(OrderLines[[#This Row],[OrderID]:[OrderID]],Orders[],MATCH(OrderLines[[#Headers],[Branch]],Orders[#Headers],0),FALSE)</f>
        <v>Head Office Café</v>
      </c>
      <c r="J772" cm="1">
        <f t="array" ref="J772">VLOOKUP(OrderLines[[#This Row],[OrderID]:[OrderID]],Orders[],MATCH(OrderLines[[#Headers],[DiscountPct]],Orders[#Headers],0),FALSE)</f>
        <v>7.0000000000000007E-2</v>
      </c>
      <c r="K772" t="str" cm="1">
        <f t="array" ref="K772">VLOOKUP(OrderLines[[#This Row],[OrderID]:[OrderID]],Orders[],MATCH(OrderLines[[#Headers],[PaymentType]],Orders[#Headers],0),FALSE)</f>
        <v>Cash</v>
      </c>
      <c r="L772" t="str" cm="1">
        <f t="array" ref="L772">VLOOKUP(OrderLines[[#This Row],[OrderID]:[OrderID]],Orders[],MATCH(OrderLines[[#Headers],[Shift]],Orders[#Headers],0),FALSE)</f>
        <v>Breakfast</v>
      </c>
      <c r="M772" s="8">
        <f>(OrderLines[[#This Row],[Qty]]*OrderLines[[#This Row],[UnitPrice]])*(1-OrderLines[[#This Row],[DiscountPct]])</f>
        <v>50.405999999999999</v>
      </c>
      <c r="N772" t="str">
        <f>IF(AND(COUNTIFS(OrderLines[OrderID],OrderLines[[#This Row],[OrderID]],OrderLines[Category],"Hot Meal"),COUNTIFS(OrderLines[OrderID],OrderLines[[#This Row],[OrderID]],OrderLines[Category],"Beverage")),"Combo","Single")</f>
        <v>Single</v>
      </c>
      <c r="O772" s="8" t="str" cm="1">
        <f t="array" ref="O772">IF(SUMPRODUCT(OrderLines[UnitPrice],OrderLines[Qty],OrderLines[DiscountPct],--(OrderLines[OrderID] = OrderLines[[#This Row],[OrderID]]))&gt;40,"High Discount","Ok")</f>
        <v>Ok</v>
      </c>
      <c r="P772">
        <f>OrderLines[[#This Row],[UnitCost]]*OrderLines[[#This Row],[Qty]]</f>
        <v>21.95</v>
      </c>
      <c r="Q772" s="8">
        <f>OrderLines[[#This Row],[LineNetAmount]]-OrderLines[[#This Row],[Food Cost]]</f>
        <v>28.456</v>
      </c>
    </row>
    <row r="773" spans="1:17" x14ac:dyDescent="0.3">
      <c r="A773" t="s">
        <v>337</v>
      </c>
      <c r="B773" t="s">
        <v>407</v>
      </c>
      <c r="C773">
        <v>1</v>
      </c>
      <c r="D773" cm="1">
        <f t="array" ref="D773">VLOOKUP(OrderLines[[#This Row],[SKU]:[SKU]],Menu[],MATCH(OrderLines[[#Headers],[UnitPrice]],Menu[#Headers],0),FALSE)</f>
        <v>246.09</v>
      </c>
      <c r="E773" cm="1">
        <f t="array" ref="E773">VLOOKUP(OrderLines[[#This Row],[SKU]:[SKU]],Menu[],MATCH(OrderLines[[#Headers],[UnitCost]],Menu[#Headers],0),FALSE)</f>
        <v>112.08</v>
      </c>
      <c r="F773" t="str" cm="1">
        <f t="array" ref="F773">VLOOKUP(OrderLines[[#This Row],[SKU]:[SKU]],Menu[],MATCH(OrderLines[[#Headers],[Category]],Menu[#Headers],0),FALSE)</f>
        <v>Hot Meal</v>
      </c>
      <c r="G773" t="str" cm="1">
        <f t="array" ref="G773">_xlfn.TEXTJOIN("+",TRUE,_xlfn._xlws.SORT(_xlfn.UNIQUE(_xlfn._xlws.FILTER(OrderLines[Category],OrderLines[OrderID]=OrderLines[[#This Row],[OrderID]]))))</f>
        <v>Dessert+Hot Meal+Snack</v>
      </c>
      <c r="H773" s="2" cm="1">
        <f t="array" ref="H773">INT(VLOOKUP(OrderLines[[#This Row],[OrderID]:[OrderID]],Orders[],MATCH(OrderLines[[#Headers],[OrderDateTime]],Orders[#Headers],0),FALSE))</f>
        <v>45872</v>
      </c>
      <c r="I773" t="str" cm="1">
        <f t="array" ref="I773">VLOOKUP(OrderLines[[#This Row],[OrderID]:[OrderID]],Orders[],MATCH(OrderLines[[#Headers],[Branch]],Orders[#Headers],0),FALSE)</f>
        <v>Head Office Café</v>
      </c>
      <c r="J773" cm="1">
        <f t="array" ref="J773">VLOOKUP(OrderLines[[#This Row],[OrderID]:[OrderID]],Orders[],MATCH(OrderLines[[#Headers],[DiscountPct]],Orders[#Headers],0),FALSE)</f>
        <v>7.0000000000000007E-2</v>
      </c>
      <c r="K773" t="str" cm="1">
        <f t="array" ref="K773">VLOOKUP(OrderLines[[#This Row],[OrderID]:[OrderID]],Orders[],MATCH(OrderLines[[#Headers],[PaymentType]],Orders[#Headers],0),FALSE)</f>
        <v>Cash</v>
      </c>
      <c r="L773" t="str" cm="1">
        <f t="array" ref="L773">VLOOKUP(OrderLines[[#This Row],[OrderID]:[OrderID]],Orders[],MATCH(OrderLines[[#Headers],[Shift]],Orders[#Headers],0),FALSE)</f>
        <v>Breakfast</v>
      </c>
      <c r="M773" s="8">
        <f>(OrderLines[[#This Row],[Qty]]*OrderLines[[#This Row],[UnitPrice]])*(1-OrderLines[[#This Row],[DiscountPct]])</f>
        <v>228.86369999999999</v>
      </c>
      <c r="N773" t="str">
        <f>IF(AND(COUNTIFS(OrderLines[OrderID],OrderLines[[#This Row],[OrderID]],OrderLines[Category],"Hot Meal"),COUNTIFS(OrderLines[OrderID],OrderLines[[#This Row],[OrderID]],OrderLines[Category],"Beverage")),"Combo","Single")</f>
        <v>Single</v>
      </c>
      <c r="O773" s="8" t="str" cm="1">
        <f t="array" ref="O773">IF(SUMPRODUCT(OrderLines[UnitPrice],OrderLines[Qty],OrderLines[DiscountPct],--(OrderLines[OrderID] = OrderLines[[#This Row],[OrderID]]))&gt;40,"High Discount","Ok")</f>
        <v>Ok</v>
      </c>
      <c r="P773">
        <f>OrderLines[[#This Row],[UnitCost]]*OrderLines[[#This Row],[Qty]]</f>
        <v>112.08</v>
      </c>
      <c r="Q773" s="8">
        <f>OrderLines[[#This Row],[LineNetAmount]]-OrderLines[[#This Row],[Food Cost]]</f>
        <v>116.7837</v>
      </c>
    </row>
    <row r="774" spans="1:17" x14ac:dyDescent="0.3">
      <c r="A774" t="s">
        <v>337</v>
      </c>
      <c r="B774" t="s">
        <v>401</v>
      </c>
      <c r="C774">
        <v>2</v>
      </c>
      <c r="D774" cm="1">
        <f t="array" ref="D774">VLOOKUP(OrderLines[[#This Row],[SKU]:[SKU]],Menu[],MATCH(OrderLines[[#Headers],[UnitPrice]],Menu[#Headers],0),FALSE)</f>
        <v>52.45</v>
      </c>
      <c r="E774" cm="1">
        <f t="array" ref="E774">VLOOKUP(OrderLines[[#This Row],[SKU]:[SKU]],Menu[],MATCH(OrderLines[[#Headers],[UnitCost]],Menu[#Headers],0),FALSE)</f>
        <v>25.8</v>
      </c>
      <c r="F774" t="str" cm="1">
        <f t="array" ref="F774">VLOOKUP(OrderLines[[#This Row],[SKU]:[SKU]],Menu[],MATCH(OrderLines[[#Headers],[Category]],Menu[#Headers],0),FALSE)</f>
        <v>Snack</v>
      </c>
      <c r="G774" t="str" cm="1">
        <f t="array" ref="G774">_xlfn.TEXTJOIN("+",TRUE,_xlfn._xlws.SORT(_xlfn.UNIQUE(_xlfn._xlws.FILTER(OrderLines[Category],OrderLines[OrderID]=OrderLines[[#This Row],[OrderID]]))))</f>
        <v>Dessert+Hot Meal+Snack</v>
      </c>
      <c r="H774" s="2" cm="1">
        <f t="array" ref="H774">INT(VLOOKUP(OrderLines[[#This Row],[OrderID]:[OrderID]],Orders[],MATCH(OrderLines[[#Headers],[OrderDateTime]],Orders[#Headers],0),FALSE))</f>
        <v>45872</v>
      </c>
      <c r="I774" t="str" cm="1">
        <f t="array" ref="I774">VLOOKUP(OrderLines[[#This Row],[OrderID]:[OrderID]],Orders[],MATCH(OrderLines[[#Headers],[Branch]],Orders[#Headers],0),FALSE)</f>
        <v>Head Office Café</v>
      </c>
      <c r="J774" cm="1">
        <f t="array" ref="J774">VLOOKUP(OrderLines[[#This Row],[OrderID]:[OrderID]],Orders[],MATCH(OrderLines[[#Headers],[DiscountPct]],Orders[#Headers],0),FALSE)</f>
        <v>7.0000000000000007E-2</v>
      </c>
      <c r="K774" t="str" cm="1">
        <f t="array" ref="K774">VLOOKUP(OrderLines[[#This Row],[OrderID]:[OrderID]],Orders[],MATCH(OrderLines[[#Headers],[PaymentType]],Orders[#Headers],0),FALSE)</f>
        <v>Cash</v>
      </c>
      <c r="L774" t="str" cm="1">
        <f t="array" ref="L774">VLOOKUP(OrderLines[[#This Row],[OrderID]:[OrderID]],Orders[],MATCH(OrderLines[[#Headers],[Shift]],Orders[#Headers],0),FALSE)</f>
        <v>Breakfast</v>
      </c>
      <c r="M774" s="8">
        <f>(OrderLines[[#This Row],[Qty]]*OrderLines[[#This Row],[UnitPrice]])*(1-OrderLines[[#This Row],[DiscountPct]])</f>
        <v>97.557000000000002</v>
      </c>
      <c r="N774" t="str">
        <f>IF(AND(COUNTIFS(OrderLines[OrderID],OrderLines[[#This Row],[OrderID]],OrderLines[Category],"Hot Meal"),COUNTIFS(OrderLines[OrderID],OrderLines[[#This Row],[OrderID]],OrderLines[Category],"Beverage")),"Combo","Single")</f>
        <v>Single</v>
      </c>
      <c r="O774" s="8" t="str" cm="1">
        <f t="array" ref="O774">IF(SUMPRODUCT(OrderLines[UnitPrice],OrderLines[Qty],OrderLines[DiscountPct],--(OrderLines[OrderID] = OrderLines[[#This Row],[OrderID]]))&gt;40,"High Discount","Ok")</f>
        <v>Ok</v>
      </c>
      <c r="P774">
        <f>OrderLines[[#This Row],[UnitCost]]*OrderLines[[#This Row],[Qty]]</f>
        <v>51.6</v>
      </c>
      <c r="Q774" s="8">
        <f>OrderLines[[#This Row],[LineNetAmount]]-OrderLines[[#This Row],[Food Cost]]</f>
        <v>45.957000000000001</v>
      </c>
    </row>
    <row r="775" spans="1:17" x14ac:dyDescent="0.3">
      <c r="A775" t="s">
        <v>338</v>
      </c>
      <c r="B775" t="s">
        <v>418</v>
      </c>
      <c r="C775">
        <v>3</v>
      </c>
      <c r="D775" cm="1">
        <f t="array" ref="D775">VLOOKUP(OrderLines[[#This Row],[SKU]:[SKU]],Menu[],MATCH(OrderLines[[#Headers],[UnitPrice]],Menu[#Headers],0),FALSE)</f>
        <v>39.950000000000003</v>
      </c>
      <c r="E775" cm="1">
        <f t="array" ref="E775">VLOOKUP(OrderLines[[#This Row],[SKU]:[SKU]],Menu[],MATCH(OrderLines[[#Headers],[UnitCost]],Menu[#Headers],0),FALSE)</f>
        <v>15.51</v>
      </c>
      <c r="F775" t="str" cm="1">
        <f t="array" ref="F775">VLOOKUP(OrderLines[[#This Row],[SKU]:[SKU]],Menu[],MATCH(OrderLines[[#Headers],[Category]],Menu[#Headers],0),FALSE)</f>
        <v>Snack</v>
      </c>
      <c r="G775" t="str" cm="1">
        <f t="array" ref="G775">_xlfn.TEXTJOIN("+",TRUE,_xlfn._xlws.SORT(_xlfn.UNIQUE(_xlfn._xlws.FILTER(OrderLines[Category],OrderLines[OrderID]=OrderLines[[#This Row],[OrderID]]))))</f>
        <v>Dessert+Snack</v>
      </c>
      <c r="H775" s="2" cm="1">
        <f t="array" ref="H775">INT(VLOOKUP(OrderLines[[#This Row],[OrderID]:[OrderID]],Orders[],MATCH(OrderLines[[#Headers],[OrderDateTime]],Orders[#Headers],0),FALSE))</f>
        <v>45845</v>
      </c>
      <c r="I775" t="str" cm="1">
        <f t="array" ref="I775">VLOOKUP(OrderLines[[#This Row],[OrderID]:[OrderID]],Orders[],MATCH(OrderLines[[#Headers],[Branch]],Orders[#Headers],0),FALSE)</f>
        <v>Plant 2 Canteen</v>
      </c>
      <c r="J775" cm="1">
        <f t="array" ref="J775">VLOOKUP(OrderLines[[#This Row],[OrderID]:[OrderID]],Orders[],MATCH(OrderLines[[#Headers],[DiscountPct]],Orders[#Headers],0),FALSE)</f>
        <v>7.0000000000000007E-2</v>
      </c>
      <c r="K775" t="str" cm="1">
        <f t="array" ref="K775">VLOOKUP(OrderLines[[#This Row],[OrderID]:[OrderID]],Orders[],MATCH(OrderLines[[#Headers],[PaymentType]],Orders[#Headers],0),FALSE)</f>
        <v>UPI</v>
      </c>
      <c r="L775" t="str" cm="1">
        <f t="array" ref="L775">VLOOKUP(OrderLines[[#This Row],[OrderID]:[OrderID]],Orders[],MATCH(OrderLines[[#Headers],[Shift]],Orders[#Headers],0),FALSE)</f>
        <v>Lunch</v>
      </c>
      <c r="M775" s="8">
        <f>(OrderLines[[#This Row],[Qty]]*OrderLines[[#This Row],[UnitPrice]])*(1-OrderLines[[#This Row],[DiscountPct]])</f>
        <v>111.4605</v>
      </c>
      <c r="N775" t="str">
        <f>IF(AND(COUNTIFS(OrderLines[OrderID],OrderLines[[#This Row],[OrderID]],OrderLines[Category],"Hot Meal"),COUNTIFS(OrderLines[OrderID],OrderLines[[#This Row],[OrderID]],OrderLines[Category],"Beverage")),"Combo","Single")</f>
        <v>Single</v>
      </c>
      <c r="O775" s="8" t="str" cm="1">
        <f t="array" ref="O775">IF(SUMPRODUCT(OrderLines[UnitPrice],OrderLines[Qty],OrderLines[DiscountPct],--(OrderLines[OrderID] = OrderLines[[#This Row],[OrderID]]))&gt;40,"High Discount","Ok")</f>
        <v>Ok</v>
      </c>
      <c r="P775">
        <f>OrderLines[[#This Row],[UnitCost]]*OrderLines[[#This Row],[Qty]]</f>
        <v>46.53</v>
      </c>
      <c r="Q775" s="8">
        <f>OrderLines[[#This Row],[LineNetAmount]]-OrderLines[[#This Row],[Food Cost]]</f>
        <v>64.930499999999995</v>
      </c>
    </row>
    <row r="776" spans="1:17" x14ac:dyDescent="0.3">
      <c r="A776" t="s">
        <v>338</v>
      </c>
      <c r="B776" t="s">
        <v>403</v>
      </c>
      <c r="C776">
        <v>1</v>
      </c>
      <c r="D776" cm="1">
        <f t="array" ref="D776">VLOOKUP(OrderLines[[#This Row],[SKU]:[SKU]],Menu[],MATCH(OrderLines[[#Headers],[UnitPrice]],Menu[#Headers],0),FALSE)</f>
        <v>76.55</v>
      </c>
      <c r="E776" cm="1">
        <f t="array" ref="E776">VLOOKUP(OrderLines[[#This Row],[SKU]:[SKU]],Menu[],MATCH(OrderLines[[#Headers],[UnitCost]],Menu[#Headers],0),FALSE)</f>
        <v>38.229999999999997</v>
      </c>
      <c r="F776" t="str" cm="1">
        <f t="array" ref="F776">VLOOKUP(OrderLines[[#This Row],[SKU]:[SKU]],Menu[],MATCH(OrderLines[[#Headers],[Category]],Menu[#Headers],0),FALSE)</f>
        <v>Dessert</v>
      </c>
      <c r="G776" t="str" cm="1">
        <f t="array" ref="G776">_xlfn.TEXTJOIN("+",TRUE,_xlfn._xlws.SORT(_xlfn.UNIQUE(_xlfn._xlws.FILTER(OrderLines[Category],OrderLines[OrderID]=OrderLines[[#This Row],[OrderID]]))))</f>
        <v>Dessert+Snack</v>
      </c>
      <c r="H776" s="2" cm="1">
        <f t="array" ref="H776">INT(VLOOKUP(OrderLines[[#This Row],[OrderID]:[OrderID]],Orders[],MATCH(OrderLines[[#Headers],[OrderDateTime]],Orders[#Headers],0),FALSE))</f>
        <v>45845</v>
      </c>
      <c r="I776" t="str" cm="1">
        <f t="array" ref="I776">VLOOKUP(OrderLines[[#This Row],[OrderID]:[OrderID]],Orders[],MATCH(OrderLines[[#Headers],[Branch]],Orders[#Headers],0),FALSE)</f>
        <v>Plant 2 Canteen</v>
      </c>
      <c r="J776" cm="1">
        <f t="array" ref="J776">VLOOKUP(OrderLines[[#This Row],[OrderID]:[OrderID]],Orders[],MATCH(OrderLines[[#Headers],[DiscountPct]],Orders[#Headers],0),FALSE)</f>
        <v>7.0000000000000007E-2</v>
      </c>
      <c r="K776" t="str" cm="1">
        <f t="array" ref="K776">VLOOKUP(OrderLines[[#This Row],[OrderID]:[OrderID]],Orders[],MATCH(OrderLines[[#Headers],[PaymentType]],Orders[#Headers],0),FALSE)</f>
        <v>UPI</v>
      </c>
      <c r="L776" t="str" cm="1">
        <f t="array" ref="L776">VLOOKUP(OrderLines[[#This Row],[OrderID]:[OrderID]],Orders[],MATCH(OrderLines[[#Headers],[Shift]],Orders[#Headers],0),FALSE)</f>
        <v>Lunch</v>
      </c>
      <c r="M776" s="8">
        <f>(OrderLines[[#This Row],[Qty]]*OrderLines[[#This Row],[UnitPrice]])*(1-OrderLines[[#This Row],[DiscountPct]])</f>
        <v>71.191499999999991</v>
      </c>
      <c r="N776" t="str">
        <f>IF(AND(COUNTIFS(OrderLines[OrderID],OrderLines[[#This Row],[OrderID]],OrderLines[Category],"Hot Meal"),COUNTIFS(OrderLines[OrderID],OrderLines[[#This Row],[OrderID]],OrderLines[Category],"Beverage")),"Combo","Single")</f>
        <v>Single</v>
      </c>
      <c r="O776" s="8" t="str" cm="1">
        <f t="array" ref="O776">IF(SUMPRODUCT(OrderLines[UnitPrice],OrderLines[Qty],OrderLines[DiscountPct],--(OrderLines[OrderID] = OrderLines[[#This Row],[OrderID]]))&gt;40,"High Discount","Ok")</f>
        <v>Ok</v>
      </c>
      <c r="P776">
        <f>OrderLines[[#This Row],[UnitCost]]*OrderLines[[#This Row],[Qty]]</f>
        <v>38.229999999999997</v>
      </c>
      <c r="Q776" s="8">
        <f>OrderLines[[#This Row],[LineNetAmount]]-OrderLines[[#This Row],[Food Cost]]</f>
        <v>32.961499999999994</v>
      </c>
    </row>
    <row r="777" spans="1:17" x14ac:dyDescent="0.3">
      <c r="A777" t="s">
        <v>338</v>
      </c>
      <c r="B777" t="s">
        <v>413</v>
      </c>
      <c r="C777">
        <v>2</v>
      </c>
      <c r="D777" cm="1">
        <f t="array" ref="D777">VLOOKUP(OrderLines[[#This Row],[SKU]:[SKU]],Menu[],MATCH(OrderLines[[#Headers],[UnitPrice]],Menu[#Headers],0),FALSE)</f>
        <v>54.2</v>
      </c>
      <c r="E777" cm="1">
        <f t="array" ref="E777">VLOOKUP(OrderLines[[#This Row],[SKU]:[SKU]],Menu[],MATCH(OrderLines[[#Headers],[UnitCost]],Menu[#Headers],0),FALSE)</f>
        <v>21.95</v>
      </c>
      <c r="F777" t="str" cm="1">
        <f t="array" ref="F777">VLOOKUP(OrderLines[[#This Row],[SKU]:[SKU]],Menu[],MATCH(OrderLines[[#Headers],[Category]],Menu[#Headers],0),FALSE)</f>
        <v>Dessert</v>
      </c>
      <c r="G777" t="str" cm="1">
        <f t="array" ref="G777">_xlfn.TEXTJOIN("+",TRUE,_xlfn._xlws.SORT(_xlfn.UNIQUE(_xlfn._xlws.FILTER(OrderLines[Category],OrderLines[OrderID]=OrderLines[[#This Row],[OrderID]]))))</f>
        <v>Dessert+Snack</v>
      </c>
      <c r="H777" s="2" cm="1">
        <f t="array" ref="H777">INT(VLOOKUP(OrderLines[[#This Row],[OrderID]:[OrderID]],Orders[],MATCH(OrderLines[[#Headers],[OrderDateTime]],Orders[#Headers],0),FALSE))</f>
        <v>45845</v>
      </c>
      <c r="I777" t="str" cm="1">
        <f t="array" ref="I777">VLOOKUP(OrderLines[[#This Row],[OrderID]:[OrderID]],Orders[],MATCH(OrderLines[[#Headers],[Branch]],Orders[#Headers],0),FALSE)</f>
        <v>Plant 2 Canteen</v>
      </c>
      <c r="J777" cm="1">
        <f t="array" ref="J777">VLOOKUP(OrderLines[[#This Row],[OrderID]:[OrderID]],Orders[],MATCH(OrderLines[[#Headers],[DiscountPct]],Orders[#Headers],0),FALSE)</f>
        <v>7.0000000000000007E-2</v>
      </c>
      <c r="K777" t="str" cm="1">
        <f t="array" ref="K777">VLOOKUP(OrderLines[[#This Row],[OrderID]:[OrderID]],Orders[],MATCH(OrderLines[[#Headers],[PaymentType]],Orders[#Headers],0),FALSE)</f>
        <v>UPI</v>
      </c>
      <c r="L777" t="str" cm="1">
        <f t="array" ref="L777">VLOOKUP(OrderLines[[#This Row],[OrderID]:[OrderID]],Orders[],MATCH(OrderLines[[#Headers],[Shift]],Orders[#Headers],0),FALSE)</f>
        <v>Lunch</v>
      </c>
      <c r="M777" s="8">
        <f>(OrderLines[[#This Row],[Qty]]*OrderLines[[#This Row],[UnitPrice]])*(1-OrderLines[[#This Row],[DiscountPct]])</f>
        <v>100.812</v>
      </c>
      <c r="N777" t="str">
        <f>IF(AND(COUNTIFS(OrderLines[OrderID],OrderLines[[#This Row],[OrderID]],OrderLines[Category],"Hot Meal"),COUNTIFS(OrderLines[OrderID],OrderLines[[#This Row],[OrderID]],OrderLines[Category],"Beverage")),"Combo","Single")</f>
        <v>Single</v>
      </c>
      <c r="O777" s="8" t="str" cm="1">
        <f t="array" ref="O777">IF(SUMPRODUCT(OrderLines[UnitPrice],OrderLines[Qty],OrderLines[DiscountPct],--(OrderLines[OrderID] = OrderLines[[#This Row],[OrderID]]))&gt;40,"High Discount","Ok")</f>
        <v>Ok</v>
      </c>
      <c r="P777">
        <f>OrderLines[[#This Row],[UnitCost]]*OrderLines[[#This Row],[Qty]]</f>
        <v>43.9</v>
      </c>
      <c r="Q777" s="8">
        <f>OrderLines[[#This Row],[LineNetAmount]]-OrderLines[[#This Row],[Food Cost]]</f>
        <v>56.911999999999999</v>
      </c>
    </row>
    <row r="778" spans="1:17" x14ac:dyDescent="0.3">
      <c r="A778" t="s">
        <v>338</v>
      </c>
      <c r="B778" t="s">
        <v>408</v>
      </c>
      <c r="C778">
        <v>1</v>
      </c>
      <c r="D778" cm="1">
        <f t="array" ref="D778">VLOOKUP(OrderLines[[#This Row],[SKU]:[SKU]],Menu[],MATCH(OrderLines[[#Headers],[UnitPrice]],Menu[#Headers],0),FALSE)</f>
        <v>70.540000000000006</v>
      </c>
      <c r="E778" cm="1">
        <f t="array" ref="E778">VLOOKUP(OrderLines[[#This Row],[SKU]:[SKU]],Menu[],MATCH(OrderLines[[#Headers],[UnitCost]],Menu[#Headers],0),FALSE)</f>
        <v>35.81</v>
      </c>
      <c r="F778" t="str" cm="1">
        <f t="array" ref="F778">VLOOKUP(OrderLines[[#This Row],[SKU]:[SKU]],Menu[],MATCH(OrderLines[[#Headers],[Category]],Menu[#Headers],0),FALSE)</f>
        <v>Snack</v>
      </c>
      <c r="G778" t="str" cm="1">
        <f t="array" ref="G778">_xlfn.TEXTJOIN("+",TRUE,_xlfn._xlws.SORT(_xlfn.UNIQUE(_xlfn._xlws.FILTER(OrderLines[Category],OrderLines[OrderID]=OrderLines[[#This Row],[OrderID]]))))</f>
        <v>Dessert+Snack</v>
      </c>
      <c r="H778" s="2" cm="1">
        <f t="array" ref="H778">INT(VLOOKUP(OrderLines[[#This Row],[OrderID]:[OrderID]],Orders[],MATCH(OrderLines[[#Headers],[OrderDateTime]],Orders[#Headers],0),FALSE))</f>
        <v>45845</v>
      </c>
      <c r="I778" t="str" cm="1">
        <f t="array" ref="I778">VLOOKUP(OrderLines[[#This Row],[OrderID]:[OrderID]],Orders[],MATCH(OrderLines[[#Headers],[Branch]],Orders[#Headers],0),FALSE)</f>
        <v>Plant 2 Canteen</v>
      </c>
      <c r="J778" cm="1">
        <f t="array" ref="J778">VLOOKUP(OrderLines[[#This Row],[OrderID]:[OrderID]],Orders[],MATCH(OrderLines[[#Headers],[DiscountPct]],Orders[#Headers],0),FALSE)</f>
        <v>7.0000000000000007E-2</v>
      </c>
      <c r="K778" t="str" cm="1">
        <f t="array" ref="K778">VLOOKUP(OrderLines[[#This Row],[OrderID]:[OrderID]],Orders[],MATCH(OrderLines[[#Headers],[PaymentType]],Orders[#Headers],0),FALSE)</f>
        <v>UPI</v>
      </c>
      <c r="L778" t="str" cm="1">
        <f t="array" ref="L778">VLOOKUP(OrderLines[[#This Row],[OrderID]:[OrderID]],Orders[],MATCH(OrderLines[[#Headers],[Shift]],Orders[#Headers],0),FALSE)</f>
        <v>Lunch</v>
      </c>
      <c r="M778" s="8">
        <f>(OrderLines[[#This Row],[Qty]]*OrderLines[[#This Row],[UnitPrice]])*(1-OrderLines[[#This Row],[DiscountPct]])</f>
        <v>65.602199999999996</v>
      </c>
      <c r="N778" t="str">
        <f>IF(AND(COUNTIFS(OrderLines[OrderID],OrderLines[[#This Row],[OrderID]],OrderLines[Category],"Hot Meal"),COUNTIFS(OrderLines[OrderID],OrderLines[[#This Row],[OrderID]],OrderLines[Category],"Beverage")),"Combo","Single")</f>
        <v>Single</v>
      </c>
      <c r="O778" s="8" t="str" cm="1">
        <f t="array" ref="O778">IF(SUMPRODUCT(OrderLines[UnitPrice],OrderLines[Qty],OrderLines[DiscountPct],--(OrderLines[OrderID] = OrderLines[[#This Row],[OrderID]]))&gt;40,"High Discount","Ok")</f>
        <v>Ok</v>
      </c>
      <c r="P778">
        <f>OrderLines[[#This Row],[UnitCost]]*OrderLines[[#This Row],[Qty]]</f>
        <v>35.81</v>
      </c>
      <c r="Q778" s="8">
        <f>OrderLines[[#This Row],[LineNetAmount]]-OrderLines[[#This Row],[Food Cost]]</f>
        <v>29.792199999999994</v>
      </c>
    </row>
    <row r="779" spans="1:17" x14ac:dyDescent="0.3">
      <c r="A779" t="s">
        <v>339</v>
      </c>
      <c r="B779" t="s">
        <v>411</v>
      </c>
      <c r="C779">
        <v>3</v>
      </c>
      <c r="D779" cm="1">
        <f t="array" ref="D779">VLOOKUP(OrderLines[[#This Row],[SKU]:[SKU]],Menu[],MATCH(OrderLines[[#Headers],[UnitPrice]],Menu[#Headers],0),FALSE)</f>
        <v>22.2</v>
      </c>
      <c r="E779" cm="1">
        <f t="array" ref="E779">VLOOKUP(OrderLines[[#This Row],[SKU]:[SKU]],Menu[],MATCH(OrderLines[[#Headers],[UnitCost]],Menu[#Headers],0),FALSE)</f>
        <v>9.3800000000000008</v>
      </c>
      <c r="F779" t="str" cm="1">
        <f t="array" ref="F779">VLOOKUP(OrderLines[[#This Row],[SKU]:[SKU]],Menu[],MATCH(OrderLines[[#Headers],[Category]],Menu[#Headers],0),FALSE)</f>
        <v>Beverage</v>
      </c>
      <c r="G779" t="str" cm="1">
        <f t="array" ref="G779">_xlfn.TEXTJOIN("+",TRUE,_xlfn._xlws.SORT(_xlfn.UNIQUE(_xlfn._xlws.FILTER(OrderLines[Category],OrderLines[OrderID]=OrderLines[[#This Row],[OrderID]]))))</f>
        <v>Beverage</v>
      </c>
      <c r="H779" s="2" cm="1">
        <f t="array" ref="H779">INT(VLOOKUP(OrderLines[[#This Row],[OrderID]:[OrderID]],Orders[],MATCH(OrderLines[[#Headers],[OrderDateTime]],Orders[#Headers],0),FALSE))</f>
        <v>45866</v>
      </c>
      <c r="I779" t="str" cm="1">
        <f t="array" ref="I779">VLOOKUP(OrderLines[[#This Row],[OrderID]:[OrderID]],Orders[],MATCH(OrderLines[[#Headers],[Branch]],Orders[#Headers],0),FALSE)</f>
        <v>Plant 2 Canteen</v>
      </c>
      <c r="J779" cm="1">
        <f t="array" ref="J779">VLOOKUP(OrderLines[[#This Row],[OrderID]:[OrderID]],Orders[],MATCH(OrderLines[[#Headers],[DiscountPct]],Orders[#Headers],0),FALSE)</f>
        <v>0.04</v>
      </c>
      <c r="K779" t="str" cm="1">
        <f t="array" ref="K779">VLOOKUP(OrderLines[[#This Row],[OrderID]:[OrderID]],Orders[],MATCH(OrderLines[[#Headers],[PaymentType]],Orders[#Headers],0),FALSE)</f>
        <v>UPI</v>
      </c>
      <c r="L779" t="str" cm="1">
        <f t="array" ref="L779">VLOOKUP(OrderLines[[#This Row],[OrderID]:[OrderID]],Orders[],MATCH(OrderLines[[#Headers],[Shift]],Orders[#Headers],0),FALSE)</f>
        <v>Dinner</v>
      </c>
      <c r="M779" s="8">
        <f>(OrderLines[[#This Row],[Qty]]*OrderLines[[#This Row],[UnitPrice]])*(1-OrderLines[[#This Row],[DiscountPct]])</f>
        <v>63.935999999999993</v>
      </c>
      <c r="N779" t="str">
        <f>IF(AND(COUNTIFS(OrderLines[OrderID],OrderLines[[#This Row],[OrderID]],OrderLines[Category],"Hot Meal"),COUNTIFS(OrderLines[OrderID],OrderLines[[#This Row],[OrderID]],OrderLines[Category],"Beverage")),"Combo","Single")</f>
        <v>Single</v>
      </c>
      <c r="O779" s="8" t="str" cm="1">
        <f t="array" ref="O779">IF(SUMPRODUCT(OrderLines[UnitPrice],OrderLines[Qty],OrderLines[DiscountPct],--(OrderLines[OrderID] = OrderLines[[#This Row],[OrderID]]))&gt;40,"High Discount","Ok")</f>
        <v>Ok</v>
      </c>
      <c r="P779">
        <f>OrderLines[[#This Row],[UnitCost]]*OrderLines[[#This Row],[Qty]]</f>
        <v>28.14</v>
      </c>
      <c r="Q779" s="8">
        <f>OrderLines[[#This Row],[LineNetAmount]]-OrderLines[[#This Row],[Food Cost]]</f>
        <v>35.795999999999992</v>
      </c>
    </row>
    <row r="780" spans="1:17" x14ac:dyDescent="0.3">
      <c r="A780" t="s">
        <v>340</v>
      </c>
      <c r="B780" t="s">
        <v>418</v>
      </c>
      <c r="C780">
        <v>2</v>
      </c>
      <c r="D780" cm="1">
        <f t="array" ref="D780">VLOOKUP(OrderLines[[#This Row],[SKU]:[SKU]],Menu[],MATCH(OrderLines[[#Headers],[UnitPrice]],Menu[#Headers],0),FALSE)</f>
        <v>39.950000000000003</v>
      </c>
      <c r="E780" cm="1">
        <f t="array" ref="E780">VLOOKUP(OrderLines[[#This Row],[SKU]:[SKU]],Menu[],MATCH(OrderLines[[#Headers],[UnitCost]],Menu[#Headers],0),FALSE)</f>
        <v>15.51</v>
      </c>
      <c r="F780" t="str" cm="1">
        <f t="array" ref="F780">VLOOKUP(OrderLines[[#This Row],[SKU]:[SKU]],Menu[],MATCH(OrderLines[[#Headers],[Category]],Menu[#Headers],0),FALSE)</f>
        <v>Snack</v>
      </c>
      <c r="G780" t="str" cm="1">
        <f t="array" ref="G780">_xlfn.TEXTJOIN("+",TRUE,_xlfn._xlws.SORT(_xlfn.UNIQUE(_xlfn._xlws.FILTER(OrderLines[Category],OrderLines[OrderID]=OrderLines[[#This Row],[OrderID]]))))</f>
        <v>Snack</v>
      </c>
      <c r="H780" s="2" cm="1">
        <f t="array" ref="H780">INT(VLOOKUP(OrderLines[[#This Row],[OrderID]:[OrderID]],Orders[],MATCH(OrderLines[[#Headers],[OrderDateTime]],Orders[#Headers],0),FALSE))</f>
        <v>45871</v>
      </c>
      <c r="I780" t="str" cm="1">
        <f t="array" ref="I780">VLOOKUP(OrderLines[[#This Row],[OrderID]:[OrderID]],Orders[],MATCH(OrderLines[[#Headers],[Branch]],Orders[#Headers],0),FALSE)</f>
        <v>Plant 1 Canteen</v>
      </c>
      <c r="J780" cm="1">
        <f t="array" ref="J780">VLOOKUP(OrderLines[[#This Row],[OrderID]:[OrderID]],Orders[],MATCH(OrderLines[[#Headers],[DiscountPct]],Orders[#Headers],0),FALSE)</f>
        <v>0.04</v>
      </c>
      <c r="K780" t="str" cm="1">
        <f t="array" ref="K780">VLOOKUP(OrderLines[[#This Row],[OrderID]:[OrderID]],Orders[],MATCH(OrderLines[[#Headers],[PaymentType]],Orders[#Headers],0),FALSE)</f>
        <v>UPI</v>
      </c>
      <c r="L780" t="str" cm="1">
        <f t="array" ref="L780">VLOOKUP(OrderLines[[#This Row],[OrderID]:[OrderID]],Orders[],MATCH(OrderLines[[#Headers],[Shift]],Orders[#Headers],0),FALSE)</f>
        <v>Lunch</v>
      </c>
      <c r="M780" s="8">
        <f>(OrderLines[[#This Row],[Qty]]*OrderLines[[#This Row],[UnitPrice]])*(1-OrderLines[[#This Row],[DiscountPct]])</f>
        <v>76.704000000000008</v>
      </c>
      <c r="N780" t="str">
        <f>IF(AND(COUNTIFS(OrderLines[OrderID],OrderLines[[#This Row],[OrderID]],OrderLines[Category],"Hot Meal"),COUNTIFS(OrderLines[OrderID],OrderLines[[#This Row],[OrderID]],OrderLines[Category],"Beverage")),"Combo","Single")</f>
        <v>Single</v>
      </c>
      <c r="O780" s="8" t="str" cm="1">
        <f t="array" ref="O780">IF(SUMPRODUCT(OrderLines[UnitPrice],OrderLines[Qty],OrderLines[DiscountPct],--(OrderLines[OrderID] = OrderLines[[#This Row],[OrderID]]))&gt;40,"High Discount","Ok")</f>
        <v>Ok</v>
      </c>
      <c r="P780">
        <f>OrderLines[[#This Row],[UnitCost]]*OrderLines[[#This Row],[Qty]]</f>
        <v>31.02</v>
      </c>
      <c r="Q780" s="8">
        <f>OrderLines[[#This Row],[LineNetAmount]]-OrderLines[[#This Row],[Food Cost]]</f>
        <v>45.684000000000012</v>
      </c>
    </row>
    <row r="781" spans="1:17" x14ac:dyDescent="0.3">
      <c r="A781" t="s">
        <v>340</v>
      </c>
      <c r="B781" t="s">
        <v>406</v>
      </c>
      <c r="C781">
        <v>2</v>
      </c>
      <c r="D781" cm="1">
        <f t="array" ref="D781">VLOOKUP(OrderLines[[#This Row],[SKU]:[SKU]],Menu[],MATCH(OrderLines[[#Headers],[UnitPrice]],Menu[#Headers],0),FALSE)</f>
        <v>38.06</v>
      </c>
      <c r="E781" cm="1">
        <f t="array" ref="E781">VLOOKUP(OrderLines[[#This Row],[SKU]:[SKU]],Menu[],MATCH(OrderLines[[#Headers],[UnitCost]],Menu[#Headers],0),FALSE)</f>
        <v>19.55</v>
      </c>
      <c r="F781" t="str" cm="1">
        <f t="array" ref="F781">VLOOKUP(OrderLines[[#This Row],[SKU]:[SKU]],Menu[],MATCH(OrderLines[[#Headers],[Category]],Menu[#Headers],0),FALSE)</f>
        <v>Snack</v>
      </c>
      <c r="G781" t="str" cm="1">
        <f t="array" ref="G781">_xlfn.TEXTJOIN("+",TRUE,_xlfn._xlws.SORT(_xlfn.UNIQUE(_xlfn._xlws.FILTER(OrderLines[Category],OrderLines[OrderID]=OrderLines[[#This Row],[OrderID]]))))</f>
        <v>Snack</v>
      </c>
      <c r="H781" s="2" cm="1">
        <f t="array" ref="H781">INT(VLOOKUP(OrderLines[[#This Row],[OrderID]:[OrderID]],Orders[],MATCH(OrderLines[[#Headers],[OrderDateTime]],Orders[#Headers],0),FALSE))</f>
        <v>45871</v>
      </c>
      <c r="I781" t="str" cm="1">
        <f t="array" ref="I781">VLOOKUP(OrderLines[[#This Row],[OrderID]:[OrderID]],Orders[],MATCH(OrderLines[[#Headers],[Branch]],Orders[#Headers],0),FALSE)</f>
        <v>Plant 1 Canteen</v>
      </c>
      <c r="J781" cm="1">
        <f t="array" ref="J781">VLOOKUP(OrderLines[[#This Row],[OrderID]:[OrderID]],Orders[],MATCH(OrderLines[[#Headers],[DiscountPct]],Orders[#Headers],0),FALSE)</f>
        <v>0.04</v>
      </c>
      <c r="K781" t="str" cm="1">
        <f t="array" ref="K781">VLOOKUP(OrderLines[[#This Row],[OrderID]:[OrderID]],Orders[],MATCH(OrderLines[[#Headers],[PaymentType]],Orders[#Headers],0),FALSE)</f>
        <v>UPI</v>
      </c>
      <c r="L781" t="str" cm="1">
        <f t="array" ref="L781">VLOOKUP(OrderLines[[#This Row],[OrderID]:[OrderID]],Orders[],MATCH(OrderLines[[#Headers],[Shift]],Orders[#Headers],0),FALSE)</f>
        <v>Lunch</v>
      </c>
      <c r="M781" s="8">
        <f>(OrderLines[[#This Row],[Qty]]*OrderLines[[#This Row],[UnitPrice]])*(1-OrderLines[[#This Row],[DiscountPct]])</f>
        <v>73.075199999999995</v>
      </c>
      <c r="N781" t="str">
        <f>IF(AND(COUNTIFS(OrderLines[OrderID],OrderLines[[#This Row],[OrderID]],OrderLines[Category],"Hot Meal"),COUNTIFS(OrderLines[OrderID],OrderLines[[#This Row],[OrderID]],OrderLines[Category],"Beverage")),"Combo","Single")</f>
        <v>Single</v>
      </c>
      <c r="O781" s="8" t="str" cm="1">
        <f t="array" ref="O781">IF(SUMPRODUCT(OrderLines[UnitPrice],OrderLines[Qty],OrderLines[DiscountPct],--(OrderLines[OrderID] = OrderLines[[#This Row],[OrderID]]))&gt;40,"High Discount","Ok")</f>
        <v>Ok</v>
      </c>
      <c r="P781">
        <f>OrderLines[[#This Row],[UnitCost]]*OrderLines[[#This Row],[Qty]]</f>
        <v>39.1</v>
      </c>
      <c r="Q781" s="8">
        <f>OrderLines[[#This Row],[LineNetAmount]]-OrderLines[[#This Row],[Food Cost]]</f>
        <v>33.975199999999994</v>
      </c>
    </row>
    <row r="782" spans="1:17" x14ac:dyDescent="0.3">
      <c r="A782" t="s">
        <v>341</v>
      </c>
      <c r="B782" t="s">
        <v>404</v>
      </c>
      <c r="C782">
        <v>1</v>
      </c>
      <c r="D782" cm="1">
        <f t="array" ref="D782">VLOOKUP(OrderLines[[#This Row],[SKU]:[SKU]],Menu[],MATCH(OrderLines[[#Headers],[UnitPrice]],Menu[#Headers],0),FALSE)</f>
        <v>32.979999999999997</v>
      </c>
      <c r="E782" cm="1">
        <f t="array" ref="E782">VLOOKUP(OrderLines[[#This Row],[SKU]:[SKU]],Menu[],MATCH(OrderLines[[#Headers],[UnitCost]],Menu[#Headers],0),FALSE)</f>
        <v>11.84</v>
      </c>
      <c r="F782" t="str" cm="1">
        <f t="array" ref="F782">VLOOKUP(OrderLines[[#This Row],[SKU]:[SKU]],Menu[],MATCH(OrderLines[[#Headers],[Category]],Menu[#Headers],0),FALSE)</f>
        <v>Beverage</v>
      </c>
      <c r="G782" t="str" cm="1">
        <f t="array" ref="G782">_xlfn.TEXTJOIN("+",TRUE,_xlfn._xlws.SORT(_xlfn.UNIQUE(_xlfn._xlws.FILTER(OrderLines[Category],OrderLines[OrderID]=OrderLines[[#This Row],[OrderID]]))))</f>
        <v>Beverage</v>
      </c>
      <c r="H782" s="2" cm="1">
        <f t="array" ref="H782">INT(VLOOKUP(OrderLines[[#This Row],[OrderID]:[OrderID]],Orders[],MATCH(OrderLines[[#Headers],[OrderDateTime]],Orders[#Headers],0),FALSE))</f>
        <v>45873</v>
      </c>
      <c r="I782" t="str" cm="1">
        <f t="array" ref="I782">VLOOKUP(OrderLines[[#This Row],[OrderID]:[OrderID]],Orders[],MATCH(OrderLines[[#Headers],[Branch]],Orders[#Headers],0),FALSE)</f>
        <v>Plant 2 Canteen</v>
      </c>
      <c r="J782" cm="1">
        <f t="array" ref="J782">VLOOKUP(OrderLines[[#This Row],[OrderID]:[OrderID]],Orders[],MATCH(OrderLines[[#Headers],[DiscountPct]],Orders[#Headers],0),FALSE)</f>
        <v>7.0000000000000007E-2</v>
      </c>
      <c r="K782" t="str" cm="1">
        <f t="array" ref="K782">VLOOKUP(OrderLines[[#This Row],[OrderID]:[OrderID]],Orders[],MATCH(OrderLines[[#Headers],[PaymentType]],Orders[#Headers],0),FALSE)</f>
        <v>UPI</v>
      </c>
      <c r="L782" t="str" cm="1">
        <f t="array" ref="L782">VLOOKUP(OrderLines[[#This Row],[OrderID]:[OrderID]],Orders[],MATCH(OrderLines[[#Headers],[Shift]],Orders[#Headers],0),FALSE)</f>
        <v>Breakfast</v>
      </c>
      <c r="M782" s="8">
        <f>(OrderLines[[#This Row],[Qty]]*OrderLines[[#This Row],[UnitPrice]])*(1-OrderLines[[#This Row],[DiscountPct]])</f>
        <v>30.671399999999995</v>
      </c>
      <c r="N782" t="str">
        <f>IF(AND(COUNTIFS(OrderLines[OrderID],OrderLines[[#This Row],[OrderID]],OrderLines[Category],"Hot Meal"),COUNTIFS(OrderLines[OrderID],OrderLines[[#This Row],[OrderID]],OrderLines[Category],"Beverage")),"Combo","Single")</f>
        <v>Single</v>
      </c>
      <c r="O782" s="8" t="str" cm="1">
        <f t="array" ref="O782">IF(SUMPRODUCT(OrderLines[UnitPrice],OrderLines[Qty],OrderLines[DiscountPct],--(OrderLines[OrderID] = OrderLines[[#This Row],[OrderID]]))&gt;40,"High Discount","Ok")</f>
        <v>Ok</v>
      </c>
      <c r="P782">
        <f>OrderLines[[#This Row],[UnitCost]]*OrderLines[[#This Row],[Qty]]</f>
        <v>11.84</v>
      </c>
      <c r="Q782" s="8">
        <f>OrderLines[[#This Row],[LineNetAmount]]-OrderLines[[#This Row],[Food Cost]]</f>
        <v>18.831399999999995</v>
      </c>
    </row>
    <row r="783" spans="1:17" x14ac:dyDescent="0.3">
      <c r="A783" t="s">
        <v>342</v>
      </c>
      <c r="B783" t="s">
        <v>418</v>
      </c>
      <c r="C783">
        <v>2</v>
      </c>
      <c r="D783" cm="1">
        <f t="array" ref="D783">VLOOKUP(OrderLines[[#This Row],[SKU]:[SKU]],Menu[],MATCH(OrderLines[[#Headers],[UnitPrice]],Menu[#Headers],0),FALSE)</f>
        <v>39.950000000000003</v>
      </c>
      <c r="E783" cm="1">
        <f t="array" ref="E783">VLOOKUP(OrderLines[[#This Row],[SKU]:[SKU]],Menu[],MATCH(OrderLines[[#Headers],[UnitCost]],Menu[#Headers],0),FALSE)</f>
        <v>15.51</v>
      </c>
      <c r="F783" t="str" cm="1">
        <f t="array" ref="F783">VLOOKUP(OrderLines[[#This Row],[SKU]:[SKU]],Menu[],MATCH(OrderLines[[#Headers],[Category]],Menu[#Headers],0),FALSE)</f>
        <v>Snack</v>
      </c>
      <c r="G783" t="str" cm="1">
        <f t="array" ref="G783">_xlfn.TEXTJOIN("+",TRUE,_xlfn._xlws.SORT(_xlfn.UNIQUE(_xlfn._xlws.FILTER(OrderLines[Category],OrderLines[OrderID]=OrderLines[[#This Row],[OrderID]]))))</f>
        <v>Hot Meal+Snack</v>
      </c>
      <c r="H783" s="2" cm="1">
        <f t="array" ref="H783">INT(VLOOKUP(OrderLines[[#This Row],[OrderID]:[OrderID]],Orders[],MATCH(OrderLines[[#Headers],[OrderDateTime]],Orders[#Headers],0),FALSE))</f>
        <v>45851</v>
      </c>
      <c r="I783" t="str" cm="1">
        <f t="array" ref="I783">VLOOKUP(OrderLines[[#This Row],[OrderID]:[OrderID]],Orders[],MATCH(OrderLines[[#Headers],[Branch]],Orders[#Headers],0),FALSE)</f>
        <v>Head Office Café</v>
      </c>
      <c r="J783" cm="1">
        <f t="array" ref="J783">VLOOKUP(OrderLines[[#This Row],[OrderID]:[OrderID]],Orders[],MATCH(OrderLines[[#Headers],[DiscountPct]],Orders[#Headers],0),FALSE)</f>
        <v>0</v>
      </c>
      <c r="K783" t="str" cm="1">
        <f t="array" ref="K783">VLOOKUP(OrderLines[[#This Row],[OrderID]:[OrderID]],Orders[],MATCH(OrderLines[[#Headers],[PaymentType]],Orders[#Headers],0),FALSE)</f>
        <v>Cash</v>
      </c>
      <c r="L783" t="str" cm="1">
        <f t="array" ref="L783">VLOOKUP(OrderLines[[#This Row],[OrderID]:[OrderID]],Orders[],MATCH(OrderLines[[#Headers],[Shift]],Orders[#Headers],0),FALSE)</f>
        <v>Dinner</v>
      </c>
      <c r="M783" s="8">
        <f>(OrderLines[[#This Row],[Qty]]*OrderLines[[#This Row],[UnitPrice]])*(1-OrderLines[[#This Row],[DiscountPct]])</f>
        <v>79.900000000000006</v>
      </c>
      <c r="N783" t="str">
        <f>IF(AND(COUNTIFS(OrderLines[OrderID],OrderLines[[#This Row],[OrderID]],OrderLines[Category],"Hot Meal"),COUNTIFS(OrderLines[OrderID],OrderLines[[#This Row],[OrderID]],OrderLines[Category],"Beverage")),"Combo","Single")</f>
        <v>Single</v>
      </c>
      <c r="O783" s="8" t="str" cm="1">
        <f t="array" ref="O783">IF(SUMPRODUCT(OrderLines[UnitPrice],OrderLines[Qty],OrderLines[DiscountPct],--(OrderLines[OrderID] = OrderLines[[#This Row],[OrderID]]))&gt;40,"High Discount","Ok")</f>
        <v>Ok</v>
      </c>
      <c r="P783">
        <f>OrderLines[[#This Row],[UnitCost]]*OrderLines[[#This Row],[Qty]]</f>
        <v>31.02</v>
      </c>
      <c r="Q783" s="8">
        <f>OrderLines[[#This Row],[LineNetAmount]]-OrderLines[[#This Row],[Food Cost]]</f>
        <v>48.88000000000001</v>
      </c>
    </row>
    <row r="784" spans="1:17" x14ac:dyDescent="0.3">
      <c r="A784" t="s">
        <v>342</v>
      </c>
      <c r="B784" t="s">
        <v>407</v>
      </c>
      <c r="C784">
        <v>2</v>
      </c>
      <c r="D784" cm="1">
        <f t="array" ref="D784">VLOOKUP(OrderLines[[#This Row],[SKU]:[SKU]],Menu[],MATCH(OrderLines[[#Headers],[UnitPrice]],Menu[#Headers],0),FALSE)</f>
        <v>246.09</v>
      </c>
      <c r="E784" cm="1">
        <f t="array" ref="E784">VLOOKUP(OrderLines[[#This Row],[SKU]:[SKU]],Menu[],MATCH(OrderLines[[#Headers],[UnitCost]],Menu[#Headers],0),FALSE)</f>
        <v>112.08</v>
      </c>
      <c r="F784" t="str" cm="1">
        <f t="array" ref="F784">VLOOKUP(OrderLines[[#This Row],[SKU]:[SKU]],Menu[],MATCH(OrderLines[[#Headers],[Category]],Menu[#Headers],0),FALSE)</f>
        <v>Hot Meal</v>
      </c>
      <c r="G784" t="str" cm="1">
        <f t="array" ref="G784">_xlfn.TEXTJOIN("+",TRUE,_xlfn._xlws.SORT(_xlfn.UNIQUE(_xlfn._xlws.FILTER(OrderLines[Category],OrderLines[OrderID]=OrderLines[[#This Row],[OrderID]]))))</f>
        <v>Hot Meal+Snack</v>
      </c>
      <c r="H784" s="2" cm="1">
        <f t="array" ref="H784">INT(VLOOKUP(OrderLines[[#This Row],[OrderID]:[OrderID]],Orders[],MATCH(OrderLines[[#Headers],[OrderDateTime]],Orders[#Headers],0),FALSE))</f>
        <v>45851</v>
      </c>
      <c r="I784" t="str" cm="1">
        <f t="array" ref="I784">VLOOKUP(OrderLines[[#This Row],[OrderID]:[OrderID]],Orders[],MATCH(OrderLines[[#Headers],[Branch]],Orders[#Headers],0),FALSE)</f>
        <v>Head Office Café</v>
      </c>
      <c r="J784" cm="1">
        <f t="array" ref="J784">VLOOKUP(OrderLines[[#This Row],[OrderID]:[OrderID]],Orders[],MATCH(OrderLines[[#Headers],[DiscountPct]],Orders[#Headers],0),FALSE)</f>
        <v>0</v>
      </c>
      <c r="K784" t="str" cm="1">
        <f t="array" ref="K784">VLOOKUP(OrderLines[[#This Row],[OrderID]:[OrderID]],Orders[],MATCH(OrderLines[[#Headers],[PaymentType]],Orders[#Headers],0),FALSE)</f>
        <v>Cash</v>
      </c>
      <c r="L784" t="str" cm="1">
        <f t="array" ref="L784">VLOOKUP(OrderLines[[#This Row],[OrderID]:[OrderID]],Orders[],MATCH(OrderLines[[#Headers],[Shift]],Orders[#Headers],0),FALSE)</f>
        <v>Dinner</v>
      </c>
      <c r="M784" s="8">
        <f>(OrderLines[[#This Row],[Qty]]*OrderLines[[#This Row],[UnitPrice]])*(1-OrderLines[[#This Row],[DiscountPct]])</f>
        <v>492.18</v>
      </c>
      <c r="N784" t="str">
        <f>IF(AND(COUNTIFS(OrderLines[OrderID],OrderLines[[#This Row],[OrderID]],OrderLines[Category],"Hot Meal"),COUNTIFS(OrderLines[OrderID],OrderLines[[#This Row],[OrderID]],OrderLines[Category],"Beverage")),"Combo","Single")</f>
        <v>Single</v>
      </c>
      <c r="O784" s="8" t="str" cm="1">
        <f t="array" ref="O784">IF(SUMPRODUCT(OrderLines[UnitPrice],OrderLines[Qty],OrderLines[DiscountPct],--(OrderLines[OrderID] = OrderLines[[#This Row],[OrderID]]))&gt;40,"High Discount","Ok")</f>
        <v>Ok</v>
      </c>
      <c r="P784">
        <f>OrderLines[[#This Row],[UnitCost]]*OrderLines[[#This Row],[Qty]]</f>
        <v>224.16</v>
      </c>
      <c r="Q784" s="8">
        <f>OrderLines[[#This Row],[LineNetAmount]]-OrderLines[[#This Row],[Food Cost]]</f>
        <v>268.02</v>
      </c>
    </row>
    <row r="785" spans="1:17" x14ac:dyDescent="0.3">
      <c r="A785" t="s">
        <v>343</v>
      </c>
      <c r="B785" t="s">
        <v>419</v>
      </c>
      <c r="C785">
        <v>1</v>
      </c>
      <c r="D785" cm="1">
        <f t="array" ref="D785">VLOOKUP(OrderLines[[#This Row],[SKU]:[SKU]],Menu[],MATCH(OrderLines[[#Headers],[UnitPrice]],Menu[#Headers],0),FALSE)</f>
        <v>50.19</v>
      </c>
      <c r="E785" cm="1">
        <f t="array" ref="E785">VLOOKUP(OrderLines[[#This Row],[SKU]:[SKU]],Menu[],MATCH(OrderLines[[#Headers],[UnitCost]],Menu[#Headers],0),FALSE)</f>
        <v>22.61</v>
      </c>
      <c r="F785" t="str" cm="1">
        <f t="array" ref="F785">VLOOKUP(OrderLines[[#This Row],[SKU]:[SKU]],Menu[],MATCH(OrderLines[[#Headers],[Category]],Menu[#Headers],0),FALSE)</f>
        <v>Snack</v>
      </c>
      <c r="G785" t="str" cm="1">
        <f t="array" ref="G785">_xlfn.TEXTJOIN("+",TRUE,_xlfn._xlws.SORT(_xlfn.UNIQUE(_xlfn._xlws.FILTER(OrderLines[Category],OrderLines[OrderID]=OrderLines[[#This Row],[OrderID]]))))</f>
        <v>Beverage+Hot Meal+Snack</v>
      </c>
      <c r="H785" s="2" cm="1">
        <f t="array" ref="H785">INT(VLOOKUP(OrderLines[[#This Row],[OrderID]:[OrderID]],Orders[],MATCH(OrderLines[[#Headers],[OrderDateTime]],Orders[#Headers],0),FALSE))</f>
        <v>45893</v>
      </c>
      <c r="I785" t="str" cm="1">
        <f t="array" ref="I785">VLOOKUP(OrderLines[[#This Row],[OrderID]:[OrderID]],Orders[],MATCH(OrderLines[[#Headers],[Branch]],Orders[#Headers],0),FALSE)</f>
        <v>Plant 2 Canteen</v>
      </c>
      <c r="J785" cm="1">
        <f t="array" ref="J785">VLOOKUP(OrderLines[[#This Row],[OrderID]:[OrderID]],Orders[],MATCH(OrderLines[[#Headers],[DiscountPct]],Orders[#Headers],0),FALSE)</f>
        <v>0</v>
      </c>
      <c r="K785" t="str" cm="1">
        <f t="array" ref="K785">VLOOKUP(OrderLines[[#This Row],[OrderID]:[OrderID]],Orders[],MATCH(OrderLines[[#Headers],[PaymentType]],Orders[#Headers],0),FALSE)</f>
        <v>Card</v>
      </c>
      <c r="L785" t="str" cm="1">
        <f t="array" ref="L785">VLOOKUP(OrderLines[[#This Row],[OrderID]:[OrderID]],Orders[],MATCH(OrderLines[[#Headers],[Shift]],Orders[#Headers],0),FALSE)</f>
        <v>Lunch</v>
      </c>
      <c r="M785" s="8">
        <f>(OrderLines[[#This Row],[Qty]]*OrderLines[[#This Row],[UnitPrice]])*(1-OrderLines[[#This Row],[DiscountPct]])</f>
        <v>50.19</v>
      </c>
      <c r="N785" t="str">
        <f>IF(AND(COUNTIFS(OrderLines[OrderID],OrderLines[[#This Row],[OrderID]],OrderLines[Category],"Hot Meal"),COUNTIFS(OrderLines[OrderID],OrderLines[[#This Row],[OrderID]],OrderLines[Category],"Beverage")),"Combo","Single")</f>
        <v>Combo</v>
      </c>
      <c r="O785" s="8" t="str" cm="1">
        <f t="array" ref="O785">IF(SUMPRODUCT(OrderLines[UnitPrice],OrderLines[Qty],OrderLines[DiscountPct],--(OrderLines[OrderID] = OrderLines[[#This Row],[OrderID]]))&gt;40,"High Discount","Ok")</f>
        <v>Ok</v>
      </c>
      <c r="P785">
        <f>OrderLines[[#This Row],[UnitCost]]*OrderLines[[#This Row],[Qty]]</f>
        <v>22.61</v>
      </c>
      <c r="Q785" s="8">
        <f>OrderLines[[#This Row],[LineNetAmount]]-OrderLines[[#This Row],[Food Cost]]</f>
        <v>27.58</v>
      </c>
    </row>
    <row r="786" spans="1:17" x14ac:dyDescent="0.3">
      <c r="A786" t="s">
        <v>343</v>
      </c>
      <c r="B786" t="s">
        <v>410</v>
      </c>
      <c r="C786">
        <v>1</v>
      </c>
      <c r="D786" cm="1">
        <f t="array" ref="D786">VLOOKUP(OrderLines[[#This Row],[SKU]:[SKU]],Menu[],MATCH(OrderLines[[#Headers],[UnitPrice]],Menu[#Headers],0),FALSE)</f>
        <v>20.11</v>
      </c>
      <c r="E786" cm="1">
        <f t="array" ref="E786">VLOOKUP(OrderLines[[#This Row],[SKU]:[SKU]],Menu[],MATCH(OrderLines[[#Headers],[UnitCost]],Menu[#Headers],0),FALSE)</f>
        <v>8</v>
      </c>
      <c r="F786" t="str" cm="1">
        <f t="array" ref="F786">VLOOKUP(OrderLines[[#This Row],[SKU]:[SKU]],Menu[],MATCH(OrderLines[[#Headers],[Category]],Menu[#Headers],0),FALSE)</f>
        <v>Beverage</v>
      </c>
      <c r="G786" t="str" cm="1">
        <f t="array" ref="G786">_xlfn.TEXTJOIN("+",TRUE,_xlfn._xlws.SORT(_xlfn.UNIQUE(_xlfn._xlws.FILTER(OrderLines[Category],OrderLines[OrderID]=OrderLines[[#This Row],[OrderID]]))))</f>
        <v>Beverage+Hot Meal+Snack</v>
      </c>
      <c r="H786" s="2" cm="1">
        <f t="array" ref="H786">INT(VLOOKUP(OrderLines[[#This Row],[OrderID]:[OrderID]],Orders[],MATCH(OrderLines[[#Headers],[OrderDateTime]],Orders[#Headers],0),FALSE))</f>
        <v>45893</v>
      </c>
      <c r="I786" t="str" cm="1">
        <f t="array" ref="I786">VLOOKUP(OrderLines[[#This Row],[OrderID]:[OrderID]],Orders[],MATCH(OrderLines[[#Headers],[Branch]],Orders[#Headers],0),FALSE)</f>
        <v>Plant 2 Canteen</v>
      </c>
      <c r="J786" cm="1">
        <f t="array" ref="J786">VLOOKUP(OrderLines[[#This Row],[OrderID]:[OrderID]],Orders[],MATCH(OrderLines[[#Headers],[DiscountPct]],Orders[#Headers],0),FALSE)</f>
        <v>0</v>
      </c>
      <c r="K786" t="str" cm="1">
        <f t="array" ref="K786">VLOOKUP(OrderLines[[#This Row],[OrderID]:[OrderID]],Orders[],MATCH(OrderLines[[#Headers],[PaymentType]],Orders[#Headers],0),FALSE)</f>
        <v>Card</v>
      </c>
      <c r="L786" t="str" cm="1">
        <f t="array" ref="L786">VLOOKUP(OrderLines[[#This Row],[OrderID]:[OrderID]],Orders[],MATCH(OrderLines[[#Headers],[Shift]],Orders[#Headers],0),FALSE)</f>
        <v>Lunch</v>
      </c>
      <c r="M786" s="8">
        <f>(OrderLines[[#This Row],[Qty]]*OrderLines[[#This Row],[UnitPrice]])*(1-OrderLines[[#This Row],[DiscountPct]])</f>
        <v>20.11</v>
      </c>
      <c r="N786" t="str">
        <f>IF(AND(COUNTIFS(OrderLines[OrderID],OrderLines[[#This Row],[OrderID]],OrderLines[Category],"Hot Meal"),COUNTIFS(OrderLines[OrderID],OrderLines[[#This Row],[OrderID]],OrderLines[Category],"Beverage")),"Combo","Single")</f>
        <v>Combo</v>
      </c>
      <c r="O786" s="8" t="str" cm="1">
        <f t="array" ref="O786">IF(SUMPRODUCT(OrderLines[UnitPrice],OrderLines[Qty],OrderLines[DiscountPct],--(OrderLines[OrderID] = OrderLines[[#This Row],[OrderID]]))&gt;40,"High Discount","Ok")</f>
        <v>Ok</v>
      </c>
      <c r="P786">
        <f>OrderLines[[#This Row],[UnitCost]]*OrderLines[[#This Row],[Qty]]</f>
        <v>8</v>
      </c>
      <c r="Q786" s="8">
        <f>OrderLines[[#This Row],[LineNetAmount]]-OrderLines[[#This Row],[Food Cost]]</f>
        <v>12.11</v>
      </c>
    </row>
    <row r="787" spans="1:17" x14ac:dyDescent="0.3">
      <c r="A787" t="s">
        <v>343</v>
      </c>
      <c r="B787" t="s">
        <v>405</v>
      </c>
      <c r="C787">
        <v>1</v>
      </c>
      <c r="D787" cm="1">
        <f t="array" ref="D787">VLOOKUP(OrderLines[[#This Row],[SKU]:[SKU]],Menu[],MATCH(OrderLines[[#Headers],[UnitPrice]],Menu[#Headers],0),FALSE)</f>
        <v>170.83</v>
      </c>
      <c r="E787" cm="1">
        <f t="array" ref="E787">VLOOKUP(OrderLines[[#This Row],[SKU]:[SKU]],Menu[],MATCH(OrderLines[[#Headers],[UnitCost]],Menu[#Headers],0),FALSE)</f>
        <v>74.069999999999993</v>
      </c>
      <c r="F787" t="str" cm="1">
        <f t="array" ref="F787">VLOOKUP(OrderLines[[#This Row],[SKU]:[SKU]],Menu[],MATCH(OrderLines[[#Headers],[Category]],Menu[#Headers],0),FALSE)</f>
        <v>Hot Meal</v>
      </c>
      <c r="G787" t="str" cm="1">
        <f t="array" ref="G787">_xlfn.TEXTJOIN("+",TRUE,_xlfn._xlws.SORT(_xlfn.UNIQUE(_xlfn._xlws.FILTER(OrderLines[Category],OrderLines[OrderID]=OrderLines[[#This Row],[OrderID]]))))</f>
        <v>Beverage+Hot Meal+Snack</v>
      </c>
      <c r="H787" s="2" cm="1">
        <f t="array" ref="H787">INT(VLOOKUP(OrderLines[[#This Row],[OrderID]:[OrderID]],Orders[],MATCH(OrderLines[[#Headers],[OrderDateTime]],Orders[#Headers],0),FALSE))</f>
        <v>45893</v>
      </c>
      <c r="I787" t="str" cm="1">
        <f t="array" ref="I787">VLOOKUP(OrderLines[[#This Row],[OrderID]:[OrderID]],Orders[],MATCH(OrderLines[[#Headers],[Branch]],Orders[#Headers],0),FALSE)</f>
        <v>Plant 2 Canteen</v>
      </c>
      <c r="J787" cm="1">
        <f t="array" ref="J787">VLOOKUP(OrderLines[[#This Row],[OrderID]:[OrderID]],Orders[],MATCH(OrderLines[[#Headers],[DiscountPct]],Orders[#Headers],0),FALSE)</f>
        <v>0</v>
      </c>
      <c r="K787" t="str" cm="1">
        <f t="array" ref="K787">VLOOKUP(OrderLines[[#This Row],[OrderID]:[OrderID]],Orders[],MATCH(OrderLines[[#Headers],[PaymentType]],Orders[#Headers],0),FALSE)</f>
        <v>Card</v>
      </c>
      <c r="L787" t="str" cm="1">
        <f t="array" ref="L787">VLOOKUP(OrderLines[[#This Row],[OrderID]:[OrderID]],Orders[],MATCH(OrderLines[[#Headers],[Shift]],Orders[#Headers],0),FALSE)</f>
        <v>Lunch</v>
      </c>
      <c r="M787" s="8">
        <f>(OrderLines[[#This Row],[Qty]]*OrderLines[[#This Row],[UnitPrice]])*(1-OrderLines[[#This Row],[DiscountPct]])</f>
        <v>170.83</v>
      </c>
      <c r="N787" t="str">
        <f>IF(AND(COUNTIFS(OrderLines[OrderID],OrderLines[[#This Row],[OrderID]],OrderLines[Category],"Hot Meal"),COUNTIFS(OrderLines[OrderID],OrderLines[[#This Row],[OrderID]],OrderLines[Category],"Beverage")),"Combo","Single")</f>
        <v>Combo</v>
      </c>
      <c r="O787" s="8" t="str" cm="1">
        <f t="array" ref="O787">IF(SUMPRODUCT(OrderLines[UnitPrice],OrderLines[Qty],OrderLines[DiscountPct],--(OrderLines[OrderID] = OrderLines[[#This Row],[OrderID]]))&gt;40,"High Discount","Ok")</f>
        <v>Ok</v>
      </c>
      <c r="P787">
        <f>OrderLines[[#This Row],[UnitCost]]*OrderLines[[#This Row],[Qty]]</f>
        <v>74.069999999999993</v>
      </c>
      <c r="Q787" s="8">
        <f>OrderLines[[#This Row],[LineNetAmount]]-OrderLines[[#This Row],[Food Cost]]</f>
        <v>96.760000000000019</v>
      </c>
    </row>
    <row r="788" spans="1:17" x14ac:dyDescent="0.3">
      <c r="A788" t="s">
        <v>343</v>
      </c>
      <c r="B788" t="s">
        <v>417</v>
      </c>
      <c r="C788">
        <v>3</v>
      </c>
      <c r="D788" cm="1">
        <f t="array" ref="D788">VLOOKUP(OrderLines[[#This Row],[SKU]:[SKU]],Menu[],MATCH(OrderLines[[#Headers],[UnitPrice]],Menu[#Headers],0),FALSE)</f>
        <v>146.4</v>
      </c>
      <c r="E788" cm="1">
        <f t="array" ref="E788">VLOOKUP(OrderLines[[#This Row],[SKU]:[SKU]],Menu[],MATCH(OrderLines[[#Headers],[UnitCost]],Menu[#Headers],0),FALSE)</f>
        <v>80.92</v>
      </c>
      <c r="F788" t="str" cm="1">
        <f t="array" ref="F788">VLOOKUP(OrderLines[[#This Row],[SKU]:[SKU]],Menu[],MATCH(OrderLines[[#Headers],[Category]],Menu[#Headers],0),FALSE)</f>
        <v>Hot Meal</v>
      </c>
      <c r="G788" t="str" cm="1">
        <f t="array" ref="G788">_xlfn.TEXTJOIN("+",TRUE,_xlfn._xlws.SORT(_xlfn.UNIQUE(_xlfn._xlws.FILTER(OrderLines[Category],OrderLines[OrderID]=OrderLines[[#This Row],[OrderID]]))))</f>
        <v>Beverage+Hot Meal+Snack</v>
      </c>
      <c r="H788" s="2" cm="1">
        <f t="array" ref="H788">INT(VLOOKUP(OrderLines[[#This Row],[OrderID]:[OrderID]],Orders[],MATCH(OrderLines[[#Headers],[OrderDateTime]],Orders[#Headers],0),FALSE))</f>
        <v>45893</v>
      </c>
      <c r="I788" t="str" cm="1">
        <f t="array" ref="I788">VLOOKUP(OrderLines[[#This Row],[OrderID]:[OrderID]],Orders[],MATCH(OrderLines[[#Headers],[Branch]],Orders[#Headers],0),FALSE)</f>
        <v>Plant 2 Canteen</v>
      </c>
      <c r="J788" cm="1">
        <f t="array" ref="J788">VLOOKUP(OrderLines[[#This Row],[OrderID]:[OrderID]],Orders[],MATCH(OrderLines[[#Headers],[DiscountPct]],Orders[#Headers],0),FALSE)</f>
        <v>0</v>
      </c>
      <c r="K788" t="str" cm="1">
        <f t="array" ref="K788">VLOOKUP(OrderLines[[#This Row],[OrderID]:[OrderID]],Orders[],MATCH(OrderLines[[#Headers],[PaymentType]],Orders[#Headers],0),FALSE)</f>
        <v>Card</v>
      </c>
      <c r="L788" t="str" cm="1">
        <f t="array" ref="L788">VLOOKUP(OrderLines[[#This Row],[OrderID]:[OrderID]],Orders[],MATCH(OrderLines[[#Headers],[Shift]],Orders[#Headers],0),FALSE)</f>
        <v>Lunch</v>
      </c>
      <c r="M788" s="8">
        <f>(OrderLines[[#This Row],[Qty]]*OrderLines[[#This Row],[UnitPrice]])*(1-OrderLines[[#This Row],[DiscountPct]])</f>
        <v>439.20000000000005</v>
      </c>
      <c r="N788" t="str">
        <f>IF(AND(COUNTIFS(OrderLines[OrderID],OrderLines[[#This Row],[OrderID]],OrderLines[Category],"Hot Meal"),COUNTIFS(OrderLines[OrderID],OrderLines[[#This Row],[OrderID]],OrderLines[Category],"Beverage")),"Combo","Single")</f>
        <v>Combo</v>
      </c>
      <c r="O788" s="8" t="str" cm="1">
        <f t="array" ref="O788">IF(SUMPRODUCT(OrderLines[UnitPrice],OrderLines[Qty],OrderLines[DiscountPct],--(OrderLines[OrderID] = OrderLines[[#This Row],[OrderID]]))&gt;40,"High Discount","Ok")</f>
        <v>Ok</v>
      </c>
      <c r="P788">
        <f>OrderLines[[#This Row],[UnitCost]]*OrderLines[[#This Row],[Qty]]</f>
        <v>242.76</v>
      </c>
      <c r="Q788" s="8">
        <f>OrderLines[[#This Row],[LineNetAmount]]-OrderLines[[#This Row],[Food Cost]]</f>
        <v>196.44000000000005</v>
      </c>
    </row>
    <row r="789" spans="1:17" x14ac:dyDescent="0.3">
      <c r="A789" t="s">
        <v>344</v>
      </c>
      <c r="B789" t="s">
        <v>403</v>
      </c>
      <c r="C789">
        <v>1</v>
      </c>
      <c r="D789" cm="1">
        <f t="array" ref="D789">VLOOKUP(OrderLines[[#This Row],[SKU]:[SKU]],Menu[],MATCH(OrderLines[[#Headers],[UnitPrice]],Menu[#Headers],0),FALSE)</f>
        <v>76.55</v>
      </c>
      <c r="E789" cm="1">
        <f t="array" ref="E789">VLOOKUP(OrderLines[[#This Row],[SKU]:[SKU]],Menu[],MATCH(OrderLines[[#Headers],[UnitCost]],Menu[#Headers],0),FALSE)</f>
        <v>38.229999999999997</v>
      </c>
      <c r="F789" t="str" cm="1">
        <f t="array" ref="F789">VLOOKUP(OrderLines[[#This Row],[SKU]:[SKU]],Menu[],MATCH(OrderLines[[#Headers],[Category]],Menu[#Headers],0),FALSE)</f>
        <v>Dessert</v>
      </c>
      <c r="G789" t="str" cm="1">
        <f t="array" ref="G789">_xlfn.TEXTJOIN("+",TRUE,_xlfn._xlws.SORT(_xlfn.UNIQUE(_xlfn._xlws.FILTER(OrderLines[Category],OrderLines[OrderID]=OrderLines[[#This Row],[OrderID]]))))</f>
        <v>Beverage+Dessert+Hot Meal</v>
      </c>
      <c r="H789" s="2" cm="1">
        <f t="array" ref="H789">INT(VLOOKUP(OrderLines[[#This Row],[OrderID]:[OrderID]],Orders[],MATCH(OrderLines[[#Headers],[OrderDateTime]],Orders[#Headers],0),FALSE))</f>
        <v>45890</v>
      </c>
      <c r="I789" t="str" cm="1">
        <f t="array" ref="I789">VLOOKUP(OrderLines[[#This Row],[OrderID]:[OrderID]],Orders[],MATCH(OrderLines[[#Headers],[Branch]],Orders[#Headers],0),FALSE)</f>
        <v>Plant 1 Canteen</v>
      </c>
      <c r="J789" cm="1">
        <f t="array" ref="J789">VLOOKUP(OrderLines[[#This Row],[OrderID]:[OrderID]],Orders[],MATCH(OrderLines[[#Headers],[DiscountPct]],Orders[#Headers],0),FALSE)</f>
        <v>0.03</v>
      </c>
      <c r="K789" t="str" cm="1">
        <f t="array" ref="K789">VLOOKUP(OrderLines[[#This Row],[OrderID]:[OrderID]],Orders[],MATCH(OrderLines[[#Headers],[PaymentType]],Orders[#Headers],0),FALSE)</f>
        <v>UPI</v>
      </c>
      <c r="L789" t="str" cm="1">
        <f t="array" ref="L789">VLOOKUP(OrderLines[[#This Row],[OrderID]:[OrderID]],Orders[],MATCH(OrderLines[[#Headers],[Shift]],Orders[#Headers],0),FALSE)</f>
        <v>Breakfast</v>
      </c>
      <c r="M789" s="8">
        <f>(OrderLines[[#This Row],[Qty]]*OrderLines[[#This Row],[UnitPrice]])*(1-OrderLines[[#This Row],[DiscountPct]])</f>
        <v>74.253499999999988</v>
      </c>
      <c r="N789" t="str">
        <f>IF(AND(COUNTIFS(OrderLines[OrderID],OrderLines[[#This Row],[OrderID]],OrderLines[Category],"Hot Meal"),COUNTIFS(OrderLines[OrderID],OrderLines[[#This Row],[OrderID]],OrderLines[Category],"Beverage")),"Combo","Single")</f>
        <v>Combo</v>
      </c>
      <c r="O789" s="8" t="str" cm="1">
        <f t="array" ref="O789">IF(SUMPRODUCT(OrderLines[UnitPrice],OrderLines[Qty],OrderLines[DiscountPct],--(OrderLines[OrderID] = OrderLines[[#This Row],[OrderID]]))&gt;40,"High Discount","Ok")</f>
        <v>Ok</v>
      </c>
      <c r="P789">
        <f>OrderLines[[#This Row],[UnitCost]]*OrderLines[[#This Row],[Qty]]</f>
        <v>38.229999999999997</v>
      </c>
      <c r="Q789" s="8">
        <f>OrderLines[[#This Row],[LineNetAmount]]-OrderLines[[#This Row],[Food Cost]]</f>
        <v>36.023499999999991</v>
      </c>
    </row>
    <row r="790" spans="1:17" x14ac:dyDescent="0.3">
      <c r="A790" t="s">
        <v>344</v>
      </c>
      <c r="B790" t="s">
        <v>407</v>
      </c>
      <c r="C790">
        <v>1</v>
      </c>
      <c r="D790" cm="1">
        <f t="array" ref="D790">VLOOKUP(OrderLines[[#This Row],[SKU]:[SKU]],Menu[],MATCH(OrderLines[[#Headers],[UnitPrice]],Menu[#Headers],0),FALSE)</f>
        <v>246.09</v>
      </c>
      <c r="E790" cm="1">
        <f t="array" ref="E790">VLOOKUP(OrderLines[[#This Row],[SKU]:[SKU]],Menu[],MATCH(OrderLines[[#Headers],[UnitCost]],Menu[#Headers],0),FALSE)</f>
        <v>112.08</v>
      </c>
      <c r="F790" t="str" cm="1">
        <f t="array" ref="F790">VLOOKUP(OrderLines[[#This Row],[SKU]:[SKU]],Menu[],MATCH(OrderLines[[#Headers],[Category]],Menu[#Headers],0),FALSE)</f>
        <v>Hot Meal</v>
      </c>
      <c r="G790" t="str" cm="1">
        <f t="array" ref="G790">_xlfn.TEXTJOIN("+",TRUE,_xlfn._xlws.SORT(_xlfn.UNIQUE(_xlfn._xlws.FILTER(OrderLines[Category],OrderLines[OrderID]=OrderLines[[#This Row],[OrderID]]))))</f>
        <v>Beverage+Dessert+Hot Meal</v>
      </c>
      <c r="H790" s="2" cm="1">
        <f t="array" ref="H790">INT(VLOOKUP(OrderLines[[#This Row],[OrderID]:[OrderID]],Orders[],MATCH(OrderLines[[#Headers],[OrderDateTime]],Orders[#Headers],0),FALSE))</f>
        <v>45890</v>
      </c>
      <c r="I790" t="str" cm="1">
        <f t="array" ref="I790">VLOOKUP(OrderLines[[#This Row],[OrderID]:[OrderID]],Orders[],MATCH(OrderLines[[#Headers],[Branch]],Orders[#Headers],0),FALSE)</f>
        <v>Plant 1 Canteen</v>
      </c>
      <c r="J790" cm="1">
        <f t="array" ref="J790">VLOOKUP(OrderLines[[#This Row],[OrderID]:[OrderID]],Orders[],MATCH(OrderLines[[#Headers],[DiscountPct]],Orders[#Headers],0),FALSE)</f>
        <v>0.03</v>
      </c>
      <c r="K790" t="str" cm="1">
        <f t="array" ref="K790">VLOOKUP(OrderLines[[#This Row],[OrderID]:[OrderID]],Orders[],MATCH(OrderLines[[#Headers],[PaymentType]],Orders[#Headers],0),FALSE)</f>
        <v>UPI</v>
      </c>
      <c r="L790" t="str" cm="1">
        <f t="array" ref="L790">VLOOKUP(OrderLines[[#This Row],[OrderID]:[OrderID]],Orders[],MATCH(OrderLines[[#Headers],[Shift]],Orders[#Headers],0),FALSE)</f>
        <v>Breakfast</v>
      </c>
      <c r="M790" s="8">
        <f>(OrderLines[[#This Row],[Qty]]*OrderLines[[#This Row],[UnitPrice]])*(1-OrderLines[[#This Row],[DiscountPct]])</f>
        <v>238.7073</v>
      </c>
      <c r="N790" t="str">
        <f>IF(AND(COUNTIFS(OrderLines[OrderID],OrderLines[[#This Row],[OrderID]],OrderLines[Category],"Hot Meal"),COUNTIFS(OrderLines[OrderID],OrderLines[[#This Row],[OrderID]],OrderLines[Category],"Beverage")),"Combo","Single")</f>
        <v>Combo</v>
      </c>
      <c r="O790" s="8" t="str" cm="1">
        <f t="array" ref="O790">IF(SUMPRODUCT(OrderLines[UnitPrice],OrderLines[Qty],OrderLines[DiscountPct],--(OrderLines[OrderID] = OrderLines[[#This Row],[OrderID]]))&gt;40,"High Discount","Ok")</f>
        <v>Ok</v>
      </c>
      <c r="P790">
        <f>OrderLines[[#This Row],[UnitCost]]*OrderLines[[#This Row],[Qty]]</f>
        <v>112.08</v>
      </c>
      <c r="Q790" s="8">
        <f>OrderLines[[#This Row],[LineNetAmount]]-OrderLines[[#This Row],[Food Cost]]</f>
        <v>126.62730000000001</v>
      </c>
    </row>
    <row r="791" spans="1:17" x14ac:dyDescent="0.3">
      <c r="A791" t="s">
        <v>344</v>
      </c>
      <c r="B791" t="s">
        <v>411</v>
      </c>
      <c r="C791">
        <v>2</v>
      </c>
      <c r="D791" cm="1">
        <f t="array" ref="D791">VLOOKUP(OrderLines[[#This Row],[SKU]:[SKU]],Menu[],MATCH(OrderLines[[#Headers],[UnitPrice]],Menu[#Headers],0),FALSE)</f>
        <v>22.2</v>
      </c>
      <c r="E791" cm="1">
        <f t="array" ref="E791">VLOOKUP(OrderLines[[#This Row],[SKU]:[SKU]],Menu[],MATCH(OrderLines[[#Headers],[UnitCost]],Menu[#Headers],0),FALSE)</f>
        <v>9.3800000000000008</v>
      </c>
      <c r="F791" t="str" cm="1">
        <f t="array" ref="F791">VLOOKUP(OrderLines[[#This Row],[SKU]:[SKU]],Menu[],MATCH(OrderLines[[#Headers],[Category]],Menu[#Headers],0),FALSE)</f>
        <v>Beverage</v>
      </c>
      <c r="G791" t="str" cm="1">
        <f t="array" ref="G791">_xlfn.TEXTJOIN("+",TRUE,_xlfn._xlws.SORT(_xlfn.UNIQUE(_xlfn._xlws.FILTER(OrderLines[Category],OrderLines[OrderID]=OrderLines[[#This Row],[OrderID]]))))</f>
        <v>Beverage+Dessert+Hot Meal</v>
      </c>
      <c r="H791" s="2" cm="1">
        <f t="array" ref="H791">INT(VLOOKUP(OrderLines[[#This Row],[OrderID]:[OrderID]],Orders[],MATCH(OrderLines[[#Headers],[OrderDateTime]],Orders[#Headers],0),FALSE))</f>
        <v>45890</v>
      </c>
      <c r="I791" t="str" cm="1">
        <f t="array" ref="I791">VLOOKUP(OrderLines[[#This Row],[OrderID]:[OrderID]],Orders[],MATCH(OrderLines[[#Headers],[Branch]],Orders[#Headers],0),FALSE)</f>
        <v>Plant 1 Canteen</v>
      </c>
      <c r="J791" cm="1">
        <f t="array" ref="J791">VLOOKUP(OrderLines[[#This Row],[OrderID]:[OrderID]],Orders[],MATCH(OrderLines[[#Headers],[DiscountPct]],Orders[#Headers],0),FALSE)</f>
        <v>0.03</v>
      </c>
      <c r="K791" t="str" cm="1">
        <f t="array" ref="K791">VLOOKUP(OrderLines[[#This Row],[OrderID]:[OrderID]],Orders[],MATCH(OrderLines[[#Headers],[PaymentType]],Orders[#Headers],0),FALSE)</f>
        <v>UPI</v>
      </c>
      <c r="L791" t="str" cm="1">
        <f t="array" ref="L791">VLOOKUP(OrderLines[[#This Row],[OrderID]:[OrderID]],Orders[],MATCH(OrderLines[[#Headers],[Shift]],Orders[#Headers],0),FALSE)</f>
        <v>Breakfast</v>
      </c>
      <c r="M791" s="8">
        <f>(OrderLines[[#This Row],[Qty]]*OrderLines[[#This Row],[UnitPrice]])*(1-OrderLines[[#This Row],[DiscountPct]])</f>
        <v>43.067999999999998</v>
      </c>
      <c r="N791" t="str">
        <f>IF(AND(COUNTIFS(OrderLines[OrderID],OrderLines[[#This Row],[OrderID]],OrderLines[Category],"Hot Meal"),COUNTIFS(OrderLines[OrderID],OrderLines[[#This Row],[OrderID]],OrderLines[Category],"Beverage")),"Combo","Single")</f>
        <v>Combo</v>
      </c>
      <c r="O791" s="8" t="str" cm="1">
        <f t="array" ref="O791">IF(SUMPRODUCT(OrderLines[UnitPrice],OrderLines[Qty],OrderLines[DiscountPct],--(OrderLines[OrderID] = OrderLines[[#This Row],[OrderID]]))&gt;40,"High Discount","Ok")</f>
        <v>Ok</v>
      </c>
      <c r="P791">
        <f>OrderLines[[#This Row],[UnitCost]]*OrderLines[[#This Row],[Qty]]</f>
        <v>18.760000000000002</v>
      </c>
      <c r="Q791" s="8">
        <f>OrderLines[[#This Row],[LineNetAmount]]-OrderLines[[#This Row],[Food Cost]]</f>
        <v>24.307999999999996</v>
      </c>
    </row>
    <row r="792" spans="1:17" x14ac:dyDescent="0.3">
      <c r="A792" t="s">
        <v>344</v>
      </c>
      <c r="B792" t="s">
        <v>402</v>
      </c>
      <c r="C792">
        <v>2</v>
      </c>
      <c r="D792" cm="1">
        <f t="array" ref="D792">VLOOKUP(OrderLines[[#This Row],[SKU]:[SKU]],Menu[],MATCH(OrderLines[[#Headers],[UnitPrice]],Menu[#Headers],0),FALSE)</f>
        <v>30.34</v>
      </c>
      <c r="E792" cm="1">
        <f t="array" ref="E792">VLOOKUP(OrderLines[[#This Row],[SKU]:[SKU]],Menu[],MATCH(OrderLines[[#Headers],[UnitCost]],Menu[#Headers],0),FALSE)</f>
        <v>14.18</v>
      </c>
      <c r="F792" t="str" cm="1">
        <f t="array" ref="F792">VLOOKUP(OrderLines[[#This Row],[SKU]:[SKU]],Menu[],MATCH(OrderLines[[#Headers],[Category]],Menu[#Headers],0),FALSE)</f>
        <v>Beverage</v>
      </c>
      <c r="G792" t="str" cm="1">
        <f t="array" ref="G792">_xlfn.TEXTJOIN("+",TRUE,_xlfn._xlws.SORT(_xlfn.UNIQUE(_xlfn._xlws.FILTER(OrderLines[Category],OrderLines[OrderID]=OrderLines[[#This Row],[OrderID]]))))</f>
        <v>Beverage+Dessert+Hot Meal</v>
      </c>
      <c r="H792" s="2" cm="1">
        <f t="array" ref="H792">INT(VLOOKUP(OrderLines[[#This Row],[OrderID]:[OrderID]],Orders[],MATCH(OrderLines[[#Headers],[OrderDateTime]],Orders[#Headers],0),FALSE))</f>
        <v>45890</v>
      </c>
      <c r="I792" t="str" cm="1">
        <f t="array" ref="I792">VLOOKUP(OrderLines[[#This Row],[OrderID]:[OrderID]],Orders[],MATCH(OrderLines[[#Headers],[Branch]],Orders[#Headers],0),FALSE)</f>
        <v>Plant 1 Canteen</v>
      </c>
      <c r="J792" cm="1">
        <f t="array" ref="J792">VLOOKUP(OrderLines[[#This Row],[OrderID]:[OrderID]],Orders[],MATCH(OrderLines[[#Headers],[DiscountPct]],Orders[#Headers],0),FALSE)</f>
        <v>0.03</v>
      </c>
      <c r="K792" t="str" cm="1">
        <f t="array" ref="K792">VLOOKUP(OrderLines[[#This Row],[OrderID]:[OrderID]],Orders[],MATCH(OrderLines[[#Headers],[PaymentType]],Orders[#Headers],0),FALSE)</f>
        <v>UPI</v>
      </c>
      <c r="L792" t="str" cm="1">
        <f t="array" ref="L792">VLOOKUP(OrderLines[[#This Row],[OrderID]:[OrderID]],Orders[],MATCH(OrderLines[[#Headers],[Shift]],Orders[#Headers],0),FALSE)</f>
        <v>Breakfast</v>
      </c>
      <c r="M792" s="8">
        <f>(OrderLines[[#This Row],[Qty]]*OrderLines[[#This Row],[UnitPrice]])*(1-OrderLines[[#This Row],[DiscountPct]])</f>
        <v>58.8596</v>
      </c>
      <c r="N792" t="str">
        <f>IF(AND(COUNTIFS(OrderLines[OrderID],OrderLines[[#This Row],[OrderID]],OrderLines[Category],"Hot Meal"),COUNTIFS(OrderLines[OrderID],OrderLines[[#This Row],[OrderID]],OrderLines[Category],"Beverage")),"Combo","Single")</f>
        <v>Combo</v>
      </c>
      <c r="O792" s="8" t="str" cm="1">
        <f t="array" ref="O792">IF(SUMPRODUCT(OrderLines[UnitPrice],OrderLines[Qty],OrderLines[DiscountPct],--(OrderLines[OrderID] = OrderLines[[#This Row],[OrderID]]))&gt;40,"High Discount","Ok")</f>
        <v>Ok</v>
      </c>
      <c r="P792">
        <f>OrderLines[[#This Row],[UnitCost]]*OrderLines[[#This Row],[Qty]]</f>
        <v>28.36</v>
      </c>
      <c r="Q792" s="8">
        <f>OrderLines[[#This Row],[LineNetAmount]]-OrderLines[[#This Row],[Food Cost]]</f>
        <v>30.499600000000001</v>
      </c>
    </row>
    <row r="793" spans="1:17" x14ac:dyDescent="0.3">
      <c r="A793" t="s">
        <v>345</v>
      </c>
      <c r="B793" t="s">
        <v>415</v>
      </c>
      <c r="C793">
        <v>1</v>
      </c>
      <c r="D793" cm="1">
        <f t="array" ref="D793">VLOOKUP(OrderLines[[#This Row],[SKU]:[SKU]],Menu[],MATCH(OrderLines[[#Headers],[UnitPrice]],Menu[#Headers],0),FALSE)</f>
        <v>256.91000000000003</v>
      </c>
      <c r="E793" cm="1">
        <f t="array" ref="E793">VLOOKUP(OrderLines[[#This Row],[SKU]:[SKU]],Menu[],MATCH(OrderLines[[#Headers],[UnitCost]],Menu[#Headers],0),FALSE)</f>
        <v>121.24</v>
      </c>
      <c r="F793" t="str" cm="1">
        <f t="array" ref="F793">VLOOKUP(OrderLines[[#This Row],[SKU]:[SKU]],Menu[],MATCH(OrderLines[[#Headers],[Category]],Menu[#Headers],0),FALSE)</f>
        <v>Hot Meal</v>
      </c>
      <c r="G793" t="str" cm="1">
        <f t="array" ref="G793">_xlfn.TEXTJOIN("+",TRUE,_xlfn._xlws.SORT(_xlfn.UNIQUE(_xlfn._xlws.FILTER(OrderLines[Category],OrderLines[OrderID]=OrderLines[[#This Row],[OrderID]]))))</f>
        <v>Dessert+Hot Meal</v>
      </c>
      <c r="H793" s="2" cm="1">
        <f t="array" ref="H793">INT(VLOOKUP(OrderLines[[#This Row],[OrderID]:[OrderID]],Orders[],MATCH(OrderLines[[#Headers],[OrderDateTime]],Orders[#Headers],0),FALSE))</f>
        <v>45888</v>
      </c>
      <c r="I793" t="str" cm="1">
        <f t="array" ref="I793">VLOOKUP(OrderLines[[#This Row],[OrderID]:[OrderID]],Orders[],MATCH(OrderLines[[#Headers],[Branch]],Orders[#Headers],0),FALSE)</f>
        <v>Plant 2 Canteen</v>
      </c>
      <c r="J793" cm="1">
        <f t="array" ref="J793">VLOOKUP(OrderLines[[#This Row],[OrderID]:[OrderID]],Orders[],MATCH(OrderLines[[#Headers],[DiscountPct]],Orders[#Headers],0),FALSE)</f>
        <v>0.05</v>
      </c>
      <c r="K793" t="str" cm="1">
        <f t="array" ref="K793">VLOOKUP(OrderLines[[#This Row],[OrderID]:[OrderID]],Orders[],MATCH(OrderLines[[#Headers],[PaymentType]],Orders[#Headers],0),FALSE)</f>
        <v>Card</v>
      </c>
      <c r="L793" t="str" cm="1">
        <f t="array" ref="L793">VLOOKUP(OrderLines[[#This Row],[OrderID]:[OrderID]],Orders[],MATCH(OrderLines[[#Headers],[Shift]],Orders[#Headers],0),FALSE)</f>
        <v>Lunch</v>
      </c>
      <c r="M793" s="8">
        <f>(OrderLines[[#This Row],[Qty]]*OrderLines[[#This Row],[UnitPrice]])*(1-OrderLines[[#This Row],[DiscountPct]])</f>
        <v>244.06450000000001</v>
      </c>
      <c r="N793" t="str">
        <f>IF(AND(COUNTIFS(OrderLines[OrderID],OrderLines[[#This Row],[OrderID]],OrderLines[Category],"Hot Meal"),COUNTIFS(OrderLines[OrderID],OrderLines[[#This Row],[OrderID]],OrderLines[Category],"Beverage")),"Combo","Single")</f>
        <v>Single</v>
      </c>
      <c r="O793" s="8" t="str" cm="1">
        <f t="array" ref="O793">IF(SUMPRODUCT(OrderLines[UnitPrice],OrderLines[Qty],OrderLines[DiscountPct],--(OrderLines[OrderID] = OrderLines[[#This Row],[OrderID]]))&gt;40,"High Discount","Ok")</f>
        <v>High Discount</v>
      </c>
      <c r="P793">
        <f>OrderLines[[#This Row],[UnitCost]]*OrderLines[[#This Row],[Qty]]</f>
        <v>121.24</v>
      </c>
      <c r="Q793" s="8">
        <f>OrderLines[[#This Row],[LineNetAmount]]-OrderLines[[#This Row],[Food Cost]]</f>
        <v>122.82450000000001</v>
      </c>
    </row>
    <row r="794" spans="1:17" x14ac:dyDescent="0.3">
      <c r="A794" t="s">
        <v>345</v>
      </c>
      <c r="B794" t="s">
        <v>413</v>
      </c>
      <c r="C794">
        <v>3</v>
      </c>
      <c r="D794" cm="1">
        <f t="array" ref="D794">VLOOKUP(OrderLines[[#This Row],[SKU]:[SKU]],Menu[],MATCH(OrderLines[[#Headers],[UnitPrice]],Menu[#Headers],0),FALSE)</f>
        <v>54.2</v>
      </c>
      <c r="E794" cm="1">
        <f t="array" ref="E794">VLOOKUP(OrderLines[[#This Row],[SKU]:[SKU]],Menu[],MATCH(OrderLines[[#Headers],[UnitCost]],Menu[#Headers],0),FALSE)</f>
        <v>21.95</v>
      </c>
      <c r="F794" t="str" cm="1">
        <f t="array" ref="F794">VLOOKUP(OrderLines[[#This Row],[SKU]:[SKU]],Menu[],MATCH(OrderLines[[#Headers],[Category]],Menu[#Headers],0),FALSE)</f>
        <v>Dessert</v>
      </c>
      <c r="G794" t="str" cm="1">
        <f t="array" ref="G794">_xlfn.TEXTJOIN("+",TRUE,_xlfn._xlws.SORT(_xlfn.UNIQUE(_xlfn._xlws.FILTER(OrderLines[Category],OrderLines[OrderID]=OrderLines[[#This Row],[OrderID]]))))</f>
        <v>Dessert+Hot Meal</v>
      </c>
      <c r="H794" s="2" cm="1">
        <f t="array" ref="H794">INT(VLOOKUP(OrderLines[[#This Row],[OrderID]:[OrderID]],Orders[],MATCH(OrderLines[[#Headers],[OrderDateTime]],Orders[#Headers],0),FALSE))</f>
        <v>45888</v>
      </c>
      <c r="I794" t="str" cm="1">
        <f t="array" ref="I794">VLOOKUP(OrderLines[[#This Row],[OrderID]:[OrderID]],Orders[],MATCH(OrderLines[[#Headers],[Branch]],Orders[#Headers],0),FALSE)</f>
        <v>Plant 2 Canteen</v>
      </c>
      <c r="J794" cm="1">
        <f t="array" ref="J794">VLOOKUP(OrderLines[[#This Row],[OrderID]:[OrderID]],Orders[],MATCH(OrderLines[[#Headers],[DiscountPct]],Orders[#Headers],0),FALSE)</f>
        <v>0.05</v>
      </c>
      <c r="K794" t="str" cm="1">
        <f t="array" ref="K794">VLOOKUP(OrderLines[[#This Row],[OrderID]:[OrderID]],Orders[],MATCH(OrderLines[[#Headers],[PaymentType]],Orders[#Headers],0),FALSE)</f>
        <v>Card</v>
      </c>
      <c r="L794" t="str" cm="1">
        <f t="array" ref="L794">VLOOKUP(OrderLines[[#This Row],[OrderID]:[OrderID]],Orders[],MATCH(OrderLines[[#Headers],[Shift]],Orders[#Headers],0),FALSE)</f>
        <v>Lunch</v>
      </c>
      <c r="M794" s="8">
        <f>(OrderLines[[#This Row],[Qty]]*OrderLines[[#This Row],[UnitPrice]])*(1-OrderLines[[#This Row],[DiscountPct]])</f>
        <v>154.47000000000003</v>
      </c>
      <c r="N794" t="str">
        <f>IF(AND(COUNTIFS(OrderLines[OrderID],OrderLines[[#This Row],[OrderID]],OrderLines[Category],"Hot Meal"),COUNTIFS(OrderLines[OrderID],OrderLines[[#This Row],[OrderID]],OrderLines[Category],"Beverage")),"Combo","Single")</f>
        <v>Single</v>
      </c>
      <c r="O794" s="8" t="str" cm="1">
        <f t="array" ref="O794">IF(SUMPRODUCT(OrderLines[UnitPrice],OrderLines[Qty],OrderLines[DiscountPct],--(OrderLines[OrderID] = OrderLines[[#This Row],[OrderID]]))&gt;40,"High Discount","Ok")</f>
        <v>High Discount</v>
      </c>
      <c r="P794">
        <f>OrderLines[[#This Row],[UnitCost]]*OrderLines[[#This Row],[Qty]]</f>
        <v>65.849999999999994</v>
      </c>
      <c r="Q794" s="8">
        <f>OrderLines[[#This Row],[LineNetAmount]]-OrderLines[[#This Row],[Food Cost]]</f>
        <v>88.620000000000033</v>
      </c>
    </row>
    <row r="795" spans="1:17" x14ac:dyDescent="0.3">
      <c r="A795" t="s">
        <v>345</v>
      </c>
      <c r="B795" t="s">
        <v>414</v>
      </c>
      <c r="C795">
        <v>1</v>
      </c>
      <c r="D795" cm="1">
        <f t="array" ref="D795">VLOOKUP(OrderLines[[#This Row],[SKU]:[SKU]],Menu[],MATCH(OrderLines[[#Headers],[UnitPrice]],Menu[#Headers],0),FALSE)</f>
        <v>116.8</v>
      </c>
      <c r="E795" cm="1">
        <f t="array" ref="E795">VLOOKUP(OrderLines[[#This Row],[SKU]:[SKU]],Menu[],MATCH(OrderLines[[#Headers],[UnitCost]],Menu[#Headers],0),FALSE)</f>
        <v>48.97</v>
      </c>
      <c r="F795" t="str" cm="1">
        <f t="array" ref="F795">VLOOKUP(OrderLines[[#This Row],[SKU]:[SKU]],Menu[],MATCH(OrderLines[[#Headers],[Category]],Menu[#Headers],0),FALSE)</f>
        <v>Dessert</v>
      </c>
      <c r="G795" t="str" cm="1">
        <f t="array" ref="G795">_xlfn.TEXTJOIN("+",TRUE,_xlfn._xlws.SORT(_xlfn.UNIQUE(_xlfn._xlws.FILTER(OrderLines[Category],OrderLines[OrderID]=OrderLines[[#This Row],[OrderID]]))))</f>
        <v>Dessert+Hot Meal</v>
      </c>
      <c r="H795" s="2" cm="1">
        <f t="array" ref="H795">INT(VLOOKUP(OrderLines[[#This Row],[OrderID]:[OrderID]],Orders[],MATCH(OrderLines[[#Headers],[OrderDateTime]],Orders[#Headers],0),FALSE))</f>
        <v>45888</v>
      </c>
      <c r="I795" t="str" cm="1">
        <f t="array" ref="I795">VLOOKUP(OrderLines[[#This Row],[OrderID]:[OrderID]],Orders[],MATCH(OrderLines[[#Headers],[Branch]],Orders[#Headers],0),FALSE)</f>
        <v>Plant 2 Canteen</v>
      </c>
      <c r="J795" cm="1">
        <f t="array" ref="J795">VLOOKUP(OrderLines[[#This Row],[OrderID]:[OrderID]],Orders[],MATCH(OrderLines[[#Headers],[DiscountPct]],Orders[#Headers],0),FALSE)</f>
        <v>0.05</v>
      </c>
      <c r="K795" t="str" cm="1">
        <f t="array" ref="K795">VLOOKUP(OrderLines[[#This Row],[OrderID]:[OrderID]],Orders[],MATCH(OrderLines[[#Headers],[PaymentType]],Orders[#Headers],0),FALSE)</f>
        <v>Card</v>
      </c>
      <c r="L795" t="str" cm="1">
        <f t="array" ref="L795">VLOOKUP(OrderLines[[#This Row],[OrderID]:[OrderID]],Orders[],MATCH(OrderLines[[#Headers],[Shift]],Orders[#Headers],0),FALSE)</f>
        <v>Lunch</v>
      </c>
      <c r="M795" s="8">
        <f>(OrderLines[[#This Row],[Qty]]*OrderLines[[#This Row],[UnitPrice]])*(1-OrderLines[[#This Row],[DiscountPct]])</f>
        <v>110.96</v>
      </c>
      <c r="N795" t="str">
        <f>IF(AND(COUNTIFS(OrderLines[OrderID],OrderLines[[#This Row],[OrderID]],OrderLines[Category],"Hot Meal"),COUNTIFS(OrderLines[OrderID],OrderLines[[#This Row],[OrderID]],OrderLines[Category],"Beverage")),"Combo","Single")</f>
        <v>Single</v>
      </c>
      <c r="O795" s="8" t="str" cm="1">
        <f t="array" ref="O795">IF(SUMPRODUCT(OrderLines[UnitPrice],OrderLines[Qty],OrderLines[DiscountPct],--(OrderLines[OrderID] = OrderLines[[#This Row],[OrderID]]))&gt;40,"High Discount","Ok")</f>
        <v>High Discount</v>
      </c>
      <c r="P795">
        <f>OrderLines[[#This Row],[UnitCost]]*OrderLines[[#This Row],[Qty]]</f>
        <v>48.97</v>
      </c>
      <c r="Q795" s="8">
        <f>OrderLines[[#This Row],[LineNetAmount]]-OrderLines[[#This Row],[Food Cost]]</f>
        <v>61.989999999999995</v>
      </c>
    </row>
    <row r="796" spans="1:17" x14ac:dyDescent="0.3">
      <c r="A796" t="s">
        <v>345</v>
      </c>
      <c r="B796" t="s">
        <v>407</v>
      </c>
      <c r="C796">
        <v>2</v>
      </c>
      <c r="D796" cm="1">
        <f t="array" ref="D796">VLOOKUP(OrderLines[[#This Row],[SKU]:[SKU]],Menu[],MATCH(OrderLines[[#Headers],[UnitPrice]],Menu[#Headers],0),FALSE)</f>
        <v>246.09</v>
      </c>
      <c r="E796" cm="1">
        <f t="array" ref="E796">VLOOKUP(OrderLines[[#This Row],[SKU]:[SKU]],Menu[],MATCH(OrderLines[[#Headers],[UnitCost]],Menu[#Headers],0),FALSE)</f>
        <v>112.08</v>
      </c>
      <c r="F796" t="str" cm="1">
        <f t="array" ref="F796">VLOOKUP(OrderLines[[#This Row],[SKU]:[SKU]],Menu[],MATCH(OrderLines[[#Headers],[Category]],Menu[#Headers],0),FALSE)</f>
        <v>Hot Meal</v>
      </c>
      <c r="G796" t="str" cm="1">
        <f t="array" ref="G796">_xlfn.TEXTJOIN("+",TRUE,_xlfn._xlws.SORT(_xlfn.UNIQUE(_xlfn._xlws.FILTER(OrderLines[Category],OrderLines[OrderID]=OrderLines[[#This Row],[OrderID]]))))</f>
        <v>Dessert+Hot Meal</v>
      </c>
      <c r="H796" s="2" cm="1">
        <f t="array" ref="H796">INT(VLOOKUP(OrderLines[[#This Row],[OrderID]:[OrderID]],Orders[],MATCH(OrderLines[[#Headers],[OrderDateTime]],Orders[#Headers],0),FALSE))</f>
        <v>45888</v>
      </c>
      <c r="I796" t="str" cm="1">
        <f t="array" ref="I796">VLOOKUP(OrderLines[[#This Row],[OrderID]:[OrderID]],Orders[],MATCH(OrderLines[[#Headers],[Branch]],Orders[#Headers],0),FALSE)</f>
        <v>Plant 2 Canteen</v>
      </c>
      <c r="J796" cm="1">
        <f t="array" ref="J796">VLOOKUP(OrderLines[[#This Row],[OrderID]:[OrderID]],Orders[],MATCH(OrderLines[[#Headers],[DiscountPct]],Orders[#Headers],0),FALSE)</f>
        <v>0.05</v>
      </c>
      <c r="K796" t="str" cm="1">
        <f t="array" ref="K796">VLOOKUP(OrderLines[[#This Row],[OrderID]:[OrderID]],Orders[],MATCH(OrderLines[[#Headers],[PaymentType]],Orders[#Headers],0),FALSE)</f>
        <v>Card</v>
      </c>
      <c r="L796" t="str" cm="1">
        <f t="array" ref="L796">VLOOKUP(OrderLines[[#This Row],[OrderID]:[OrderID]],Orders[],MATCH(OrderLines[[#Headers],[Shift]],Orders[#Headers],0),FALSE)</f>
        <v>Lunch</v>
      </c>
      <c r="M796" s="8">
        <f>(OrderLines[[#This Row],[Qty]]*OrderLines[[#This Row],[UnitPrice]])*(1-OrderLines[[#This Row],[DiscountPct]])</f>
        <v>467.57099999999997</v>
      </c>
      <c r="N796" t="str">
        <f>IF(AND(COUNTIFS(OrderLines[OrderID],OrderLines[[#This Row],[OrderID]],OrderLines[Category],"Hot Meal"),COUNTIFS(OrderLines[OrderID],OrderLines[[#This Row],[OrderID]],OrderLines[Category],"Beverage")),"Combo","Single")</f>
        <v>Single</v>
      </c>
      <c r="O796" s="8" t="str" cm="1">
        <f t="array" ref="O796">IF(SUMPRODUCT(OrderLines[UnitPrice],OrderLines[Qty],OrderLines[DiscountPct],--(OrderLines[OrderID] = OrderLines[[#This Row],[OrderID]]))&gt;40,"High Discount","Ok")</f>
        <v>High Discount</v>
      </c>
      <c r="P796">
        <f>OrderLines[[#This Row],[UnitCost]]*OrderLines[[#This Row],[Qty]]</f>
        <v>224.16</v>
      </c>
      <c r="Q796" s="8">
        <f>OrderLines[[#This Row],[LineNetAmount]]-OrderLines[[#This Row],[Food Cost]]</f>
        <v>243.41099999999997</v>
      </c>
    </row>
    <row r="797" spans="1:17" x14ac:dyDescent="0.3">
      <c r="A797" t="s">
        <v>346</v>
      </c>
      <c r="B797" t="s">
        <v>404</v>
      </c>
      <c r="C797">
        <v>1</v>
      </c>
      <c r="D797" cm="1">
        <f t="array" ref="D797">VLOOKUP(OrderLines[[#This Row],[SKU]:[SKU]],Menu[],MATCH(OrderLines[[#Headers],[UnitPrice]],Menu[#Headers],0),FALSE)</f>
        <v>32.979999999999997</v>
      </c>
      <c r="E797" cm="1">
        <f t="array" ref="E797">VLOOKUP(OrderLines[[#This Row],[SKU]:[SKU]],Menu[],MATCH(OrderLines[[#Headers],[UnitCost]],Menu[#Headers],0),FALSE)</f>
        <v>11.84</v>
      </c>
      <c r="F797" t="str" cm="1">
        <f t="array" ref="F797">VLOOKUP(OrderLines[[#This Row],[SKU]:[SKU]],Menu[],MATCH(OrderLines[[#Headers],[Category]],Menu[#Headers],0),FALSE)</f>
        <v>Beverage</v>
      </c>
      <c r="G797" t="str" cm="1">
        <f t="array" ref="G797">_xlfn.TEXTJOIN("+",TRUE,_xlfn._xlws.SORT(_xlfn.UNIQUE(_xlfn._xlws.FILTER(OrderLines[Category],OrderLines[OrderID]=OrderLines[[#This Row],[OrderID]]))))</f>
        <v>Beverage+Snack</v>
      </c>
      <c r="H797" s="2" cm="1">
        <f t="array" ref="H797">INT(VLOOKUP(OrderLines[[#This Row],[OrderID]:[OrderID]],Orders[],MATCH(OrderLines[[#Headers],[OrderDateTime]],Orders[#Headers],0),FALSE))</f>
        <v>45856</v>
      </c>
      <c r="I797" t="str" cm="1">
        <f t="array" ref="I797">VLOOKUP(OrderLines[[#This Row],[OrderID]:[OrderID]],Orders[],MATCH(OrderLines[[#Headers],[Branch]],Orders[#Headers],0),FALSE)</f>
        <v>Plant 1 Canteen</v>
      </c>
      <c r="J797" cm="1">
        <f t="array" ref="J797">VLOOKUP(OrderLines[[#This Row],[OrderID]:[OrderID]],Orders[],MATCH(OrderLines[[#Headers],[DiscountPct]],Orders[#Headers],0),FALSE)</f>
        <v>7.0000000000000007E-2</v>
      </c>
      <c r="K797" t="str" cm="1">
        <f t="array" ref="K797">VLOOKUP(OrderLines[[#This Row],[OrderID]:[OrderID]],Orders[],MATCH(OrderLines[[#Headers],[PaymentType]],Orders[#Headers],0),FALSE)</f>
        <v>Card</v>
      </c>
      <c r="L797" t="str" cm="1">
        <f t="array" ref="L797">VLOOKUP(OrderLines[[#This Row],[OrderID]:[OrderID]],Orders[],MATCH(OrderLines[[#Headers],[Shift]],Orders[#Headers],0),FALSE)</f>
        <v>Dinner</v>
      </c>
      <c r="M797" s="8">
        <f>(OrderLines[[#This Row],[Qty]]*OrderLines[[#This Row],[UnitPrice]])*(1-OrderLines[[#This Row],[DiscountPct]])</f>
        <v>30.671399999999995</v>
      </c>
      <c r="N797" t="str">
        <f>IF(AND(COUNTIFS(OrderLines[OrderID],OrderLines[[#This Row],[OrderID]],OrderLines[Category],"Hot Meal"),COUNTIFS(OrderLines[OrderID],OrderLines[[#This Row],[OrderID]],OrderLines[Category],"Beverage")),"Combo","Single")</f>
        <v>Single</v>
      </c>
      <c r="O797" s="8" t="str" cm="1">
        <f t="array" ref="O797">IF(SUMPRODUCT(OrderLines[UnitPrice],OrderLines[Qty],OrderLines[DiscountPct],--(OrderLines[OrderID] = OrderLines[[#This Row],[OrderID]]))&gt;40,"High Discount","Ok")</f>
        <v>Ok</v>
      </c>
      <c r="P797">
        <f>OrderLines[[#This Row],[UnitCost]]*OrderLines[[#This Row],[Qty]]</f>
        <v>11.84</v>
      </c>
      <c r="Q797" s="8">
        <f>OrderLines[[#This Row],[LineNetAmount]]-OrderLines[[#This Row],[Food Cost]]</f>
        <v>18.831399999999995</v>
      </c>
    </row>
    <row r="798" spans="1:17" x14ac:dyDescent="0.3">
      <c r="A798" t="s">
        <v>346</v>
      </c>
      <c r="B798" t="s">
        <v>406</v>
      </c>
      <c r="C798">
        <v>2</v>
      </c>
      <c r="D798" cm="1">
        <f t="array" ref="D798">VLOOKUP(OrderLines[[#This Row],[SKU]:[SKU]],Menu[],MATCH(OrderLines[[#Headers],[UnitPrice]],Menu[#Headers],0),FALSE)</f>
        <v>38.06</v>
      </c>
      <c r="E798" cm="1">
        <f t="array" ref="E798">VLOOKUP(OrderLines[[#This Row],[SKU]:[SKU]],Menu[],MATCH(OrderLines[[#Headers],[UnitCost]],Menu[#Headers],0),FALSE)</f>
        <v>19.55</v>
      </c>
      <c r="F798" t="str" cm="1">
        <f t="array" ref="F798">VLOOKUP(OrderLines[[#This Row],[SKU]:[SKU]],Menu[],MATCH(OrderLines[[#Headers],[Category]],Menu[#Headers],0),FALSE)</f>
        <v>Snack</v>
      </c>
      <c r="G798" t="str" cm="1">
        <f t="array" ref="G798">_xlfn.TEXTJOIN("+",TRUE,_xlfn._xlws.SORT(_xlfn.UNIQUE(_xlfn._xlws.FILTER(OrderLines[Category],OrderLines[OrderID]=OrderLines[[#This Row],[OrderID]]))))</f>
        <v>Beverage+Snack</v>
      </c>
      <c r="H798" s="2" cm="1">
        <f t="array" ref="H798">INT(VLOOKUP(OrderLines[[#This Row],[OrderID]:[OrderID]],Orders[],MATCH(OrderLines[[#Headers],[OrderDateTime]],Orders[#Headers],0),FALSE))</f>
        <v>45856</v>
      </c>
      <c r="I798" t="str" cm="1">
        <f t="array" ref="I798">VLOOKUP(OrderLines[[#This Row],[OrderID]:[OrderID]],Orders[],MATCH(OrderLines[[#Headers],[Branch]],Orders[#Headers],0),FALSE)</f>
        <v>Plant 1 Canteen</v>
      </c>
      <c r="J798" cm="1">
        <f t="array" ref="J798">VLOOKUP(OrderLines[[#This Row],[OrderID]:[OrderID]],Orders[],MATCH(OrderLines[[#Headers],[DiscountPct]],Orders[#Headers],0),FALSE)</f>
        <v>7.0000000000000007E-2</v>
      </c>
      <c r="K798" t="str" cm="1">
        <f t="array" ref="K798">VLOOKUP(OrderLines[[#This Row],[OrderID]:[OrderID]],Orders[],MATCH(OrderLines[[#Headers],[PaymentType]],Orders[#Headers],0),FALSE)</f>
        <v>Card</v>
      </c>
      <c r="L798" t="str" cm="1">
        <f t="array" ref="L798">VLOOKUP(OrderLines[[#This Row],[OrderID]:[OrderID]],Orders[],MATCH(OrderLines[[#Headers],[Shift]],Orders[#Headers],0),FALSE)</f>
        <v>Dinner</v>
      </c>
      <c r="M798" s="8">
        <f>(OrderLines[[#This Row],[Qty]]*OrderLines[[#This Row],[UnitPrice]])*(1-OrderLines[[#This Row],[DiscountPct]])</f>
        <v>70.791600000000003</v>
      </c>
      <c r="N798" t="str">
        <f>IF(AND(COUNTIFS(OrderLines[OrderID],OrderLines[[#This Row],[OrderID]],OrderLines[Category],"Hot Meal"),COUNTIFS(OrderLines[OrderID],OrderLines[[#This Row],[OrderID]],OrderLines[Category],"Beverage")),"Combo","Single")</f>
        <v>Single</v>
      </c>
      <c r="O798" s="8" t="str" cm="1">
        <f t="array" ref="O798">IF(SUMPRODUCT(OrderLines[UnitPrice],OrderLines[Qty],OrderLines[DiscountPct],--(OrderLines[OrderID] = OrderLines[[#This Row],[OrderID]]))&gt;40,"High Discount","Ok")</f>
        <v>Ok</v>
      </c>
      <c r="P798">
        <f>OrderLines[[#This Row],[UnitCost]]*OrderLines[[#This Row],[Qty]]</f>
        <v>39.1</v>
      </c>
      <c r="Q798" s="8">
        <f>OrderLines[[#This Row],[LineNetAmount]]-OrderLines[[#This Row],[Food Cost]]</f>
        <v>31.691600000000001</v>
      </c>
    </row>
    <row r="799" spans="1:17" x14ac:dyDescent="0.3">
      <c r="A799" t="s">
        <v>347</v>
      </c>
      <c r="B799" t="s">
        <v>410</v>
      </c>
      <c r="C799">
        <v>1</v>
      </c>
      <c r="D799" cm="1">
        <f t="array" ref="D799">VLOOKUP(OrderLines[[#This Row],[SKU]:[SKU]],Menu[],MATCH(OrderLines[[#Headers],[UnitPrice]],Menu[#Headers],0),FALSE)</f>
        <v>20.11</v>
      </c>
      <c r="E799" cm="1">
        <f t="array" ref="E799">VLOOKUP(OrderLines[[#This Row],[SKU]:[SKU]],Menu[],MATCH(OrderLines[[#Headers],[UnitCost]],Menu[#Headers],0),FALSE)</f>
        <v>8</v>
      </c>
      <c r="F799" t="str" cm="1">
        <f t="array" ref="F799">VLOOKUP(OrderLines[[#This Row],[SKU]:[SKU]],Menu[],MATCH(OrderLines[[#Headers],[Category]],Menu[#Headers],0),FALSE)</f>
        <v>Beverage</v>
      </c>
      <c r="G799" t="str" cm="1">
        <f t="array" ref="G799">_xlfn.TEXTJOIN("+",TRUE,_xlfn._xlws.SORT(_xlfn.UNIQUE(_xlfn._xlws.FILTER(OrderLines[Category],OrderLines[OrderID]=OrderLines[[#This Row],[OrderID]]))))</f>
        <v>Beverage+Dessert+Snack</v>
      </c>
      <c r="H799" s="2" cm="1">
        <f t="array" ref="H799">INT(VLOOKUP(OrderLines[[#This Row],[OrderID]:[OrderID]],Orders[],MATCH(OrderLines[[#Headers],[OrderDateTime]],Orders[#Headers],0),FALSE))</f>
        <v>45861</v>
      </c>
      <c r="I799" t="str" cm="1">
        <f t="array" ref="I799">VLOOKUP(OrderLines[[#This Row],[OrderID]:[OrderID]],Orders[],MATCH(OrderLines[[#Headers],[Branch]],Orders[#Headers],0),FALSE)</f>
        <v>Plant 1 Canteen</v>
      </c>
      <c r="J799" cm="1">
        <f t="array" ref="J799">VLOOKUP(OrderLines[[#This Row],[OrderID]:[OrderID]],Orders[],MATCH(OrderLines[[#Headers],[DiscountPct]],Orders[#Headers],0),FALSE)</f>
        <v>0.12</v>
      </c>
      <c r="K799" t="str" cm="1">
        <f t="array" ref="K799">VLOOKUP(OrderLines[[#This Row],[OrderID]:[OrderID]],Orders[],MATCH(OrderLines[[#Headers],[PaymentType]],Orders[#Headers],0),FALSE)</f>
        <v>Cash</v>
      </c>
      <c r="L799" t="str" cm="1">
        <f t="array" ref="L799">VLOOKUP(OrderLines[[#This Row],[OrderID]:[OrderID]],Orders[],MATCH(OrderLines[[#Headers],[Shift]],Orders[#Headers],0),FALSE)</f>
        <v>Breakfast</v>
      </c>
      <c r="M799" s="8">
        <f>(OrderLines[[#This Row],[Qty]]*OrderLines[[#This Row],[UnitPrice]])*(1-OrderLines[[#This Row],[DiscountPct]])</f>
        <v>17.6968</v>
      </c>
      <c r="N799" t="str">
        <f>IF(AND(COUNTIFS(OrderLines[OrderID],OrderLines[[#This Row],[OrderID]],OrderLines[Category],"Hot Meal"),COUNTIFS(OrderLines[OrderID],OrderLines[[#This Row],[OrderID]],OrderLines[Category],"Beverage")),"Combo","Single")</f>
        <v>Single</v>
      </c>
      <c r="O799" s="8" t="str" cm="1">
        <f t="array" ref="O799">IF(SUMPRODUCT(OrderLines[UnitPrice],OrderLines[Qty],OrderLines[DiscountPct],--(OrderLines[OrderID] = OrderLines[[#This Row],[OrderID]]))&gt;40,"High Discount","Ok")</f>
        <v>Ok</v>
      </c>
      <c r="P799">
        <f>OrderLines[[#This Row],[UnitCost]]*OrderLines[[#This Row],[Qty]]</f>
        <v>8</v>
      </c>
      <c r="Q799" s="8">
        <f>OrderLines[[#This Row],[LineNetAmount]]-OrderLines[[#This Row],[Food Cost]]</f>
        <v>9.6967999999999996</v>
      </c>
    </row>
    <row r="800" spans="1:17" x14ac:dyDescent="0.3">
      <c r="A800" t="s">
        <v>347</v>
      </c>
      <c r="B800" t="s">
        <v>412</v>
      </c>
      <c r="C800">
        <v>2</v>
      </c>
      <c r="D800" cm="1">
        <f t="array" ref="D800">VLOOKUP(OrderLines[[#This Row],[SKU]:[SKU]],Menu[],MATCH(OrderLines[[#Headers],[UnitPrice]],Menu[#Headers],0),FALSE)</f>
        <v>57.07</v>
      </c>
      <c r="E800" cm="1">
        <f t="array" ref="E800">VLOOKUP(OrderLines[[#This Row],[SKU]:[SKU]],Menu[],MATCH(OrderLines[[#Headers],[UnitCost]],Menu[#Headers],0),FALSE)</f>
        <v>29.14</v>
      </c>
      <c r="F800" t="str" cm="1">
        <f t="array" ref="F800">VLOOKUP(OrderLines[[#This Row],[SKU]:[SKU]],Menu[],MATCH(OrderLines[[#Headers],[Category]],Menu[#Headers],0),FALSE)</f>
        <v>Dessert</v>
      </c>
      <c r="G800" t="str" cm="1">
        <f t="array" ref="G800">_xlfn.TEXTJOIN("+",TRUE,_xlfn._xlws.SORT(_xlfn.UNIQUE(_xlfn._xlws.FILTER(OrderLines[Category],OrderLines[OrderID]=OrderLines[[#This Row],[OrderID]]))))</f>
        <v>Beverage+Dessert+Snack</v>
      </c>
      <c r="H800" s="2" cm="1">
        <f t="array" ref="H800">INT(VLOOKUP(OrderLines[[#This Row],[OrderID]:[OrderID]],Orders[],MATCH(OrderLines[[#Headers],[OrderDateTime]],Orders[#Headers],0),FALSE))</f>
        <v>45861</v>
      </c>
      <c r="I800" t="str" cm="1">
        <f t="array" ref="I800">VLOOKUP(OrderLines[[#This Row],[OrderID]:[OrderID]],Orders[],MATCH(OrderLines[[#Headers],[Branch]],Orders[#Headers],0),FALSE)</f>
        <v>Plant 1 Canteen</v>
      </c>
      <c r="J800" cm="1">
        <f t="array" ref="J800">VLOOKUP(OrderLines[[#This Row],[OrderID]:[OrderID]],Orders[],MATCH(OrderLines[[#Headers],[DiscountPct]],Orders[#Headers],0),FALSE)</f>
        <v>0.12</v>
      </c>
      <c r="K800" t="str" cm="1">
        <f t="array" ref="K800">VLOOKUP(OrderLines[[#This Row],[OrderID]:[OrderID]],Orders[],MATCH(OrderLines[[#Headers],[PaymentType]],Orders[#Headers],0),FALSE)</f>
        <v>Cash</v>
      </c>
      <c r="L800" t="str" cm="1">
        <f t="array" ref="L800">VLOOKUP(OrderLines[[#This Row],[OrderID]:[OrderID]],Orders[],MATCH(OrderLines[[#Headers],[Shift]],Orders[#Headers],0),FALSE)</f>
        <v>Breakfast</v>
      </c>
      <c r="M800" s="8">
        <f>(OrderLines[[#This Row],[Qty]]*OrderLines[[#This Row],[UnitPrice]])*(1-OrderLines[[#This Row],[DiscountPct]])</f>
        <v>100.4432</v>
      </c>
      <c r="N800" t="str">
        <f>IF(AND(COUNTIFS(OrderLines[OrderID],OrderLines[[#This Row],[OrderID]],OrderLines[Category],"Hot Meal"),COUNTIFS(OrderLines[OrderID],OrderLines[[#This Row],[OrderID]],OrderLines[Category],"Beverage")),"Combo","Single")</f>
        <v>Single</v>
      </c>
      <c r="O800" s="8" t="str" cm="1">
        <f t="array" ref="O800">IF(SUMPRODUCT(OrderLines[UnitPrice],OrderLines[Qty],OrderLines[DiscountPct],--(OrderLines[OrderID] = OrderLines[[#This Row],[OrderID]]))&gt;40,"High Discount","Ok")</f>
        <v>Ok</v>
      </c>
      <c r="P800">
        <f>OrderLines[[#This Row],[UnitCost]]*OrderLines[[#This Row],[Qty]]</f>
        <v>58.28</v>
      </c>
      <c r="Q800" s="8">
        <f>OrderLines[[#This Row],[LineNetAmount]]-OrderLines[[#This Row],[Food Cost]]</f>
        <v>42.163200000000003</v>
      </c>
    </row>
    <row r="801" spans="1:17" x14ac:dyDescent="0.3">
      <c r="A801" t="s">
        <v>347</v>
      </c>
      <c r="B801" t="s">
        <v>419</v>
      </c>
      <c r="C801">
        <v>1</v>
      </c>
      <c r="D801" cm="1">
        <f t="array" ref="D801">VLOOKUP(OrderLines[[#This Row],[SKU]:[SKU]],Menu[],MATCH(OrderLines[[#Headers],[UnitPrice]],Menu[#Headers],0),FALSE)</f>
        <v>50.19</v>
      </c>
      <c r="E801" cm="1">
        <f t="array" ref="E801">VLOOKUP(OrderLines[[#This Row],[SKU]:[SKU]],Menu[],MATCH(OrderLines[[#Headers],[UnitCost]],Menu[#Headers],0),FALSE)</f>
        <v>22.61</v>
      </c>
      <c r="F801" t="str" cm="1">
        <f t="array" ref="F801">VLOOKUP(OrderLines[[#This Row],[SKU]:[SKU]],Menu[],MATCH(OrderLines[[#Headers],[Category]],Menu[#Headers],0),FALSE)</f>
        <v>Snack</v>
      </c>
      <c r="G801" t="str" cm="1">
        <f t="array" ref="G801">_xlfn.TEXTJOIN("+",TRUE,_xlfn._xlws.SORT(_xlfn.UNIQUE(_xlfn._xlws.FILTER(OrderLines[Category],OrderLines[OrderID]=OrderLines[[#This Row],[OrderID]]))))</f>
        <v>Beverage+Dessert+Snack</v>
      </c>
      <c r="H801" s="2" cm="1">
        <f t="array" ref="H801">INT(VLOOKUP(OrderLines[[#This Row],[OrderID]:[OrderID]],Orders[],MATCH(OrderLines[[#Headers],[OrderDateTime]],Orders[#Headers],0),FALSE))</f>
        <v>45861</v>
      </c>
      <c r="I801" t="str" cm="1">
        <f t="array" ref="I801">VLOOKUP(OrderLines[[#This Row],[OrderID]:[OrderID]],Orders[],MATCH(OrderLines[[#Headers],[Branch]],Orders[#Headers],0),FALSE)</f>
        <v>Plant 1 Canteen</v>
      </c>
      <c r="J801" cm="1">
        <f t="array" ref="J801">VLOOKUP(OrderLines[[#This Row],[OrderID]:[OrderID]],Orders[],MATCH(OrderLines[[#Headers],[DiscountPct]],Orders[#Headers],0),FALSE)</f>
        <v>0.12</v>
      </c>
      <c r="K801" t="str" cm="1">
        <f t="array" ref="K801">VLOOKUP(OrderLines[[#This Row],[OrderID]:[OrderID]],Orders[],MATCH(OrderLines[[#Headers],[PaymentType]],Orders[#Headers],0),FALSE)</f>
        <v>Cash</v>
      </c>
      <c r="L801" t="str" cm="1">
        <f t="array" ref="L801">VLOOKUP(OrderLines[[#This Row],[OrderID]:[OrderID]],Orders[],MATCH(OrderLines[[#Headers],[Shift]],Orders[#Headers],0),FALSE)</f>
        <v>Breakfast</v>
      </c>
      <c r="M801" s="8">
        <f>(OrderLines[[#This Row],[Qty]]*OrderLines[[#This Row],[UnitPrice]])*(1-OrderLines[[#This Row],[DiscountPct]])</f>
        <v>44.167200000000001</v>
      </c>
      <c r="N801" t="str">
        <f>IF(AND(COUNTIFS(OrderLines[OrderID],OrderLines[[#This Row],[OrderID]],OrderLines[Category],"Hot Meal"),COUNTIFS(OrderLines[OrderID],OrderLines[[#This Row],[OrderID]],OrderLines[Category],"Beverage")),"Combo","Single")</f>
        <v>Single</v>
      </c>
      <c r="O801" s="8" t="str" cm="1">
        <f t="array" ref="O801">IF(SUMPRODUCT(OrderLines[UnitPrice],OrderLines[Qty],OrderLines[DiscountPct],--(OrderLines[OrderID] = OrderLines[[#This Row],[OrderID]]))&gt;40,"High Discount","Ok")</f>
        <v>Ok</v>
      </c>
      <c r="P801">
        <f>OrderLines[[#This Row],[UnitCost]]*OrderLines[[#This Row],[Qty]]</f>
        <v>22.61</v>
      </c>
      <c r="Q801" s="8">
        <f>OrderLines[[#This Row],[LineNetAmount]]-OrderLines[[#This Row],[Food Cost]]</f>
        <v>21.557200000000002</v>
      </c>
    </row>
    <row r="802" spans="1:17" x14ac:dyDescent="0.3">
      <c r="A802" t="s">
        <v>348</v>
      </c>
      <c r="B802" t="s">
        <v>403</v>
      </c>
      <c r="C802">
        <v>2</v>
      </c>
      <c r="D802" cm="1">
        <f t="array" ref="D802">VLOOKUP(OrderLines[[#This Row],[SKU]:[SKU]],Menu[],MATCH(OrderLines[[#Headers],[UnitPrice]],Menu[#Headers],0),FALSE)</f>
        <v>76.55</v>
      </c>
      <c r="E802" cm="1">
        <f t="array" ref="E802">VLOOKUP(OrderLines[[#This Row],[SKU]:[SKU]],Menu[],MATCH(OrderLines[[#Headers],[UnitCost]],Menu[#Headers],0),FALSE)</f>
        <v>38.229999999999997</v>
      </c>
      <c r="F802" t="str" cm="1">
        <f t="array" ref="F802">VLOOKUP(OrderLines[[#This Row],[SKU]:[SKU]],Menu[],MATCH(OrderLines[[#Headers],[Category]],Menu[#Headers],0),FALSE)</f>
        <v>Dessert</v>
      </c>
      <c r="G802" t="str" cm="1">
        <f t="array" ref="G802">_xlfn.TEXTJOIN("+",TRUE,_xlfn._xlws.SORT(_xlfn.UNIQUE(_xlfn._xlws.FILTER(OrderLines[Category],OrderLines[OrderID]=OrderLines[[#This Row],[OrderID]]))))</f>
        <v>Dessert+Snack</v>
      </c>
      <c r="H802" s="2" cm="1">
        <f t="array" ref="H802">INT(VLOOKUP(OrderLines[[#This Row],[OrderID]:[OrderID]],Orders[],MATCH(OrderLines[[#Headers],[OrderDateTime]],Orders[#Headers],0),FALSE))</f>
        <v>45849</v>
      </c>
      <c r="I802" t="str" cm="1">
        <f t="array" ref="I802">VLOOKUP(OrderLines[[#This Row],[OrderID]:[OrderID]],Orders[],MATCH(OrderLines[[#Headers],[Branch]],Orders[#Headers],0),FALSE)</f>
        <v>Head Office Café</v>
      </c>
      <c r="J802" cm="1">
        <f t="array" ref="J802">VLOOKUP(OrderLines[[#This Row],[OrderID]:[OrderID]],Orders[],MATCH(OrderLines[[#Headers],[DiscountPct]],Orders[#Headers],0),FALSE)</f>
        <v>0.09</v>
      </c>
      <c r="K802" t="str" cm="1">
        <f t="array" ref="K802">VLOOKUP(OrderLines[[#This Row],[OrderID]:[OrderID]],Orders[],MATCH(OrderLines[[#Headers],[PaymentType]],Orders[#Headers],0),FALSE)</f>
        <v>UPI</v>
      </c>
      <c r="L802" t="str" cm="1">
        <f t="array" ref="L802">VLOOKUP(OrderLines[[#This Row],[OrderID]:[OrderID]],Orders[],MATCH(OrderLines[[#Headers],[Shift]],Orders[#Headers],0),FALSE)</f>
        <v>Breakfast</v>
      </c>
      <c r="M802" s="8">
        <f>(OrderLines[[#This Row],[Qty]]*OrderLines[[#This Row],[UnitPrice]])*(1-OrderLines[[#This Row],[DiscountPct]])</f>
        <v>139.321</v>
      </c>
      <c r="N802" t="str">
        <f>IF(AND(COUNTIFS(OrderLines[OrderID],OrderLines[[#This Row],[OrderID]],OrderLines[Category],"Hot Meal"),COUNTIFS(OrderLines[OrderID],OrderLines[[#This Row],[OrderID]],OrderLines[Category],"Beverage")),"Combo","Single")</f>
        <v>Single</v>
      </c>
      <c r="O802" s="8" t="str" cm="1">
        <f t="array" ref="O802">IF(SUMPRODUCT(OrderLines[UnitPrice],OrderLines[Qty],OrderLines[DiscountPct],--(OrderLines[OrderID] = OrderLines[[#This Row],[OrderID]]))&gt;40,"High Discount","Ok")</f>
        <v>Ok</v>
      </c>
      <c r="P802">
        <f>OrderLines[[#This Row],[UnitCost]]*OrderLines[[#This Row],[Qty]]</f>
        <v>76.459999999999994</v>
      </c>
      <c r="Q802" s="8">
        <f>OrderLines[[#This Row],[LineNetAmount]]-OrderLines[[#This Row],[Food Cost]]</f>
        <v>62.861000000000004</v>
      </c>
    </row>
    <row r="803" spans="1:17" x14ac:dyDescent="0.3">
      <c r="A803" t="s">
        <v>348</v>
      </c>
      <c r="B803" t="s">
        <v>414</v>
      </c>
      <c r="C803">
        <v>1</v>
      </c>
      <c r="D803" cm="1">
        <f t="array" ref="D803">VLOOKUP(OrderLines[[#This Row],[SKU]:[SKU]],Menu[],MATCH(OrderLines[[#Headers],[UnitPrice]],Menu[#Headers],0),FALSE)</f>
        <v>116.8</v>
      </c>
      <c r="E803" cm="1">
        <f t="array" ref="E803">VLOOKUP(OrderLines[[#This Row],[SKU]:[SKU]],Menu[],MATCH(OrderLines[[#Headers],[UnitCost]],Menu[#Headers],0),FALSE)</f>
        <v>48.97</v>
      </c>
      <c r="F803" t="str" cm="1">
        <f t="array" ref="F803">VLOOKUP(OrderLines[[#This Row],[SKU]:[SKU]],Menu[],MATCH(OrderLines[[#Headers],[Category]],Menu[#Headers],0),FALSE)</f>
        <v>Dessert</v>
      </c>
      <c r="G803" t="str" cm="1">
        <f t="array" ref="G803">_xlfn.TEXTJOIN("+",TRUE,_xlfn._xlws.SORT(_xlfn.UNIQUE(_xlfn._xlws.FILTER(OrderLines[Category],OrderLines[OrderID]=OrderLines[[#This Row],[OrderID]]))))</f>
        <v>Dessert+Snack</v>
      </c>
      <c r="H803" s="2" cm="1">
        <f t="array" ref="H803">INT(VLOOKUP(OrderLines[[#This Row],[OrderID]:[OrderID]],Orders[],MATCH(OrderLines[[#Headers],[OrderDateTime]],Orders[#Headers],0),FALSE))</f>
        <v>45849</v>
      </c>
      <c r="I803" t="str" cm="1">
        <f t="array" ref="I803">VLOOKUP(OrderLines[[#This Row],[OrderID]:[OrderID]],Orders[],MATCH(OrderLines[[#Headers],[Branch]],Orders[#Headers],0),FALSE)</f>
        <v>Head Office Café</v>
      </c>
      <c r="J803" cm="1">
        <f t="array" ref="J803">VLOOKUP(OrderLines[[#This Row],[OrderID]:[OrderID]],Orders[],MATCH(OrderLines[[#Headers],[DiscountPct]],Orders[#Headers],0),FALSE)</f>
        <v>0.09</v>
      </c>
      <c r="K803" t="str" cm="1">
        <f t="array" ref="K803">VLOOKUP(OrderLines[[#This Row],[OrderID]:[OrderID]],Orders[],MATCH(OrderLines[[#Headers],[PaymentType]],Orders[#Headers],0),FALSE)</f>
        <v>UPI</v>
      </c>
      <c r="L803" t="str" cm="1">
        <f t="array" ref="L803">VLOOKUP(OrderLines[[#This Row],[OrderID]:[OrderID]],Orders[],MATCH(OrderLines[[#Headers],[Shift]],Orders[#Headers],0),FALSE)</f>
        <v>Breakfast</v>
      </c>
      <c r="M803" s="8">
        <f>(OrderLines[[#This Row],[Qty]]*OrderLines[[#This Row],[UnitPrice]])*(1-OrderLines[[#This Row],[DiscountPct]])</f>
        <v>106.288</v>
      </c>
      <c r="N803" t="str">
        <f>IF(AND(COUNTIFS(OrderLines[OrderID],OrderLines[[#This Row],[OrderID]],OrderLines[Category],"Hot Meal"),COUNTIFS(OrderLines[OrderID],OrderLines[[#This Row],[OrderID]],OrderLines[Category],"Beverage")),"Combo","Single")</f>
        <v>Single</v>
      </c>
      <c r="O803" s="8" t="str" cm="1">
        <f t="array" ref="O803">IF(SUMPRODUCT(OrderLines[UnitPrice],OrderLines[Qty],OrderLines[DiscountPct],--(OrderLines[OrderID] = OrderLines[[#This Row],[OrderID]]))&gt;40,"High Discount","Ok")</f>
        <v>Ok</v>
      </c>
      <c r="P803">
        <f>OrderLines[[#This Row],[UnitCost]]*OrderLines[[#This Row],[Qty]]</f>
        <v>48.97</v>
      </c>
      <c r="Q803" s="8">
        <f>OrderLines[[#This Row],[LineNetAmount]]-OrderLines[[#This Row],[Food Cost]]</f>
        <v>57.317999999999998</v>
      </c>
    </row>
    <row r="804" spans="1:17" x14ac:dyDescent="0.3">
      <c r="A804" t="s">
        <v>348</v>
      </c>
      <c r="B804" t="s">
        <v>406</v>
      </c>
      <c r="C804">
        <v>2</v>
      </c>
      <c r="D804" cm="1">
        <f t="array" ref="D804">VLOOKUP(OrderLines[[#This Row],[SKU]:[SKU]],Menu[],MATCH(OrderLines[[#Headers],[UnitPrice]],Menu[#Headers],0),FALSE)</f>
        <v>38.06</v>
      </c>
      <c r="E804" cm="1">
        <f t="array" ref="E804">VLOOKUP(OrderLines[[#This Row],[SKU]:[SKU]],Menu[],MATCH(OrderLines[[#Headers],[UnitCost]],Menu[#Headers],0),FALSE)</f>
        <v>19.55</v>
      </c>
      <c r="F804" t="str" cm="1">
        <f t="array" ref="F804">VLOOKUP(OrderLines[[#This Row],[SKU]:[SKU]],Menu[],MATCH(OrderLines[[#Headers],[Category]],Menu[#Headers],0),FALSE)</f>
        <v>Snack</v>
      </c>
      <c r="G804" t="str" cm="1">
        <f t="array" ref="G804">_xlfn.TEXTJOIN("+",TRUE,_xlfn._xlws.SORT(_xlfn.UNIQUE(_xlfn._xlws.FILTER(OrderLines[Category],OrderLines[OrderID]=OrderLines[[#This Row],[OrderID]]))))</f>
        <v>Dessert+Snack</v>
      </c>
      <c r="H804" s="2" cm="1">
        <f t="array" ref="H804">INT(VLOOKUP(OrderLines[[#This Row],[OrderID]:[OrderID]],Orders[],MATCH(OrderLines[[#Headers],[OrderDateTime]],Orders[#Headers],0),FALSE))</f>
        <v>45849</v>
      </c>
      <c r="I804" t="str" cm="1">
        <f t="array" ref="I804">VLOOKUP(OrderLines[[#This Row],[OrderID]:[OrderID]],Orders[],MATCH(OrderLines[[#Headers],[Branch]],Orders[#Headers],0),FALSE)</f>
        <v>Head Office Café</v>
      </c>
      <c r="J804" cm="1">
        <f t="array" ref="J804">VLOOKUP(OrderLines[[#This Row],[OrderID]:[OrderID]],Orders[],MATCH(OrderLines[[#Headers],[DiscountPct]],Orders[#Headers],0),FALSE)</f>
        <v>0.09</v>
      </c>
      <c r="K804" t="str" cm="1">
        <f t="array" ref="K804">VLOOKUP(OrderLines[[#This Row],[OrderID]:[OrderID]],Orders[],MATCH(OrderLines[[#Headers],[PaymentType]],Orders[#Headers],0),FALSE)</f>
        <v>UPI</v>
      </c>
      <c r="L804" t="str" cm="1">
        <f t="array" ref="L804">VLOOKUP(OrderLines[[#This Row],[OrderID]:[OrderID]],Orders[],MATCH(OrderLines[[#Headers],[Shift]],Orders[#Headers],0),FALSE)</f>
        <v>Breakfast</v>
      </c>
      <c r="M804" s="8">
        <f>(OrderLines[[#This Row],[Qty]]*OrderLines[[#This Row],[UnitPrice]])*(1-OrderLines[[#This Row],[DiscountPct]])</f>
        <v>69.269200000000012</v>
      </c>
      <c r="N804" t="str">
        <f>IF(AND(COUNTIFS(OrderLines[OrderID],OrderLines[[#This Row],[OrderID]],OrderLines[Category],"Hot Meal"),COUNTIFS(OrderLines[OrderID],OrderLines[[#This Row],[OrderID]],OrderLines[Category],"Beverage")),"Combo","Single")</f>
        <v>Single</v>
      </c>
      <c r="O804" s="8" t="str" cm="1">
        <f t="array" ref="O804">IF(SUMPRODUCT(OrderLines[UnitPrice],OrderLines[Qty],OrderLines[DiscountPct],--(OrderLines[OrderID] = OrderLines[[#This Row],[OrderID]]))&gt;40,"High Discount","Ok")</f>
        <v>Ok</v>
      </c>
      <c r="P804">
        <f>OrderLines[[#This Row],[UnitCost]]*OrderLines[[#This Row],[Qty]]</f>
        <v>39.1</v>
      </c>
      <c r="Q804" s="8">
        <f>OrderLines[[#This Row],[LineNetAmount]]-OrderLines[[#This Row],[Food Cost]]</f>
        <v>30.169200000000011</v>
      </c>
    </row>
    <row r="805" spans="1:17" x14ac:dyDescent="0.3">
      <c r="A805" t="s">
        <v>349</v>
      </c>
      <c r="B805" t="s">
        <v>408</v>
      </c>
      <c r="C805">
        <v>2</v>
      </c>
      <c r="D805" cm="1">
        <f t="array" ref="D805">VLOOKUP(OrderLines[[#This Row],[SKU]:[SKU]],Menu[],MATCH(OrderLines[[#Headers],[UnitPrice]],Menu[#Headers],0),FALSE)</f>
        <v>70.540000000000006</v>
      </c>
      <c r="E805" cm="1">
        <f t="array" ref="E805">VLOOKUP(OrderLines[[#This Row],[SKU]:[SKU]],Menu[],MATCH(OrderLines[[#Headers],[UnitCost]],Menu[#Headers],0),FALSE)</f>
        <v>35.81</v>
      </c>
      <c r="F805" t="str" cm="1">
        <f t="array" ref="F805">VLOOKUP(OrderLines[[#This Row],[SKU]:[SKU]],Menu[],MATCH(OrderLines[[#Headers],[Category]],Menu[#Headers],0),FALSE)</f>
        <v>Snack</v>
      </c>
      <c r="G805" t="str" cm="1">
        <f t="array" ref="G805">_xlfn.TEXTJOIN("+",TRUE,_xlfn._xlws.SORT(_xlfn.UNIQUE(_xlfn._xlws.FILTER(OrderLines[Category],OrderLines[OrderID]=OrderLines[[#This Row],[OrderID]]))))</f>
        <v>Dessert+Snack</v>
      </c>
      <c r="H805" s="2" cm="1">
        <f t="array" ref="H805">INT(VLOOKUP(OrderLines[[#This Row],[OrderID]:[OrderID]],Orders[],MATCH(OrderLines[[#Headers],[OrderDateTime]],Orders[#Headers],0),FALSE))</f>
        <v>45842</v>
      </c>
      <c r="I805" t="str" cm="1">
        <f t="array" ref="I805">VLOOKUP(OrderLines[[#This Row],[OrderID]:[OrderID]],Orders[],MATCH(OrderLines[[#Headers],[Branch]],Orders[#Headers],0),FALSE)</f>
        <v>Head Office Café</v>
      </c>
      <c r="J805" cm="1">
        <f t="array" ref="J805">VLOOKUP(OrderLines[[#This Row],[OrderID]:[OrderID]],Orders[],MATCH(OrderLines[[#Headers],[DiscountPct]],Orders[#Headers],0),FALSE)</f>
        <v>0.05</v>
      </c>
      <c r="K805" t="str" cm="1">
        <f t="array" ref="K805">VLOOKUP(OrderLines[[#This Row],[OrderID]:[OrderID]],Orders[],MATCH(OrderLines[[#Headers],[PaymentType]],Orders[#Headers],0),FALSE)</f>
        <v>UPI</v>
      </c>
      <c r="L805" t="str" cm="1">
        <f t="array" ref="L805">VLOOKUP(OrderLines[[#This Row],[OrderID]:[OrderID]],Orders[],MATCH(OrderLines[[#Headers],[Shift]],Orders[#Headers],0),FALSE)</f>
        <v>Dinner</v>
      </c>
      <c r="M805" s="8">
        <f>(OrderLines[[#This Row],[Qty]]*OrderLines[[#This Row],[UnitPrice]])*(1-OrderLines[[#This Row],[DiscountPct]])</f>
        <v>134.02600000000001</v>
      </c>
      <c r="N805" t="str">
        <f>IF(AND(COUNTIFS(OrderLines[OrderID],OrderLines[[#This Row],[OrderID]],OrderLines[Category],"Hot Meal"),COUNTIFS(OrderLines[OrderID],OrderLines[[#This Row],[OrderID]],OrderLines[Category],"Beverage")),"Combo","Single")</f>
        <v>Single</v>
      </c>
      <c r="O805" s="8" t="str" cm="1">
        <f t="array" ref="O805">IF(SUMPRODUCT(OrderLines[UnitPrice],OrderLines[Qty],OrderLines[DiscountPct],--(OrderLines[OrderID] = OrderLines[[#This Row],[OrderID]]))&gt;40,"High Discount","Ok")</f>
        <v>Ok</v>
      </c>
      <c r="P805">
        <f>OrderLines[[#This Row],[UnitCost]]*OrderLines[[#This Row],[Qty]]</f>
        <v>71.62</v>
      </c>
      <c r="Q805" s="8">
        <f>OrderLines[[#This Row],[LineNetAmount]]-OrderLines[[#This Row],[Food Cost]]</f>
        <v>62.406000000000006</v>
      </c>
    </row>
    <row r="806" spans="1:17" x14ac:dyDescent="0.3">
      <c r="A806" t="s">
        <v>349</v>
      </c>
      <c r="B806" t="s">
        <v>403</v>
      </c>
      <c r="C806">
        <v>1</v>
      </c>
      <c r="D806" cm="1">
        <f t="array" ref="D806">VLOOKUP(OrderLines[[#This Row],[SKU]:[SKU]],Menu[],MATCH(OrderLines[[#Headers],[UnitPrice]],Menu[#Headers],0),FALSE)</f>
        <v>76.55</v>
      </c>
      <c r="E806" cm="1">
        <f t="array" ref="E806">VLOOKUP(OrderLines[[#This Row],[SKU]:[SKU]],Menu[],MATCH(OrderLines[[#Headers],[UnitCost]],Menu[#Headers],0),FALSE)</f>
        <v>38.229999999999997</v>
      </c>
      <c r="F806" t="str" cm="1">
        <f t="array" ref="F806">VLOOKUP(OrderLines[[#This Row],[SKU]:[SKU]],Menu[],MATCH(OrderLines[[#Headers],[Category]],Menu[#Headers],0),FALSE)</f>
        <v>Dessert</v>
      </c>
      <c r="G806" t="str" cm="1">
        <f t="array" ref="G806">_xlfn.TEXTJOIN("+",TRUE,_xlfn._xlws.SORT(_xlfn.UNIQUE(_xlfn._xlws.FILTER(OrderLines[Category],OrderLines[OrderID]=OrderLines[[#This Row],[OrderID]]))))</f>
        <v>Dessert+Snack</v>
      </c>
      <c r="H806" s="2" cm="1">
        <f t="array" ref="H806">INT(VLOOKUP(OrderLines[[#This Row],[OrderID]:[OrderID]],Orders[],MATCH(OrderLines[[#Headers],[OrderDateTime]],Orders[#Headers],0),FALSE))</f>
        <v>45842</v>
      </c>
      <c r="I806" t="str" cm="1">
        <f t="array" ref="I806">VLOOKUP(OrderLines[[#This Row],[OrderID]:[OrderID]],Orders[],MATCH(OrderLines[[#Headers],[Branch]],Orders[#Headers],0),FALSE)</f>
        <v>Head Office Café</v>
      </c>
      <c r="J806" cm="1">
        <f t="array" ref="J806">VLOOKUP(OrderLines[[#This Row],[OrderID]:[OrderID]],Orders[],MATCH(OrderLines[[#Headers],[DiscountPct]],Orders[#Headers],0),FALSE)</f>
        <v>0.05</v>
      </c>
      <c r="K806" t="str" cm="1">
        <f t="array" ref="K806">VLOOKUP(OrderLines[[#This Row],[OrderID]:[OrderID]],Orders[],MATCH(OrderLines[[#Headers],[PaymentType]],Orders[#Headers],0),FALSE)</f>
        <v>UPI</v>
      </c>
      <c r="L806" t="str" cm="1">
        <f t="array" ref="L806">VLOOKUP(OrderLines[[#This Row],[OrderID]:[OrderID]],Orders[],MATCH(OrderLines[[#Headers],[Shift]],Orders[#Headers],0),FALSE)</f>
        <v>Dinner</v>
      </c>
      <c r="M806" s="8">
        <f>(OrderLines[[#This Row],[Qty]]*OrderLines[[#This Row],[UnitPrice]])*(1-OrderLines[[#This Row],[DiscountPct]])</f>
        <v>72.722499999999997</v>
      </c>
      <c r="N806" t="str">
        <f>IF(AND(COUNTIFS(OrderLines[OrderID],OrderLines[[#This Row],[OrderID]],OrderLines[Category],"Hot Meal"),COUNTIFS(OrderLines[OrderID],OrderLines[[#This Row],[OrderID]],OrderLines[Category],"Beverage")),"Combo","Single")</f>
        <v>Single</v>
      </c>
      <c r="O806" s="8" t="str" cm="1">
        <f t="array" ref="O806">IF(SUMPRODUCT(OrderLines[UnitPrice],OrderLines[Qty],OrderLines[DiscountPct],--(OrderLines[OrderID] = OrderLines[[#This Row],[OrderID]]))&gt;40,"High Discount","Ok")</f>
        <v>Ok</v>
      </c>
      <c r="P806">
        <f>OrderLines[[#This Row],[UnitCost]]*OrderLines[[#This Row],[Qty]]</f>
        <v>38.229999999999997</v>
      </c>
      <c r="Q806" s="8">
        <f>OrderLines[[#This Row],[LineNetAmount]]-OrderLines[[#This Row],[Food Cost]]</f>
        <v>34.4925</v>
      </c>
    </row>
    <row r="807" spans="1:17" x14ac:dyDescent="0.3">
      <c r="A807" t="s">
        <v>349</v>
      </c>
      <c r="B807" t="s">
        <v>412</v>
      </c>
      <c r="C807">
        <v>1</v>
      </c>
      <c r="D807" cm="1">
        <f t="array" ref="D807">VLOOKUP(OrderLines[[#This Row],[SKU]:[SKU]],Menu[],MATCH(OrderLines[[#Headers],[UnitPrice]],Menu[#Headers],0),FALSE)</f>
        <v>57.07</v>
      </c>
      <c r="E807" cm="1">
        <f t="array" ref="E807">VLOOKUP(OrderLines[[#This Row],[SKU]:[SKU]],Menu[],MATCH(OrderLines[[#Headers],[UnitCost]],Menu[#Headers],0),FALSE)</f>
        <v>29.14</v>
      </c>
      <c r="F807" t="str" cm="1">
        <f t="array" ref="F807">VLOOKUP(OrderLines[[#This Row],[SKU]:[SKU]],Menu[],MATCH(OrderLines[[#Headers],[Category]],Menu[#Headers],0),FALSE)</f>
        <v>Dessert</v>
      </c>
      <c r="G807" t="str" cm="1">
        <f t="array" ref="G807">_xlfn.TEXTJOIN("+",TRUE,_xlfn._xlws.SORT(_xlfn.UNIQUE(_xlfn._xlws.FILTER(OrderLines[Category],OrderLines[OrderID]=OrderLines[[#This Row],[OrderID]]))))</f>
        <v>Dessert+Snack</v>
      </c>
      <c r="H807" s="2" cm="1">
        <f t="array" ref="H807">INT(VLOOKUP(OrderLines[[#This Row],[OrderID]:[OrderID]],Orders[],MATCH(OrderLines[[#Headers],[OrderDateTime]],Orders[#Headers],0),FALSE))</f>
        <v>45842</v>
      </c>
      <c r="I807" t="str" cm="1">
        <f t="array" ref="I807">VLOOKUP(OrderLines[[#This Row],[OrderID]:[OrderID]],Orders[],MATCH(OrderLines[[#Headers],[Branch]],Orders[#Headers],0),FALSE)</f>
        <v>Head Office Café</v>
      </c>
      <c r="J807" cm="1">
        <f t="array" ref="J807">VLOOKUP(OrderLines[[#This Row],[OrderID]:[OrderID]],Orders[],MATCH(OrderLines[[#Headers],[DiscountPct]],Orders[#Headers],0),FALSE)</f>
        <v>0.05</v>
      </c>
      <c r="K807" t="str" cm="1">
        <f t="array" ref="K807">VLOOKUP(OrderLines[[#This Row],[OrderID]:[OrderID]],Orders[],MATCH(OrderLines[[#Headers],[PaymentType]],Orders[#Headers],0),FALSE)</f>
        <v>UPI</v>
      </c>
      <c r="L807" t="str" cm="1">
        <f t="array" ref="L807">VLOOKUP(OrderLines[[#This Row],[OrderID]:[OrderID]],Orders[],MATCH(OrderLines[[#Headers],[Shift]],Orders[#Headers],0),FALSE)</f>
        <v>Dinner</v>
      </c>
      <c r="M807" s="8">
        <f>(OrderLines[[#This Row],[Qty]]*OrderLines[[#This Row],[UnitPrice]])*(1-OrderLines[[#This Row],[DiscountPct]])</f>
        <v>54.216499999999996</v>
      </c>
      <c r="N807" t="str">
        <f>IF(AND(COUNTIFS(OrderLines[OrderID],OrderLines[[#This Row],[OrderID]],OrderLines[Category],"Hot Meal"),COUNTIFS(OrderLines[OrderID],OrderLines[[#This Row],[OrderID]],OrderLines[Category],"Beverage")),"Combo","Single")</f>
        <v>Single</v>
      </c>
      <c r="O807" s="8" t="str" cm="1">
        <f t="array" ref="O807">IF(SUMPRODUCT(OrderLines[UnitPrice],OrderLines[Qty],OrderLines[DiscountPct],--(OrderLines[OrderID] = OrderLines[[#This Row],[OrderID]]))&gt;40,"High Discount","Ok")</f>
        <v>Ok</v>
      </c>
      <c r="P807">
        <f>OrderLines[[#This Row],[UnitCost]]*OrderLines[[#This Row],[Qty]]</f>
        <v>29.14</v>
      </c>
      <c r="Q807" s="8">
        <f>OrderLines[[#This Row],[LineNetAmount]]-OrderLines[[#This Row],[Food Cost]]</f>
        <v>25.076499999999996</v>
      </c>
    </row>
    <row r="808" spans="1:17" x14ac:dyDescent="0.3">
      <c r="A808" t="s">
        <v>350</v>
      </c>
      <c r="B808" t="s">
        <v>413</v>
      </c>
      <c r="C808">
        <v>1</v>
      </c>
      <c r="D808" cm="1">
        <f t="array" ref="D808">VLOOKUP(OrderLines[[#This Row],[SKU]:[SKU]],Menu[],MATCH(OrderLines[[#Headers],[UnitPrice]],Menu[#Headers],0),FALSE)</f>
        <v>54.2</v>
      </c>
      <c r="E808" cm="1">
        <f t="array" ref="E808">VLOOKUP(OrderLines[[#This Row],[SKU]:[SKU]],Menu[],MATCH(OrderLines[[#Headers],[UnitCost]],Menu[#Headers],0),FALSE)</f>
        <v>21.95</v>
      </c>
      <c r="F808" t="str" cm="1">
        <f t="array" ref="F808">VLOOKUP(OrderLines[[#This Row],[SKU]:[SKU]],Menu[],MATCH(OrderLines[[#Headers],[Category]],Menu[#Headers],0),FALSE)</f>
        <v>Dessert</v>
      </c>
      <c r="G808" t="str" cm="1">
        <f t="array" ref="G808">_xlfn.TEXTJOIN("+",TRUE,_xlfn._xlws.SORT(_xlfn.UNIQUE(_xlfn._xlws.FILTER(OrderLines[Category],OrderLines[OrderID]=OrderLines[[#This Row],[OrderID]]))))</f>
        <v>Dessert</v>
      </c>
      <c r="H808" s="2" cm="1">
        <f t="array" ref="H808">INT(VLOOKUP(OrderLines[[#This Row],[OrderID]:[OrderID]],Orders[],MATCH(OrderLines[[#Headers],[OrderDateTime]],Orders[#Headers],0),FALSE))</f>
        <v>45897</v>
      </c>
      <c r="I808" t="str" cm="1">
        <f t="array" ref="I808">VLOOKUP(OrderLines[[#This Row],[OrderID]:[OrderID]],Orders[],MATCH(OrderLines[[#Headers],[Branch]],Orders[#Headers],0),FALSE)</f>
        <v>Plant 2 Canteen</v>
      </c>
      <c r="J808" cm="1">
        <f t="array" ref="J808">VLOOKUP(OrderLines[[#This Row],[OrderID]:[OrderID]],Orders[],MATCH(OrderLines[[#Headers],[DiscountPct]],Orders[#Headers],0),FALSE)</f>
        <v>0.06</v>
      </c>
      <c r="K808" t="str" cm="1">
        <f t="array" ref="K808">VLOOKUP(OrderLines[[#This Row],[OrderID]:[OrderID]],Orders[],MATCH(OrderLines[[#Headers],[PaymentType]],Orders[#Headers],0),FALSE)</f>
        <v>Cash</v>
      </c>
      <c r="L808" t="str" cm="1">
        <f t="array" ref="L808">VLOOKUP(OrderLines[[#This Row],[OrderID]:[OrderID]],Orders[],MATCH(OrderLines[[#Headers],[Shift]],Orders[#Headers],0),FALSE)</f>
        <v>Breakfast</v>
      </c>
      <c r="M808" s="8">
        <f>(OrderLines[[#This Row],[Qty]]*OrderLines[[#This Row],[UnitPrice]])*(1-OrderLines[[#This Row],[DiscountPct]])</f>
        <v>50.948</v>
      </c>
      <c r="N808" t="str">
        <f>IF(AND(COUNTIFS(OrderLines[OrderID],OrderLines[[#This Row],[OrderID]],OrderLines[Category],"Hot Meal"),COUNTIFS(OrderLines[OrderID],OrderLines[[#This Row],[OrderID]],OrderLines[Category],"Beverage")),"Combo","Single")</f>
        <v>Single</v>
      </c>
      <c r="O808" s="8" t="str" cm="1">
        <f t="array" ref="O808">IF(SUMPRODUCT(OrderLines[UnitPrice],OrderLines[Qty],OrderLines[DiscountPct],--(OrderLines[OrderID] = OrderLines[[#This Row],[OrderID]]))&gt;40,"High Discount","Ok")</f>
        <v>Ok</v>
      </c>
      <c r="P808">
        <f>OrderLines[[#This Row],[UnitCost]]*OrderLines[[#This Row],[Qty]]</f>
        <v>21.95</v>
      </c>
      <c r="Q808" s="8">
        <f>OrderLines[[#This Row],[LineNetAmount]]-OrderLines[[#This Row],[Food Cost]]</f>
        <v>28.998000000000001</v>
      </c>
    </row>
    <row r="809" spans="1:17" x14ac:dyDescent="0.3">
      <c r="A809" t="s">
        <v>351</v>
      </c>
      <c r="B809" t="s">
        <v>404</v>
      </c>
      <c r="C809">
        <v>1</v>
      </c>
      <c r="D809" cm="1">
        <f t="array" ref="D809">VLOOKUP(OrderLines[[#This Row],[SKU]:[SKU]],Menu[],MATCH(OrderLines[[#Headers],[UnitPrice]],Menu[#Headers],0),FALSE)</f>
        <v>32.979999999999997</v>
      </c>
      <c r="E809" cm="1">
        <f t="array" ref="E809">VLOOKUP(OrderLines[[#This Row],[SKU]:[SKU]],Menu[],MATCH(OrderLines[[#Headers],[UnitCost]],Menu[#Headers],0),FALSE)</f>
        <v>11.84</v>
      </c>
      <c r="F809" t="str" cm="1">
        <f t="array" ref="F809">VLOOKUP(OrderLines[[#This Row],[SKU]:[SKU]],Menu[],MATCH(OrderLines[[#Headers],[Category]],Menu[#Headers],0),FALSE)</f>
        <v>Beverage</v>
      </c>
      <c r="G809" t="str" cm="1">
        <f t="array" ref="G809">_xlfn.TEXTJOIN("+",TRUE,_xlfn._xlws.SORT(_xlfn.UNIQUE(_xlfn._xlws.FILTER(OrderLines[Category],OrderLines[OrderID]=OrderLines[[#This Row],[OrderID]]))))</f>
        <v>Beverage</v>
      </c>
      <c r="H809" s="2" cm="1">
        <f t="array" ref="H809">INT(VLOOKUP(OrderLines[[#This Row],[OrderID]:[OrderID]],Orders[],MATCH(OrderLines[[#Headers],[OrderDateTime]],Orders[#Headers],0),FALSE))</f>
        <v>45855</v>
      </c>
      <c r="I809" t="str" cm="1">
        <f t="array" ref="I809">VLOOKUP(OrderLines[[#This Row],[OrderID]:[OrderID]],Orders[],MATCH(OrderLines[[#Headers],[Branch]],Orders[#Headers],0),FALSE)</f>
        <v>Head Office Café</v>
      </c>
      <c r="J809" cm="1">
        <f t="array" ref="J809">VLOOKUP(OrderLines[[#This Row],[OrderID]:[OrderID]],Orders[],MATCH(OrderLines[[#Headers],[DiscountPct]],Orders[#Headers],0),FALSE)</f>
        <v>0.02</v>
      </c>
      <c r="K809" t="str" cm="1">
        <f t="array" ref="K809">VLOOKUP(OrderLines[[#This Row],[OrderID]:[OrderID]],Orders[],MATCH(OrderLines[[#Headers],[PaymentType]],Orders[#Headers],0),FALSE)</f>
        <v>Cash</v>
      </c>
      <c r="L809" t="str" cm="1">
        <f t="array" ref="L809">VLOOKUP(OrderLines[[#This Row],[OrderID]:[OrderID]],Orders[],MATCH(OrderLines[[#Headers],[Shift]],Orders[#Headers],0),FALSE)</f>
        <v>Breakfast</v>
      </c>
      <c r="M809" s="8">
        <f>(OrderLines[[#This Row],[Qty]]*OrderLines[[#This Row],[UnitPrice]])*(1-OrderLines[[#This Row],[DiscountPct]])</f>
        <v>32.320399999999999</v>
      </c>
      <c r="N809" t="str">
        <f>IF(AND(COUNTIFS(OrderLines[OrderID],OrderLines[[#This Row],[OrderID]],OrderLines[Category],"Hot Meal"),COUNTIFS(OrderLines[OrderID],OrderLines[[#This Row],[OrderID]],OrderLines[Category],"Beverage")),"Combo","Single")</f>
        <v>Single</v>
      </c>
      <c r="O809" s="8" t="str" cm="1">
        <f t="array" ref="O809">IF(SUMPRODUCT(OrderLines[UnitPrice],OrderLines[Qty],OrderLines[DiscountPct],--(OrderLines[OrderID] = OrderLines[[#This Row],[OrderID]]))&gt;40,"High Discount","Ok")</f>
        <v>Ok</v>
      </c>
      <c r="P809">
        <f>OrderLines[[#This Row],[UnitCost]]*OrderLines[[#This Row],[Qty]]</f>
        <v>11.84</v>
      </c>
      <c r="Q809" s="8">
        <f>OrderLines[[#This Row],[LineNetAmount]]-OrderLines[[#This Row],[Food Cost]]</f>
        <v>20.480399999999999</v>
      </c>
    </row>
    <row r="810" spans="1:17" x14ac:dyDescent="0.3">
      <c r="A810" t="s">
        <v>352</v>
      </c>
      <c r="B810" t="s">
        <v>403</v>
      </c>
      <c r="C810">
        <v>3</v>
      </c>
      <c r="D810" cm="1">
        <f t="array" ref="D810">VLOOKUP(OrderLines[[#This Row],[SKU]:[SKU]],Menu[],MATCH(OrderLines[[#Headers],[UnitPrice]],Menu[#Headers],0),FALSE)</f>
        <v>76.55</v>
      </c>
      <c r="E810" cm="1">
        <f t="array" ref="E810">VLOOKUP(OrderLines[[#This Row],[SKU]:[SKU]],Menu[],MATCH(OrderLines[[#Headers],[UnitCost]],Menu[#Headers],0),FALSE)</f>
        <v>38.229999999999997</v>
      </c>
      <c r="F810" t="str" cm="1">
        <f t="array" ref="F810">VLOOKUP(OrderLines[[#This Row],[SKU]:[SKU]],Menu[],MATCH(OrderLines[[#Headers],[Category]],Menu[#Headers],0),FALSE)</f>
        <v>Dessert</v>
      </c>
      <c r="G810" t="str" cm="1">
        <f t="array" ref="G810">_xlfn.TEXTJOIN("+",TRUE,_xlfn._xlws.SORT(_xlfn.UNIQUE(_xlfn._xlws.FILTER(OrderLines[Category],OrderLines[OrderID]=OrderLines[[#This Row],[OrderID]]))))</f>
        <v>Dessert</v>
      </c>
      <c r="H810" s="2" cm="1">
        <f t="array" ref="H810">INT(VLOOKUP(OrderLines[[#This Row],[OrderID]:[OrderID]],Orders[],MATCH(OrderLines[[#Headers],[OrderDateTime]],Orders[#Headers],0),FALSE))</f>
        <v>45874</v>
      </c>
      <c r="I810" t="str" cm="1">
        <f t="array" ref="I810">VLOOKUP(OrderLines[[#This Row],[OrderID]:[OrderID]],Orders[],MATCH(OrderLines[[#Headers],[Branch]],Orders[#Headers],0),FALSE)</f>
        <v>Head Office Café</v>
      </c>
      <c r="J810" cm="1">
        <f t="array" ref="J810">VLOOKUP(OrderLines[[#This Row],[OrderID]:[OrderID]],Orders[],MATCH(OrderLines[[#Headers],[DiscountPct]],Orders[#Headers],0),FALSE)</f>
        <v>0.06</v>
      </c>
      <c r="K810" t="str" cm="1">
        <f t="array" ref="K810">VLOOKUP(OrderLines[[#This Row],[OrderID]:[OrderID]],Orders[],MATCH(OrderLines[[#Headers],[PaymentType]],Orders[#Headers],0),FALSE)</f>
        <v>Cash</v>
      </c>
      <c r="L810" t="str" cm="1">
        <f t="array" ref="L810">VLOOKUP(OrderLines[[#This Row],[OrderID]:[OrderID]],Orders[],MATCH(OrderLines[[#Headers],[Shift]],Orders[#Headers],0),FALSE)</f>
        <v>Lunch</v>
      </c>
      <c r="M810" s="8">
        <f>(OrderLines[[#This Row],[Qty]]*OrderLines[[#This Row],[UnitPrice]])*(1-OrderLines[[#This Row],[DiscountPct]])</f>
        <v>215.87099999999995</v>
      </c>
      <c r="N810" t="str">
        <f>IF(AND(COUNTIFS(OrderLines[OrderID],OrderLines[[#This Row],[OrderID]],OrderLines[Category],"Hot Meal"),COUNTIFS(OrderLines[OrderID],OrderLines[[#This Row],[OrderID]],OrderLines[Category],"Beverage")),"Combo","Single")</f>
        <v>Single</v>
      </c>
      <c r="O810" s="8" t="str" cm="1">
        <f t="array" ref="O810">IF(SUMPRODUCT(OrderLines[UnitPrice],OrderLines[Qty],OrderLines[DiscountPct],--(OrderLines[OrderID] = OrderLines[[#This Row],[OrderID]]))&gt;40,"High Discount","Ok")</f>
        <v>Ok</v>
      </c>
      <c r="P810">
        <f>OrderLines[[#This Row],[UnitCost]]*OrderLines[[#This Row],[Qty]]</f>
        <v>114.69</v>
      </c>
      <c r="Q810" s="8">
        <f>OrderLines[[#This Row],[LineNetAmount]]-OrderLines[[#This Row],[Food Cost]]</f>
        <v>101.18099999999995</v>
      </c>
    </row>
    <row r="811" spans="1:17" x14ac:dyDescent="0.3">
      <c r="A811" t="s">
        <v>352</v>
      </c>
      <c r="B811" t="s">
        <v>414</v>
      </c>
      <c r="C811">
        <v>1</v>
      </c>
      <c r="D811" cm="1">
        <f t="array" ref="D811">VLOOKUP(OrderLines[[#This Row],[SKU]:[SKU]],Menu[],MATCH(OrderLines[[#Headers],[UnitPrice]],Menu[#Headers],0),FALSE)</f>
        <v>116.8</v>
      </c>
      <c r="E811" cm="1">
        <f t="array" ref="E811">VLOOKUP(OrderLines[[#This Row],[SKU]:[SKU]],Menu[],MATCH(OrderLines[[#Headers],[UnitCost]],Menu[#Headers],0),FALSE)</f>
        <v>48.97</v>
      </c>
      <c r="F811" t="str" cm="1">
        <f t="array" ref="F811">VLOOKUP(OrderLines[[#This Row],[SKU]:[SKU]],Menu[],MATCH(OrderLines[[#Headers],[Category]],Menu[#Headers],0),FALSE)</f>
        <v>Dessert</v>
      </c>
      <c r="G811" t="str" cm="1">
        <f t="array" ref="G811">_xlfn.TEXTJOIN("+",TRUE,_xlfn._xlws.SORT(_xlfn.UNIQUE(_xlfn._xlws.FILTER(OrderLines[Category],OrderLines[OrderID]=OrderLines[[#This Row],[OrderID]]))))</f>
        <v>Dessert</v>
      </c>
      <c r="H811" s="2" cm="1">
        <f t="array" ref="H811">INT(VLOOKUP(OrderLines[[#This Row],[OrderID]:[OrderID]],Orders[],MATCH(OrderLines[[#Headers],[OrderDateTime]],Orders[#Headers],0),FALSE))</f>
        <v>45874</v>
      </c>
      <c r="I811" t="str" cm="1">
        <f t="array" ref="I811">VLOOKUP(OrderLines[[#This Row],[OrderID]:[OrderID]],Orders[],MATCH(OrderLines[[#Headers],[Branch]],Orders[#Headers],0),FALSE)</f>
        <v>Head Office Café</v>
      </c>
      <c r="J811" cm="1">
        <f t="array" ref="J811">VLOOKUP(OrderLines[[#This Row],[OrderID]:[OrderID]],Orders[],MATCH(OrderLines[[#Headers],[DiscountPct]],Orders[#Headers],0),FALSE)</f>
        <v>0.06</v>
      </c>
      <c r="K811" t="str" cm="1">
        <f t="array" ref="K811">VLOOKUP(OrderLines[[#This Row],[OrderID]:[OrderID]],Orders[],MATCH(OrderLines[[#Headers],[PaymentType]],Orders[#Headers],0),FALSE)</f>
        <v>Cash</v>
      </c>
      <c r="L811" t="str" cm="1">
        <f t="array" ref="L811">VLOOKUP(OrderLines[[#This Row],[OrderID]:[OrderID]],Orders[],MATCH(OrderLines[[#Headers],[Shift]],Orders[#Headers],0),FALSE)</f>
        <v>Lunch</v>
      </c>
      <c r="M811" s="8">
        <f>(OrderLines[[#This Row],[Qty]]*OrderLines[[#This Row],[UnitPrice]])*(1-OrderLines[[#This Row],[DiscountPct]])</f>
        <v>109.79199999999999</v>
      </c>
      <c r="N811" t="str">
        <f>IF(AND(COUNTIFS(OrderLines[OrderID],OrderLines[[#This Row],[OrderID]],OrderLines[Category],"Hot Meal"),COUNTIFS(OrderLines[OrderID],OrderLines[[#This Row],[OrderID]],OrderLines[Category],"Beverage")),"Combo","Single")</f>
        <v>Single</v>
      </c>
      <c r="O811" s="8" t="str" cm="1">
        <f t="array" ref="O811">IF(SUMPRODUCT(OrderLines[UnitPrice],OrderLines[Qty],OrderLines[DiscountPct],--(OrderLines[OrderID] = OrderLines[[#This Row],[OrderID]]))&gt;40,"High Discount","Ok")</f>
        <v>Ok</v>
      </c>
      <c r="P811">
        <f>OrderLines[[#This Row],[UnitCost]]*OrderLines[[#This Row],[Qty]]</f>
        <v>48.97</v>
      </c>
      <c r="Q811" s="8">
        <f>OrderLines[[#This Row],[LineNetAmount]]-OrderLines[[#This Row],[Food Cost]]</f>
        <v>60.821999999999989</v>
      </c>
    </row>
    <row r="812" spans="1:17" x14ac:dyDescent="0.3">
      <c r="A812" t="s">
        <v>353</v>
      </c>
      <c r="B812" t="s">
        <v>411</v>
      </c>
      <c r="C812">
        <v>3</v>
      </c>
      <c r="D812" cm="1">
        <f t="array" ref="D812">VLOOKUP(OrderLines[[#This Row],[SKU]:[SKU]],Menu[],MATCH(OrderLines[[#Headers],[UnitPrice]],Menu[#Headers],0),FALSE)</f>
        <v>22.2</v>
      </c>
      <c r="E812" cm="1">
        <f t="array" ref="E812">VLOOKUP(OrderLines[[#This Row],[SKU]:[SKU]],Menu[],MATCH(OrderLines[[#Headers],[UnitCost]],Menu[#Headers],0),FALSE)</f>
        <v>9.3800000000000008</v>
      </c>
      <c r="F812" t="str" cm="1">
        <f t="array" ref="F812">VLOOKUP(OrderLines[[#This Row],[SKU]:[SKU]],Menu[],MATCH(OrderLines[[#Headers],[Category]],Menu[#Headers],0),FALSE)</f>
        <v>Beverage</v>
      </c>
      <c r="G812" t="str" cm="1">
        <f t="array" ref="G812">_xlfn.TEXTJOIN("+",TRUE,_xlfn._xlws.SORT(_xlfn.UNIQUE(_xlfn._xlws.FILTER(OrderLines[Category],OrderLines[OrderID]=OrderLines[[#This Row],[OrderID]]))))</f>
        <v>Beverage</v>
      </c>
      <c r="H812" s="2" cm="1">
        <f t="array" ref="H812">INT(VLOOKUP(OrderLines[[#This Row],[OrderID]:[OrderID]],Orders[],MATCH(OrderLines[[#Headers],[OrderDateTime]],Orders[#Headers],0),FALSE))</f>
        <v>45898</v>
      </c>
      <c r="I812" t="str" cm="1">
        <f t="array" ref="I812">VLOOKUP(OrderLines[[#This Row],[OrderID]:[OrderID]],Orders[],MATCH(OrderLines[[#Headers],[Branch]],Orders[#Headers],0),FALSE)</f>
        <v>Plant 2 Canteen</v>
      </c>
      <c r="J812" cm="1">
        <f t="array" ref="J812">VLOOKUP(OrderLines[[#This Row],[OrderID]:[OrderID]],Orders[],MATCH(OrderLines[[#Headers],[DiscountPct]],Orders[#Headers],0),FALSE)</f>
        <v>0.05</v>
      </c>
      <c r="K812" t="str" cm="1">
        <f t="array" ref="K812">VLOOKUP(OrderLines[[#This Row],[OrderID]:[OrderID]],Orders[],MATCH(OrderLines[[#Headers],[PaymentType]],Orders[#Headers],0),FALSE)</f>
        <v>Card</v>
      </c>
      <c r="L812" t="str" cm="1">
        <f t="array" ref="L812">VLOOKUP(OrderLines[[#This Row],[OrderID]:[OrderID]],Orders[],MATCH(OrderLines[[#Headers],[Shift]],Orders[#Headers],0),FALSE)</f>
        <v>Lunch</v>
      </c>
      <c r="M812" s="8">
        <f>(OrderLines[[#This Row],[Qty]]*OrderLines[[#This Row],[UnitPrice]])*(1-OrderLines[[#This Row],[DiscountPct]])</f>
        <v>63.269999999999989</v>
      </c>
      <c r="N812" t="str">
        <f>IF(AND(COUNTIFS(OrderLines[OrderID],OrderLines[[#This Row],[OrderID]],OrderLines[Category],"Hot Meal"),COUNTIFS(OrderLines[OrderID],OrderLines[[#This Row],[OrderID]],OrderLines[Category],"Beverage")),"Combo","Single")</f>
        <v>Single</v>
      </c>
      <c r="O812" s="8" t="str" cm="1">
        <f t="array" ref="O812">IF(SUMPRODUCT(OrderLines[UnitPrice],OrderLines[Qty],OrderLines[DiscountPct],--(OrderLines[OrderID] = OrderLines[[#This Row],[OrderID]]))&gt;40,"High Discount","Ok")</f>
        <v>Ok</v>
      </c>
      <c r="P812">
        <f>OrderLines[[#This Row],[UnitCost]]*OrderLines[[#This Row],[Qty]]</f>
        <v>28.14</v>
      </c>
      <c r="Q812" s="8">
        <f>OrderLines[[#This Row],[LineNetAmount]]-OrderLines[[#This Row],[Food Cost]]</f>
        <v>35.129999999999988</v>
      </c>
    </row>
    <row r="813" spans="1:17" x14ac:dyDescent="0.3">
      <c r="A813" t="s">
        <v>354</v>
      </c>
      <c r="B813" t="s">
        <v>401</v>
      </c>
      <c r="C813">
        <v>2</v>
      </c>
      <c r="D813" cm="1">
        <f t="array" ref="D813">VLOOKUP(OrderLines[[#This Row],[SKU]:[SKU]],Menu[],MATCH(OrderLines[[#Headers],[UnitPrice]],Menu[#Headers],0),FALSE)</f>
        <v>52.45</v>
      </c>
      <c r="E813" cm="1">
        <f t="array" ref="E813">VLOOKUP(OrderLines[[#This Row],[SKU]:[SKU]],Menu[],MATCH(OrderLines[[#Headers],[UnitCost]],Menu[#Headers],0),FALSE)</f>
        <v>25.8</v>
      </c>
      <c r="F813" t="str" cm="1">
        <f t="array" ref="F813">VLOOKUP(OrderLines[[#This Row],[SKU]:[SKU]],Menu[],MATCH(OrderLines[[#Headers],[Category]],Menu[#Headers],0),FALSE)</f>
        <v>Snack</v>
      </c>
      <c r="G813" t="str" cm="1">
        <f t="array" ref="G813">_xlfn.TEXTJOIN("+",TRUE,_xlfn._xlws.SORT(_xlfn.UNIQUE(_xlfn._xlws.FILTER(OrderLines[Category],OrderLines[OrderID]=OrderLines[[#This Row],[OrderID]]))))</f>
        <v>Hot Meal+Snack</v>
      </c>
      <c r="H813" s="2" cm="1">
        <f t="array" ref="H813">INT(VLOOKUP(OrderLines[[#This Row],[OrderID]:[OrderID]],Orders[],MATCH(OrderLines[[#Headers],[OrderDateTime]],Orders[#Headers],0),FALSE))</f>
        <v>45891</v>
      </c>
      <c r="I813" t="str" cm="1">
        <f t="array" ref="I813">VLOOKUP(OrderLines[[#This Row],[OrderID]:[OrderID]],Orders[],MATCH(OrderLines[[#Headers],[Branch]],Orders[#Headers],0),FALSE)</f>
        <v>Plant 1 Canteen</v>
      </c>
      <c r="J813" cm="1">
        <f t="array" ref="J813">VLOOKUP(OrderLines[[#This Row],[OrderID]:[OrderID]],Orders[],MATCH(OrderLines[[#Headers],[DiscountPct]],Orders[#Headers],0),FALSE)</f>
        <v>7.0000000000000007E-2</v>
      </c>
      <c r="K813" t="str" cm="1">
        <f t="array" ref="K813">VLOOKUP(OrderLines[[#This Row],[OrderID]:[OrderID]],Orders[],MATCH(OrderLines[[#Headers],[PaymentType]],Orders[#Headers],0),FALSE)</f>
        <v>Card</v>
      </c>
      <c r="L813" t="str" cm="1">
        <f t="array" ref="L813">VLOOKUP(OrderLines[[#This Row],[OrderID]:[OrderID]],Orders[],MATCH(OrderLines[[#Headers],[Shift]],Orders[#Headers],0),FALSE)</f>
        <v>Breakfast</v>
      </c>
      <c r="M813" s="8">
        <f>(OrderLines[[#This Row],[Qty]]*OrderLines[[#This Row],[UnitPrice]])*(1-OrderLines[[#This Row],[DiscountPct]])</f>
        <v>97.557000000000002</v>
      </c>
      <c r="N813" t="str">
        <f>IF(AND(COUNTIFS(OrderLines[OrderID],OrderLines[[#This Row],[OrderID]],OrderLines[Category],"Hot Meal"),COUNTIFS(OrderLines[OrderID],OrderLines[[#This Row],[OrderID]],OrderLines[Category],"Beverage")),"Combo","Single")</f>
        <v>Single</v>
      </c>
      <c r="O813" s="8" t="str" cm="1">
        <f t="array" ref="O813">IF(SUMPRODUCT(OrderLines[UnitPrice],OrderLines[Qty],OrderLines[DiscountPct],--(OrderLines[OrderID] = OrderLines[[#This Row],[OrderID]]))&gt;40,"High Discount","Ok")</f>
        <v>Ok</v>
      </c>
      <c r="P813">
        <f>OrderLines[[#This Row],[UnitCost]]*OrderLines[[#This Row],[Qty]]</f>
        <v>51.6</v>
      </c>
      <c r="Q813" s="8">
        <f>OrderLines[[#This Row],[LineNetAmount]]-OrderLines[[#This Row],[Food Cost]]</f>
        <v>45.957000000000001</v>
      </c>
    </row>
    <row r="814" spans="1:17" x14ac:dyDescent="0.3">
      <c r="A814" t="s">
        <v>354</v>
      </c>
      <c r="B814" t="s">
        <v>417</v>
      </c>
      <c r="C814">
        <v>1</v>
      </c>
      <c r="D814" cm="1">
        <f t="array" ref="D814">VLOOKUP(OrderLines[[#This Row],[SKU]:[SKU]],Menu[],MATCH(OrderLines[[#Headers],[UnitPrice]],Menu[#Headers],0),FALSE)</f>
        <v>146.4</v>
      </c>
      <c r="E814" cm="1">
        <f t="array" ref="E814">VLOOKUP(OrderLines[[#This Row],[SKU]:[SKU]],Menu[],MATCH(OrderLines[[#Headers],[UnitCost]],Menu[#Headers],0),FALSE)</f>
        <v>80.92</v>
      </c>
      <c r="F814" t="str" cm="1">
        <f t="array" ref="F814">VLOOKUP(OrderLines[[#This Row],[SKU]:[SKU]],Menu[],MATCH(OrderLines[[#Headers],[Category]],Menu[#Headers],0),FALSE)</f>
        <v>Hot Meal</v>
      </c>
      <c r="G814" t="str" cm="1">
        <f t="array" ref="G814">_xlfn.TEXTJOIN("+",TRUE,_xlfn._xlws.SORT(_xlfn.UNIQUE(_xlfn._xlws.FILTER(OrderLines[Category],OrderLines[OrderID]=OrderLines[[#This Row],[OrderID]]))))</f>
        <v>Hot Meal+Snack</v>
      </c>
      <c r="H814" s="2" cm="1">
        <f t="array" ref="H814">INT(VLOOKUP(OrderLines[[#This Row],[OrderID]:[OrderID]],Orders[],MATCH(OrderLines[[#Headers],[OrderDateTime]],Orders[#Headers],0),FALSE))</f>
        <v>45891</v>
      </c>
      <c r="I814" t="str" cm="1">
        <f t="array" ref="I814">VLOOKUP(OrderLines[[#This Row],[OrderID]:[OrderID]],Orders[],MATCH(OrderLines[[#Headers],[Branch]],Orders[#Headers],0),FALSE)</f>
        <v>Plant 1 Canteen</v>
      </c>
      <c r="J814" cm="1">
        <f t="array" ref="J814">VLOOKUP(OrderLines[[#This Row],[OrderID]:[OrderID]],Orders[],MATCH(OrderLines[[#Headers],[DiscountPct]],Orders[#Headers],0),FALSE)</f>
        <v>7.0000000000000007E-2</v>
      </c>
      <c r="K814" t="str" cm="1">
        <f t="array" ref="K814">VLOOKUP(OrderLines[[#This Row],[OrderID]:[OrderID]],Orders[],MATCH(OrderLines[[#Headers],[PaymentType]],Orders[#Headers],0),FALSE)</f>
        <v>Card</v>
      </c>
      <c r="L814" t="str" cm="1">
        <f t="array" ref="L814">VLOOKUP(OrderLines[[#This Row],[OrderID]:[OrderID]],Orders[],MATCH(OrderLines[[#Headers],[Shift]],Orders[#Headers],0),FALSE)</f>
        <v>Breakfast</v>
      </c>
      <c r="M814" s="8">
        <f>(OrderLines[[#This Row],[Qty]]*OrderLines[[#This Row],[UnitPrice]])*(1-OrderLines[[#This Row],[DiscountPct]])</f>
        <v>136.15199999999999</v>
      </c>
      <c r="N814" t="str">
        <f>IF(AND(COUNTIFS(OrderLines[OrderID],OrderLines[[#This Row],[OrderID]],OrderLines[Category],"Hot Meal"),COUNTIFS(OrderLines[OrderID],OrderLines[[#This Row],[OrderID]],OrderLines[Category],"Beverage")),"Combo","Single")</f>
        <v>Single</v>
      </c>
      <c r="O814" s="8" t="str" cm="1">
        <f t="array" ref="O814">IF(SUMPRODUCT(OrderLines[UnitPrice],OrderLines[Qty],OrderLines[DiscountPct],--(OrderLines[OrderID] = OrderLines[[#This Row],[OrderID]]))&gt;40,"High Discount","Ok")</f>
        <v>Ok</v>
      </c>
      <c r="P814">
        <f>OrderLines[[#This Row],[UnitCost]]*OrderLines[[#This Row],[Qty]]</f>
        <v>80.92</v>
      </c>
      <c r="Q814" s="8">
        <f>OrderLines[[#This Row],[LineNetAmount]]-OrderLines[[#This Row],[Food Cost]]</f>
        <v>55.231999999999985</v>
      </c>
    </row>
    <row r="815" spans="1:17" x14ac:dyDescent="0.3">
      <c r="A815" t="s">
        <v>355</v>
      </c>
      <c r="B815" t="s">
        <v>404</v>
      </c>
      <c r="C815">
        <v>3</v>
      </c>
      <c r="D815" cm="1">
        <f t="array" ref="D815">VLOOKUP(OrderLines[[#This Row],[SKU]:[SKU]],Menu[],MATCH(OrderLines[[#Headers],[UnitPrice]],Menu[#Headers],0),FALSE)</f>
        <v>32.979999999999997</v>
      </c>
      <c r="E815" cm="1">
        <f t="array" ref="E815">VLOOKUP(OrderLines[[#This Row],[SKU]:[SKU]],Menu[],MATCH(OrderLines[[#Headers],[UnitCost]],Menu[#Headers],0),FALSE)</f>
        <v>11.84</v>
      </c>
      <c r="F815" t="str" cm="1">
        <f t="array" ref="F815">VLOOKUP(OrderLines[[#This Row],[SKU]:[SKU]],Menu[],MATCH(OrderLines[[#Headers],[Category]],Menu[#Headers],0),FALSE)</f>
        <v>Beverage</v>
      </c>
      <c r="G815" t="str" cm="1">
        <f t="array" ref="G815">_xlfn.TEXTJOIN("+",TRUE,_xlfn._xlws.SORT(_xlfn.UNIQUE(_xlfn._xlws.FILTER(OrderLines[Category],OrderLines[OrderID]=OrderLines[[#This Row],[OrderID]]))))</f>
        <v>Beverage+Dessert+Hot Meal</v>
      </c>
      <c r="H815" s="2" cm="1">
        <f t="array" ref="H815">INT(VLOOKUP(OrderLines[[#This Row],[OrderID]:[OrderID]],Orders[],MATCH(OrderLines[[#Headers],[OrderDateTime]],Orders[#Headers],0),FALSE))</f>
        <v>45874</v>
      </c>
      <c r="I815" t="str" cm="1">
        <f t="array" ref="I815">VLOOKUP(OrderLines[[#This Row],[OrderID]:[OrderID]],Orders[],MATCH(OrderLines[[#Headers],[Branch]],Orders[#Headers],0),FALSE)</f>
        <v>Head Office Café</v>
      </c>
      <c r="J815" cm="1">
        <f t="array" ref="J815">VLOOKUP(OrderLines[[#This Row],[OrderID]:[OrderID]],Orders[],MATCH(OrderLines[[#Headers],[DiscountPct]],Orders[#Headers],0),FALSE)</f>
        <v>0.03</v>
      </c>
      <c r="K815" t="str" cm="1">
        <f t="array" ref="K815">VLOOKUP(OrderLines[[#This Row],[OrderID]:[OrderID]],Orders[],MATCH(OrderLines[[#Headers],[PaymentType]],Orders[#Headers],0),FALSE)</f>
        <v>Card</v>
      </c>
      <c r="L815" t="str" cm="1">
        <f t="array" ref="L815">VLOOKUP(OrderLines[[#This Row],[OrderID]:[OrderID]],Orders[],MATCH(OrderLines[[#Headers],[Shift]],Orders[#Headers],0),FALSE)</f>
        <v>Dinner</v>
      </c>
      <c r="M815" s="8">
        <f>(OrderLines[[#This Row],[Qty]]*OrderLines[[#This Row],[UnitPrice]])*(1-OrderLines[[#This Row],[DiscountPct]])</f>
        <v>95.971800000000002</v>
      </c>
      <c r="N815" t="str">
        <f>IF(AND(COUNTIFS(OrderLines[OrderID],OrderLines[[#This Row],[OrderID]],OrderLines[Category],"Hot Meal"),COUNTIFS(OrderLines[OrderID],OrderLines[[#This Row],[OrderID]],OrderLines[Category],"Beverage")),"Combo","Single")</f>
        <v>Combo</v>
      </c>
      <c r="O815" s="8" t="str" cm="1">
        <f t="array" ref="O815">IF(SUMPRODUCT(OrderLines[UnitPrice],OrderLines[Qty],OrderLines[DiscountPct],--(OrderLines[OrderID] = OrderLines[[#This Row],[OrderID]]))&gt;40,"High Discount","Ok")</f>
        <v>Ok</v>
      </c>
      <c r="P815">
        <f>OrderLines[[#This Row],[UnitCost]]*OrderLines[[#This Row],[Qty]]</f>
        <v>35.519999999999996</v>
      </c>
      <c r="Q815" s="8">
        <f>OrderLines[[#This Row],[LineNetAmount]]-OrderLines[[#This Row],[Food Cost]]</f>
        <v>60.451800000000006</v>
      </c>
    </row>
    <row r="816" spans="1:17" x14ac:dyDescent="0.3">
      <c r="A816" t="s">
        <v>355</v>
      </c>
      <c r="B816" t="s">
        <v>417</v>
      </c>
      <c r="C816">
        <v>1</v>
      </c>
      <c r="D816" cm="1">
        <f t="array" ref="D816">VLOOKUP(OrderLines[[#This Row],[SKU]:[SKU]],Menu[],MATCH(OrderLines[[#Headers],[UnitPrice]],Menu[#Headers],0),FALSE)</f>
        <v>146.4</v>
      </c>
      <c r="E816" cm="1">
        <f t="array" ref="E816">VLOOKUP(OrderLines[[#This Row],[SKU]:[SKU]],Menu[],MATCH(OrderLines[[#Headers],[UnitCost]],Menu[#Headers],0),FALSE)</f>
        <v>80.92</v>
      </c>
      <c r="F816" t="str" cm="1">
        <f t="array" ref="F816">VLOOKUP(OrderLines[[#This Row],[SKU]:[SKU]],Menu[],MATCH(OrderLines[[#Headers],[Category]],Menu[#Headers],0),FALSE)</f>
        <v>Hot Meal</v>
      </c>
      <c r="G816" t="str" cm="1">
        <f t="array" ref="G816">_xlfn.TEXTJOIN("+",TRUE,_xlfn._xlws.SORT(_xlfn.UNIQUE(_xlfn._xlws.FILTER(OrderLines[Category],OrderLines[OrderID]=OrderLines[[#This Row],[OrderID]]))))</f>
        <v>Beverage+Dessert+Hot Meal</v>
      </c>
      <c r="H816" s="2" cm="1">
        <f t="array" ref="H816">INT(VLOOKUP(OrderLines[[#This Row],[OrderID]:[OrderID]],Orders[],MATCH(OrderLines[[#Headers],[OrderDateTime]],Orders[#Headers],0),FALSE))</f>
        <v>45874</v>
      </c>
      <c r="I816" t="str" cm="1">
        <f t="array" ref="I816">VLOOKUP(OrderLines[[#This Row],[OrderID]:[OrderID]],Orders[],MATCH(OrderLines[[#Headers],[Branch]],Orders[#Headers],0),FALSE)</f>
        <v>Head Office Café</v>
      </c>
      <c r="J816" cm="1">
        <f t="array" ref="J816">VLOOKUP(OrderLines[[#This Row],[OrderID]:[OrderID]],Orders[],MATCH(OrderLines[[#Headers],[DiscountPct]],Orders[#Headers],0),FALSE)</f>
        <v>0.03</v>
      </c>
      <c r="K816" t="str" cm="1">
        <f t="array" ref="K816">VLOOKUP(OrderLines[[#This Row],[OrderID]:[OrderID]],Orders[],MATCH(OrderLines[[#Headers],[PaymentType]],Orders[#Headers],0),FALSE)</f>
        <v>Card</v>
      </c>
      <c r="L816" t="str" cm="1">
        <f t="array" ref="L816">VLOOKUP(OrderLines[[#This Row],[OrderID]:[OrderID]],Orders[],MATCH(OrderLines[[#Headers],[Shift]],Orders[#Headers],0),FALSE)</f>
        <v>Dinner</v>
      </c>
      <c r="M816" s="8">
        <f>(OrderLines[[#This Row],[Qty]]*OrderLines[[#This Row],[UnitPrice]])*(1-OrderLines[[#This Row],[DiscountPct]])</f>
        <v>142.00800000000001</v>
      </c>
      <c r="N816" t="str">
        <f>IF(AND(COUNTIFS(OrderLines[OrderID],OrderLines[[#This Row],[OrderID]],OrderLines[Category],"Hot Meal"),COUNTIFS(OrderLines[OrderID],OrderLines[[#This Row],[OrderID]],OrderLines[Category],"Beverage")),"Combo","Single")</f>
        <v>Combo</v>
      </c>
      <c r="O816" s="8" t="str" cm="1">
        <f t="array" ref="O816">IF(SUMPRODUCT(OrderLines[UnitPrice],OrderLines[Qty],OrderLines[DiscountPct],--(OrderLines[OrderID] = OrderLines[[#This Row],[OrderID]]))&gt;40,"High Discount","Ok")</f>
        <v>Ok</v>
      </c>
      <c r="P816">
        <f>OrderLines[[#This Row],[UnitCost]]*OrderLines[[#This Row],[Qty]]</f>
        <v>80.92</v>
      </c>
      <c r="Q816" s="8">
        <f>OrderLines[[#This Row],[LineNetAmount]]-OrderLines[[#This Row],[Food Cost]]</f>
        <v>61.088000000000008</v>
      </c>
    </row>
    <row r="817" spans="1:17" x14ac:dyDescent="0.3">
      <c r="A817" t="s">
        <v>355</v>
      </c>
      <c r="B817" t="s">
        <v>413</v>
      </c>
      <c r="C817">
        <v>2</v>
      </c>
      <c r="D817" cm="1">
        <f t="array" ref="D817">VLOOKUP(OrderLines[[#This Row],[SKU]:[SKU]],Menu[],MATCH(OrderLines[[#Headers],[UnitPrice]],Menu[#Headers],0),FALSE)</f>
        <v>54.2</v>
      </c>
      <c r="E817" cm="1">
        <f t="array" ref="E817">VLOOKUP(OrderLines[[#This Row],[SKU]:[SKU]],Menu[],MATCH(OrderLines[[#Headers],[UnitCost]],Menu[#Headers],0),FALSE)</f>
        <v>21.95</v>
      </c>
      <c r="F817" t="str" cm="1">
        <f t="array" ref="F817">VLOOKUP(OrderLines[[#This Row],[SKU]:[SKU]],Menu[],MATCH(OrderLines[[#Headers],[Category]],Menu[#Headers],0),FALSE)</f>
        <v>Dessert</v>
      </c>
      <c r="G817" t="str" cm="1">
        <f t="array" ref="G817">_xlfn.TEXTJOIN("+",TRUE,_xlfn._xlws.SORT(_xlfn.UNIQUE(_xlfn._xlws.FILTER(OrderLines[Category],OrderLines[OrderID]=OrderLines[[#This Row],[OrderID]]))))</f>
        <v>Beverage+Dessert+Hot Meal</v>
      </c>
      <c r="H817" s="2" cm="1">
        <f t="array" ref="H817">INT(VLOOKUP(OrderLines[[#This Row],[OrderID]:[OrderID]],Orders[],MATCH(OrderLines[[#Headers],[OrderDateTime]],Orders[#Headers],0),FALSE))</f>
        <v>45874</v>
      </c>
      <c r="I817" t="str" cm="1">
        <f t="array" ref="I817">VLOOKUP(OrderLines[[#This Row],[OrderID]:[OrderID]],Orders[],MATCH(OrderLines[[#Headers],[Branch]],Orders[#Headers],0),FALSE)</f>
        <v>Head Office Café</v>
      </c>
      <c r="J817" cm="1">
        <f t="array" ref="J817">VLOOKUP(OrderLines[[#This Row],[OrderID]:[OrderID]],Orders[],MATCH(OrderLines[[#Headers],[DiscountPct]],Orders[#Headers],0),FALSE)</f>
        <v>0.03</v>
      </c>
      <c r="K817" t="str" cm="1">
        <f t="array" ref="K817">VLOOKUP(OrderLines[[#This Row],[OrderID]:[OrderID]],Orders[],MATCH(OrderLines[[#Headers],[PaymentType]],Orders[#Headers],0),FALSE)</f>
        <v>Card</v>
      </c>
      <c r="L817" t="str" cm="1">
        <f t="array" ref="L817">VLOOKUP(OrderLines[[#This Row],[OrderID]:[OrderID]],Orders[],MATCH(OrderLines[[#Headers],[Shift]],Orders[#Headers],0),FALSE)</f>
        <v>Dinner</v>
      </c>
      <c r="M817" s="8">
        <f>(OrderLines[[#This Row],[Qty]]*OrderLines[[#This Row],[UnitPrice]])*(1-OrderLines[[#This Row],[DiscountPct]])</f>
        <v>105.148</v>
      </c>
      <c r="N817" t="str">
        <f>IF(AND(COUNTIFS(OrderLines[OrderID],OrderLines[[#This Row],[OrderID]],OrderLines[Category],"Hot Meal"),COUNTIFS(OrderLines[OrderID],OrderLines[[#This Row],[OrderID]],OrderLines[Category],"Beverage")),"Combo","Single")</f>
        <v>Combo</v>
      </c>
      <c r="O817" s="8" t="str" cm="1">
        <f t="array" ref="O817">IF(SUMPRODUCT(OrderLines[UnitPrice],OrderLines[Qty],OrderLines[DiscountPct],--(OrderLines[OrderID] = OrderLines[[#This Row],[OrderID]]))&gt;40,"High Discount","Ok")</f>
        <v>Ok</v>
      </c>
      <c r="P817">
        <f>OrderLines[[#This Row],[UnitCost]]*OrderLines[[#This Row],[Qty]]</f>
        <v>43.9</v>
      </c>
      <c r="Q817" s="8">
        <f>OrderLines[[#This Row],[LineNetAmount]]-OrderLines[[#This Row],[Food Cost]]</f>
        <v>61.247999999999998</v>
      </c>
    </row>
    <row r="818" spans="1:17" x14ac:dyDescent="0.3">
      <c r="A818" t="s">
        <v>355</v>
      </c>
      <c r="B818" t="s">
        <v>411</v>
      </c>
      <c r="C818">
        <v>2</v>
      </c>
      <c r="D818" cm="1">
        <f t="array" ref="D818">VLOOKUP(OrderLines[[#This Row],[SKU]:[SKU]],Menu[],MATCH(OrderLines[[#Headers],[UnitPrice]],Menu[#Headers],0),FALSE)</f>
        <v>22.2</v>
      </c>
      <c r="E818" cm="1">
        <f t="array" ref="E818">VLOOKUP(OrderLines[[#This Row],[SKU]:[SKU]],Menu[],MATCH(OrderLines[[#Headers],[UnitCost]],Menu[#Headers],0),FALSE)</f>
        <v>9.3800000000000008</v>
      </c>
      <c r="F818" t="str" cm="1">
        <f t="array" ref="F818">VLOOKUP(OrderLines[[#This Row],[SKU]:[SKU]],Menu[],MATCH(OrderLines[[#Headers],[Category]],Menu[#Headers],0),FALSE)</f>
        <v>Beverage</v>
      </c>
      <c r="G818" t="str" cm="1">
        <f t="array" ref="G818">_xlfn.TEXTJOIN("+",TRUE,_xlfn._xlws.SORT(_xlfn.UNIQUE(_xlfn._xlws.FILTER(OrderLines[Category],OrderLines[OrderID]=OrderLines[[#This Row],[OrderID]]))))</f>
        <v>Beverage+Dessert+Hot Meal</v>
      </c>
      <c r="H818" s="2" cm="1">
        <f t="array" ref="H818">INT(VLOOKUP(OrderLines[[#This Row],[OrderID]:[OrderID]],Orders[],MATCH(OrderLines[[#Headers],[OrderDateTime]],Orders[#Headers],0),FALSE))</f>
        <v>45874</v>
      </c>
      <c r="I818" t="str" cm="1">
        <f t="array" ref="I818">VLOOKUP(OrderLines[[#This Row],[OrderID]:[OrderID]],Orders[],MATCH(OrderLines[[#Headers],[Branch]],Orders[#Headers],0),FALSE)</f>
        <v>Head Office Café</v>
      </c>
      <c r="J818" cm="1">
        <f t="array" ref="J818">VLOOKUP(OrderLines[[#This Row],[OrderID]:[OrderID]],Orders[],MATCH(OrderLines[[#Headers],[DiscountPct]],Orders[#Headers],0),FALSE)</f>
        <v>0.03</v>
      </c>
      <c r="K818" t="str" cm="1">
        <f t="array" ref="K818">VLOOKUP(OrderLines[[#This Row],[OrderID]:[OrderID]],Orders[],MATCH(OrderLines[[#Headers],[PaymentType]],Orders[#Headers],0),FALSE)</f>
        <v>Card</v>
      </c>
      <c r="L818" t="str" cm="1">
        <f t="array" ref="L818">VLOOKUP(OrderLines[[#This Row],[OrderID]:[OrderID]],Orders[],MATCH(OrderLines[[#Headers],[Shift]],Orders[#Headers],0),FALSE)</f>
        <v>Dinner</v>
      </c>
      <c r="M818" s="8">
        <f>(OrderLines[[#This Row],[Qty]]*OrderLines[[#This Row],[UnitPrice]])*(1-OrderLines[[#This Row],[DiscountPct]])</f>
        <v>43.067999999999998</v>
      </c>
      <c r="N818" t="str">
        <f>IF(AND(COUNTIFS(OrderLines[OrderID],OrderLines[[#This Row],[OrderID]],OrderLines[Category],"Hot Meal"),COUNTIFS(OrderLines[OrderID],OrderLines[[#This Row],[OrderID]],OrderLines[Category],"Beverage")),"Combo","Single")</f>
        <v>Combo</v>
      </c>
      <c r="O818" s="8" t="str" cm="1">
        <f t="array" ref="O818">IF(SUMPRODUCT(OrderLines[UnitPrice],OrderLines[Qty],OrderLines[DiscountPct],--(OrderLines[OrderID] = OrderLines[[#This Row],[OrderID]]))&gt;40,"High Discount","Ok")</f>
        <v>Ok</v>
      </c>
      <c r="P818">
        <f>OrderLines[[#This Row],[UnitCost]]*OrderLines[[#This Row],[Qty]]</f>
        <v>18.760000000000002</v>
      </c>
      <c r="Q818" s="8">
        <f>OrderLines[[#This Row],[LineNetAmount]]-OrderLines[[#This Row],[Food Cost]]</f>
        <v>24.307999999999996</v>
      </c>
    </row>
    <row r="819" spans="1:17" x14ac:dyDescent="0.3">
      <c r="A819" t="s">
        <v>356</v>
      </c>
      <c r="B819" t="s">
        <v>410</v>
      </c>
      <c r="C819">
        <v>2</v>
      </c>
      <c r="D819" cm="1">
        <f t="array" ref="D819">VLOOKUP(OrderLines[[#This Row],[SKU]:[SKU]],Menu[],MATCH(OrderLines[[#Headers],[UnitPrice]],Menu[#Headers],0),FALSE)</f>
        <v>20.11</v>
      </c>
      <c r="E819" cm="1">
        <f t="array" ref="E819">VLOOKUP(OrderLines[[#This Row],[SKU]:[SKU]],Menu[],MATCH(OrderLines[[#Headers],[UnitCost]],Menu[#Headers],0),FALSE)</f>
        <v>8</v>
      </c>
      <c r="F819" t="str" cm="1">
        <f t="array" ref="F819">VLOOKUP(OrderLines[[#This Row],[SKU]:[SKU]],Menu[],MATCH(OrderLines[[#Headers],[Category]],Menu[#Headers],0),FALSE)</f>
        <v>Beverage</v>
      </c>
      <c r="G819" t="str" cm="1">
        <f t="array" ref="G819">_xlfn.TEXTJOIN("+",TRUE,_xlfn._xlws.SORT(_xlfn.UNIQUE(_xlfn._xlws.FILTER(OrderLines[Category],OrderLines[OrderID]=OrderLines[[#This Row],[OrderID]]))))</f>
        <v>Beverage+Dessert</v>
      </c>
      <c r="H819" s="2" cm="1">
        <f t="array" ref="H819">INT(VLOOKUP(OrderLines[[#This Row],[OrderID]:[OrderID]],Orders[],MATCH(OrderLines[[#Headers],[OrderDateTime]],Orders[#Headers],0),FALSE))</f>
        <v>45866</v>
      </c>
      <c r="I819" t="str" cm="1">
        <f t="array" ref="I819">VLOOKUP(OrderLines[[#This Row],[OrderID]:[OrderID]],Orders[],MATCH(OrderLines[[#Headers],[Branch]],Orders[#Headers],0),FALSE)</f>
        <v>Plant 2 Canteen</v>
      </c>
      <c r="J819" cm="1">
        <f t="array" ref="J819">VLOOKUP(OrderLines[[#This Row],[OrderID]:[OrderID]],Orders[],MATCH(OrderLines[[#Headers],[DiscountPct]],Orders[#Headers],0),FALSE)</f>
        <v>0.08</v>
      </c>
      <c r="K819" t="str" cm="1">
        <f t="array" ref="K819">VLOOKUP(OrderLines[[#This Row],[OrderID]:[OrderID]],Orders[],MATCH(OrderLines[[#Headers],[PaymentType]],Orders[#Headers],0),FALSE)</f>
        <v>UPI</v>
      </c>
      <c r="L819" t="str" cm="1">
        <f t="array" ref="L819">VLOOKUP(OrderLines[[#This Row],[OrderID]:[OrderID]],Orders[],MATCH(OrderLines[[#Headers],[Shift]],Orders[#Headers],0),FALSE)</f>
        <v>Lunch</v>
      </c>
      <c r="M819" s="8">
        <f>(OrderLines[[#This Row],[Qty]]*OrderLines[[#This Row],[UnitPrice]])*(1-OrderLines[[#This Row],[DiscountPct]])</f>
        <v>37.002400000000002</v>
      </c>
      <c r="N819" t="str">
        <f>IF(AND(COUNTIFS(OrderLines[OrderID],OrderLines[[#This Row],[OrderID]],OrderLines[Category],"Hot Meal"),COUNTIFS(OrderLines[OrderID],OrderLines[[#This Row],[OrderID]],OrderLines[Category],"Beverage")),"Combo","Single")</f>
        <v>Single</v>
      </c>
      <c r="O819" s="8" t="str" cm="1">
        <f t="array" ref="O819">IF(SUMPRODUCT(OrderLines[UnitPrice],OrderLines[Qty],OrderLines[DiscountPct],--(OrderLines[OrderID] = OrderLines[[#This Row],[OrderID]]))&gt;40,"High Discount","Ok")</f>
        <v>Ok</v>
      </c>
      <c r="P819">
        <f>OrderLines[[#This Row],[UnitCost]]*OrderLines[[#This Row],[Qty]]</f>
        <v>16</v>
      </c>
      <c r="Q819" s="8">
        <f>OrderLines[[#This Row],[LineNetAmount]]-OrderLines[[#This Row],[Food Cost]]</f>
        <v>21.002400000000002</v>
      </c>
    </row>
    <row r="820" spans="1:17" x14ac:dyDescent="0.3">
      <c r="A820" t="s">
        <v>356</v>
      </c>
      <c r="B820" t="s">
        <v>412</v>
      </c>
      <c r="C820">
        <v>1</v>
      </c>
      <c r="D820" cm="1">
        <f t="array" ref="D820">VLOOKUP(OrderLines[[#This Row],[SKU]:[SKU]],Menu[],MATCH(OrderLines[[#Headers],[UnitPrice]],Menu[#Headers],0),FALSE)</f>
        <v>57.07</v>
      </c>
      <c r="E820" cm="1">
        <f t="array" ref="E820">VLOOKUP(OrderLines[[#This Row],[SKU]:[SKU]],Menu[],MATCH(OrderLines[[#Headers],[UnitCost]],Menu[#Headers],0),FALSE)</f>
        <v>29.14</v>
      </c>
      <c r="F820" t="str" cm="1">
        <f t="array" ref="F820">VLOOKUP(OrderLines[[#This Row],[SKU]:[SKU]],Menu[],MATCH(OrderLines[[#Headers],[Category]],Menu[#Headers],0),FALSE)</f>
        <v>Dessert</v>
      </c>
      <c r="G820" t="str" cm="1">
        <f t="array" ref="G820">_xlfn.TEXTJOIN("+",TRUE,_xlfn._xlws.SORT(_xlfn.UNIQUE(_xlfn._xlws.FILTER(OrderLines[Category],OrderLines[OrderID]=OrderLines[[#This Row],[OrderID]]))))</f>
        <v>Beverage+Dessert</v>
      </c>
      <c r="H820" s="2" cm="1">
        <f t="array" ref="H820">INT(VLOOKUP(OrderLines[[#This Row],[OrderID]:[OrderID]],Orders[],MATCH(OrderLines[[#Headers],[OrderDateTime]],Orders[#Headers],0),FALSE))</f>
        <v>45866</v>
      </c>
      <c r="I820" t="str" cm="1">
        <f t="array" ref="I820">VLOOKUP(OrderLines[[#This Row],[OrderID]:[OrderID]],Orders[],MATCH(OrderLines[[#Headers],[Branch]],Orders[#Headers],0),FALSE)</f>
        <v>Plant 2 Canteen</v>
      </c>
      <c r="J820" cm="1">
        <f t="array" ref="J820">VLOOKUP(OrderLines[[#This Row],[OrderID]:[OrderID]],Orders[],MATCH(OrderLines[[#Headers],[DiscountPct]],Orders[#Headers],0),FALSE)</f>
        <v>0.08</v>
      </c>
      <c r="K820" t="str" cm="1">
        <f t="array" ref="K820">VLOOKUP(OrderLines[[#This Row],[OrderID]:[OrderID]],Orders[],MATCH(OrderLines[[#Headers],[PaymentType]],Orders[#Headers],0),FALSE)</f>
        <v>UPI</v>
      </c>
      <c r="L820" t="str" cm="1">
        <f t="array" ref="L820">VLOOKUP(OrderLines[[#This Row],[OrderID]:[OrderID]],Orders[],MATCH(OrderLines[[#Headers],[Shift]],Orders[#Headers],0),FALSE)</f>
        <v>Lunch</v>
      </c>
      <c r="M820" s="8">
        <f>(OrderLines[[#This Row],[Qty]]*OrderLines[[#This Row],[UnitPrice]])*(1-OrderLines[[#This Row],[DiscountPct]])</f>
        <v>52.504400000000004</v>
      </c>
      <c r="N820" t="str">
        <f>IF(AND(COUNTIFS(OrderLines[OrderID],OrderLines[[#This Row],[OrderID]],OrderLines[Category],"Hot Meal"),COUNTIFS(OrderLines[OrderID],OrderLines[[#This Row],[OrderID]],OrderLines[Category],"Beverage")),"Combo","Single")</f>
        <v>Single</v>
      </c>
      <c r="O820" s="8" t="str" cm="1">
        <f t="array" ref="O820">IF(SUMPRODUCT(OrderLines[UnitPrice],OrderLines[Qty],OrderLines[DiscountPct],--(OrderLines[OrderID] = OrderLines[[#This Row],[OrderID]]))&gt;40,"High Discount","Ok")</f>
        <v>Ok</v>
      </c>
      <c r="P820">
        <f>OrderLines[[#This Row],[UnitCost]]*OrderLines[[#This Row],[Qty]]</f>
        <v>29.14</v>
      </c>
      <c r="Q820" s="8">
        <f>OrderLines[[#This Row],[LineNetAmount]]-OrderLines[[#This Row],[Food Cost]]</f>
        <v>23.364400000000003</v>
      </c>
    </row>
    <row r="821" spans="1:17" x14ac:dyDescent="0.3">
      <c r="A821" t="s">
        <v>357</v>
      </c>
      <c r="B821" t="s">
        <v>405</v>
      </c>
      <c r="C821">
        <v>2</v>
      </c>
      <c r="D821" cm="1">
        <f t="array" ref="D821">VLOOKUP(OrderLines[[#This Row],[SKU]:[SKU]],Menu[],MATCH(OrderLines[[#Headers],[UnitPrice]],Menu[#Headers],0),FALSE)</f>
        <v>170.83</v>
      </c>
      <c r="E821" cm="1">
        <f t="array" ref="E821">VLOOKUP(OrderLines[[#This Row],[SKU]:[SKU]],Menu[],MATCH(OrderLines[[#Headers],[UnitCost]],Menu[#Headers],0),FALSE)</f>
        <v>74.069999999999993</v>
      </c>
      <c r="F821" t="str" cm="1">
        <f t="array" ref="F821">VLOOKUP(OrderLines[[#This Row],[SKU]:[SKU]],Menu[],MATCH(OrderLines[[#Headers],[Category]],Menu[#Headers],0),FALSE)</f>
        <v>Hot Meal</v>
      </c>
      <c r="G821" t="str" cm="1">
        <f t="array" ref="G821">_xlfn.TEXTJOIN("+",TRUE,_xlfn._xlws.SORT(_xlfn.UNIQUE(_xlfn._xlws.FILTER(OrderLines[Category],OrderLines[OrderID]=OrderLines[[#This Row],[OrderID]]))))</f>
        <v>Hot Meal</v>
      </c>
      <c r="H821" s="2" cm="1">
        <f t="array" ref="H821">INT(VLOOKUP(OrderLines[[#This Row],[OrderID]:[OrderID]],Orders[],MATCH(OrderLines[[#Headers],[OrderDateTime]],Orders[#Headers],0),FALSE))</f>
        <v>45854</v>
      </c>
      <c r="I821" t="str" cm="1">
        <f t="array" ref="I821">VLOOKUP(OrderLines[[#This Row],[OrderID]:[OrderID]],Orders[],MATCH(OrderLines[[#Headers],[Branch]],Orders[#Headers],0),FALSE)</f>
        <v>Plant 1 Canteen</v>
      </c>
      <c r="J821" cm="1">
        <f t="array" ref="J821">VLOOKUP(OrderLines[[#This Row],[OrderID]:[OrderID]],Orders[],MATCH(OrderLines[[#Headers],[DiscountPct]],Orders[#Headers],0),FALSE)</f>
        <v>0.12</v>
      </c>
      <c r="K821" t="str" cm="1">
        <f t="array" ref="K821">VLOOKUP(OrderLines[[#This Row],[OrderID]:[OrderID]],Orders[],MATCH(OrderLines[[#Headers],[PaymentType]],Orders[#Headers],0),FALSE)</f>
        <v>Cash</v>
      </c>
      <c r="L821" t="str" cm="1">
        <f t="array" ref="L821">VLOOKUP(OrderLines[[#This Row],[OrderID]:[OrderID]],Orders[],MATCH(OrderLines[[#Headers],[Shift]],Orders[#Headers],0),FALSE)</f>
        <v>Dinner</v>
      </c>
      <c r="M821" s="8">
        <f>(OrderLines[[#This Row],[Qty]]*OrderLines[[#This Row],[UnitPrice]])*(1-OrderLines[[#This Row],[DiscountPct]])</f>
        <v>300.66080000000005</v>
      </c>
      <c r="N821" t="str">
        <f>IF(AND(COUNTIFS(OrderLines[OrderID],OrderLines[[#This Row],[OrderID]],OrderLines[Category],"Hot Meal"),COUNTIFS(OrderLines[OrderID],OrderLines[[#This Row],[OrderID]],OrderLines[Category],"Beverage")),"Combo","Single")</f>
        <v>Single</v>
      </c>
      <c r="O821" s="8" t="str" cm="1">
        <f t="array" ref="O821">IF(SUMPRODUCT(OrderLines[UnitPrice],OrderLines[Qty],OrderLines[DiscountPct],--(OrderLines[OrderID] = OrderLines[[#This Row],[OrderID]]))&gt;40,"High Discount","Ok")</f>
        <v>High Discount</v>
      </c>
      <c r="P821">
        <f>OrderLines[[#This Row],[UnitCost]]*OrderLines[[#This Row],[Qty]]</f>
        <v>148.13999999999999</v>
      </c>
      <c r="Q821" s="8">
        <f>OrderLines[[#This Row],[LineNetAmount]]-OrderLines[[#This Row],[Food Cost]]</f>
        <v>152.52080000000007</v>
      </c>
    </row>
    <row r="822" spans="1:17" x14ac:dyDescent="0.3">
      <c r="A822" t="s">
        <v>358</v>
      </c>
      <c r="B822" t="s">
        <v>401</v>
      </c>
      <c r="C822">
        <v>2</v>
      </c>
      <c r="D822" cm="1">
        <f t="array" ref="D822">VLOOKUP(OrderLines[[#This Row],[SKU]:[SKU]],Menu[],MATCH(OrderLines[[#Headers],[UnitPrice]],Menu[#Headers],0),FALSE)</f>
        <v>52.45</v>
      </c>
      <c r="E822" cm="1">
        <f t="array" ref="E822">VLOOKUP(OrderLines[[#This Row],[SKU]:[SKU]],Menu[],MATCH(OrderLines[[#Headers],[UnitCost]],Menu[#Headers],0),FALSE)</f>
        <v>25.8</v>
      </c>
      <c r="F822" t="str" cm="1">
        <f t="array" ref="F822">VLOOKUP(OrderLines[[#This Row],[SKU]:[SKU]],Menu[],MATCH(OrderLines[[#Headers],[Category]],Menu[#Headers],0),FALSE)</f>
        <v>Snack</v>
      </c>
      <c r="G822" t="str" cm="1">
        <f t="array" ref="G822">_xlfn.TEXTJOIN("+",TRUE,_xlfn._xlws.SORT(_xlfn.UNIQUE(_xlfn._xlws.FILTER(OrderLines[Category],OrderLines[OrderID]=OrderLines[[#This Row],[OrderID]]))))</f>
        <v>Beverage+Dessert+Hot Meal+Snack</v>
      </c>
      <c r="H822" s="2" cm="1">
        <f t="array" ref="H822">INT(VLOOKUP(OrderLines[[#This Row],[OrderID]:[OrderID]],Orders[],MATCH(OrderLines[[#Headers],[OrderDateTime]],Orders[#Headers],0),FALSE))</f>
        <v>45844</v>
      </c>
      <c r="I822" t="str" cm="1">
        <f t="array" ref="I822">VLOOKUP(OrderLines[[#This Row],[OrderID]:[OrderID]],Orders[],MATCH(OrderLines[[#Headers],[Branch]],Orders[#Headers],0),FALSE)</f>
        <v>Head Office Café</v>
      </c>
      <c r="J822" cm="1">
        <f t="array" ref="J822">VLOOKUP(OrderLines[[#This Row],[OrderID]:[OrderID]],Orders[],MATCH(OrderLines[[#Headers],[DiscountPct]],Orders[#Headers],0),FALSE)</f>
        <v>0.06</v>
      </c>
      <c r="K822" t="str" cm="1">
        <f t="array" ref="K822">VLOOKUP(OrderLines[[#This Row],[OrderID]:[OrderID]],Orders[],MATCH(OrderLines[[#Headers],[PaymentType]],Orders[#Headers],0),FALSE)</f>
        <v>Card</v>
      </c>
      <c r="L822" t="str" cm="1">
        <f t="array" ref="L822">VLOOKUP(OrderLines[[#This Row],[OrderID]:[OrderID]],Orders[],MATCH(OrderLines[[#Headers],[Shift]],Orders[#Headers],0),FALSE)</f>
        <v>Breakfast</v>
      </c>
      <c r="M822" s="8">
        <f>(OrderLines[[#This Row],[Qty]]*OrderLines[[#This Row],[UnitPrice]])*(1-OrderLines[[#This Row],[DiscountPct]])</f>
        <v>98.605999999999995</v>
      </c>
      <c r="N822" t="str">
        <f>IF(AND(COUNTIFS(OrderLines[OrderID],OrderLines[[#This Row],[OrderID]],OrderLines[Category],"Hot Meal"),COUNTIFS(OrderLines[OrderID],OrderLines[[#This Row],[OrderID]],OrderLines[Category],"Beverage")),"Combo","Single")</f>
        <v>Combo</v>
      </c>
      <c r="O822" s="8" t="str" cm="1">
        <f t="array" ref="O822">IF(SUMPRODUCT(OrderLines[UnitPrice],OrderLines[Qty],OrderLines[DiscountPct],--(OrderLines[OrderID] = OrderLines[[#This Row],[OrderID]]))&gt;40,"High Discount","Ok")</f>
        <v>Ok</v>
      </c>
      <c r="P822">
        <f>OrderLines[[#This Row],[UnitCost]]*OrderLines[[#This Row],[Qty]]</f>
        <v>51.6</v>
      </c>
      <c r="Q822" s="8">
        <f>OrderLines[[#This Row],[LineNetAmount]]-OrderLines[[#This Row],[Food Cost]]</f>
        <v>47.005999999999993</v>
      </c>
    </row>
    <row r="823" spans="1:17" x14ac:dyDescent="0.3">
      <c r="A823" t="s">
        <v>358</v>
      </c>
      <c r="B823" t="s">
        <v>409</v>
      </c>
      <c r="C823">
        <v>1</v>
      </c>
      <c r="D823" cm="1">
        <f t="array" ref="D823">VLOOKUP(OrderLines[[#This Row],[SKU]:[SKU]],Menu[],MATCH(OrderLines[[#Headers],[UnitPrice]],Menu[#Headers],0),FALSE)</f>
        <v>28.43</v>
      </c>
      <c r="E823" cm="1">
        <f t="array" ref="E823">VLOOKUP(OrderLines[[#This Row],[SKU]:[SKU]],Menu[],MATCH(OrderLines[[#Headers],[UnitCost]],Menu[#Headers],0),FALSE)</f>
        <v>13.89</v>
      </c>
      <c r="F823" t="str" cm="1">
        <f t="array" ref="F823">VLOOKUP(OrderLines[[#This Row],[SKU]:[SKU]],Menu[],MATCH(OrderLines[[#Headers],[Category]],Menu[#Headers],0),FALSE)</f>
        <v>Beverage</v>
      </c>
      <c r="G823" t="str" cm="1">
        <f t="array" ref="G823">_xlfn.TEXTJOIN("+",TRUE,_xlfn._xlws.SORT(_xlfn.UNIQUE(_xlfn._xlws.FILTER(OrderLines[Category],OrderLines[OrderID]=OrderLines[[#This Row],[OrderID]]))))</f>
        <v>Beverage+Dessert+Hot Meal+Snack</v>
      </c>
      <c r="H823" s="2" cm="1">
        <f t="array" ref="H823">INT(VLOOKUP(OrderLines[[#This Row],[OrderID]:[OrderID]],Orders[],MATCH(OrderLines[[#Headers],[OrderDateTime]],Orders[#Headers],0),FALSE))</f>
        <v>45844</v>
      </c>
      <c r="I823" t="str" cm="1">
        <f t="array" ref="I823">VLOOKUP(OrderLines[[#This Row],[OrderID]:[OrderID]],Orders[],MATCH(OrderLines[[#Headers],[Branch]],Orders[#Headers],0),FALSE)</f>
        <v>Head Office Café</v>
      </c>
      <c r="J823" cm="1">
        <f t="array" ref="J823">VLOOKUP(OrderLines[[#This Row],[OrderID]:[OrderID]],Orders[],MATCH(OrderLines[[#Headers],[DiscountPct]],Orders[#Headers],0),FALSE)</f>
        <v>0.06</v>
      </c>
      <c r="K823" t="str" cm="1">
        <f t="array" ref="K823">VLOOKUP(OrderLines[[#This Row],[OrderID]:[OrderID]],Orders[],MATCH(OrderLines[[#Headers],[PaymentType]],Orders[#Headers],0),FALSE)</f>
        <v>Card</v>
      </c>
      <c r="L823" t="str" cm="1">
        <f t="array" ref="L823">VLOOKUP(OrderLines[[#This Row],[OrderID]:[OrderID]],Orders[],MATCH(OrderLines[[#Headers],[Shift]],Orders[#Headers],0),FALSE)</f>
        <v>Breakfast</v>
      </c>
      <c r="M823" s="8">
        <f>(OrderLines[[#This Row],[Qty]]*OrderLines[[#This Row],[UnitPrice]])*(1-OrderLines[[#This Row],[DiscountPct]])</f>
        <v>26.7242</v>
      </c>
      <c r="N823" t="str">
        <f>IF(AND(COUNTIFS(OrderLines[OrderID],OrderLines[[#This Row],[OrderID]],OrderLines[Category],"Hot Meal"),COUNTIFS(OrderLines[OrderID],OrderLines[[#This Row],[OrderID]],OrderLines[Category],"Beverage")),"Combo","Single")</f>
        <v>Combo</v>
      </c>
      <c r="O823" s="8" t="str" cm="1">
        <f t="array" ref="O823">IF(SUMPRODUCT(OrderLines[UnitPrice],OrderLines[Qty],OrderLines[DiscountPct],--(OrderLines[OrderID] = OrderLines[[#This Row],[OrderID]]))&gt;40,"High Discount","Ok")</f>
        <v>Ok</v>
      </c>
      <c r="P823">
        <f>OrderLines[[#This Row],[UnitCost]]*OrderLines[[#This Row],[Qty]]</f>
        <v>13.89</v>
      </c>
      <c r="Q823" s="8">
        <f>OrderLines[[#This Row],[LineNetAmount]]-OrderLines[[#This Row],[Food Cost]]</f>
        <v>12.834199999999999</v>
      </c>
    </row>
    <row r="824" spans="1:17" x14ac:dyDescent="0.3">
      <c r="A824" t="s">
        <v>358</v>
      </c>
      <c r="B824" t="s">
        <v>414</v>
      </c>
      <c r="C824">
        <v>3</v>
      </c>
      <c r="D824" cm="1">
        <f t="array" ref="D824">VLOOKUP(OrderLines[[#This Row],[SKU]:[SKU]],Menu[],MATCH(OrderLines[[#Headers],[UnitPrice]],Menu[#Headers],0),FALSE)</f>
        <v>116.8</v>
      </c>
      <c r="E824" cm="1">
        <f t="array" ref="E824">VLOOKUP(OrderLines[[#This Row],[SKU]:[SKU]],Menu[],MATCH(OrderLines[[#Headers],[UnitCost]],Menu[#Headers],0),FALSE)</f>
        <v>48.97</v>
      </c>
      <c r="F824" t="str" cm="1">
        <f t="array" ref="F824">VLOOKUP(OrderLines[[#This Row],[SKU]:[SKU]],Menu[],MATCH(OrderLines[[#Headers],[Category]],Menu[#Headers],0),FALSE)</f>
        <v>Dessert</v>
      </c>
      <c r="G824" t="str" cm="1">
        <f t="array" ref="G824">_xlfn.TEXTJOIN("+",TRUE,_xlfn._xlws.SORT(_xlfn.UNIQUE(_xlfn._xlws.FILTER(OrderLines[Category],OrderLines[OrderID]=OrderLines[[#This Row],[OrderID]]))))</f>
        <v>Beverage+Dessert+Hot Meal+Snack</v>
      </c>
      <c r="H824" s="2" cm="1">
        <f t="array" ref="H824">INT(VLOOKUP(OrderLines[[#This Row],[OrderID]:[OrderID]],Orders[],MATCH(OrderLines[[#Headers],[OrderDateTime]],Orders[#Headers],0),FALSE))</f>
        <v>45844</v>
      </c>
      <c r="I824" t="str" cm="1">
        <f t="array" ref="I824">VLOOKUP(OrderLines[[#This Row],[OrderID]:[OrderID]],Orders[],MATCH(OrderLines[[#Headers],[Branch]],Orders[#Headers],0),FALSE)</f>
        <v>Head Office Café</v>
      </c>
      <c r="J824" cm="1">
        <f t="array" ref="J824">VLOOKUP(OrderLines[[#This Row],[OrderID]:[OrderID]],Orders[],MATCH(OrderLines[[#Headers],[DiscountPct]],Orders[#Headers],0),FALSE)</f>
        <v>0.06</v>
      </c>
      <c r="K824" t="str" cm="1">
        <f t="array" ref="K824">VLOOKUP(OrderLines[[#This Row],[OrderID]:[OrderID]],Orders[],MATCH(OrderLines[[#Headers],[PaymentType]],Orders[#Headers],0),FALSE)</f>
        <v>Card</v>
      </c>
      <c r="L824" t="str" cm="1">
        <f t="array" ref="L824">VLOOKUP(OrderLines[[#This Row],[OrderID]:[OrderID]],Orders[],MATCH(OrderLines[[#Headers],[Shift]],Orders[#Headers],0),FALSE)</f>
        <v>Breakfast</v>
      </c>
      <c r="M824" s="8">
        <f>(OrderLines[[#This Row],[Qty]]*OrderLines[[#This Row],[UnitPrice]])*(1-OrderLines[[#This Row],[DiscountPct]])</f>
        <v>329.37599999999998</v>
      </c>
      <c r="N824" t="str">
        <f>IF(AND(COUNTIFS(OrderLines[OrderID],OrderLines[[#This Row],[OrderID]],OrderLines[Category],"Hot Meal"),COUNTIFS(OrderLines[OrderID],OrderLines[[#This Row],[OrderID]],OrderLines[Category],"Beverage")),"Combo","Single")</f>
        <v>Combo</v>
      </c>
      <c r="O824" s="8" t="str" cm="1">
        <f t="array" ref="O824">IF(SUMPRODUCT(OrderLines[UnitPrice],OrderLines[Qty],OrderLines[DiscountPct],--(OrderLines[OrderID] = OrderLines[[#This Row],[OrderID]]))&gt;40,"High Discount","Ok")</f>
        <v>Ok</v>
      </c>
      <c r="P824">
        <f>OrderLines[[#This Row],[UnitCost]]*OrderLines[[#This Row],[Qty]]</f>
        <v>146.91</v>
      </c>
      <c r="Q824" s="8">
        <f>OrderLines[[#This Row],[LineNetAmount]]-OrderLines[[#This Row],[Food Cost]]</f>
        <v>182.46599999999998</v>
      </c>
    </row>
    <row r="825" spans="1:17" x14ac:dyDescent="0.3">
      <c r="A825" t="s">
        <v>358</v>
      </c>
      <c r="B825" t="s">
        <v>417</v>
      </c>
      <c r="C825">
        <v>1</v>
      </c>
      <c r="D825" cm="1">
        <f t="array" ref="D825">VLOOKUP(OrderLines[[#This Row],[SKU]:[SKU]],Menu[],MATCH(OrderLines[[#Headers],[UnitPrice]],Menu[#Headers],0),FALSE)</f>
        <v>146.4</v>
      </c>
      <c r="E825" cm="1">
        <f t="array" ref="E825">VLOOKUP(OrderLines[[#This Row],[SKU]:[SKU]],Menu[],MATCH(OrderLines[[#Headers],[UnitCost]],Menu[#Headers],0),FALSE)</f>
        <v>80.92</v>
      </c>
      <c r="F825" t="str" cm="1">
        <f t="array" ref="F825">VLOOKUP(OrderLines[[#This Row],[SKU]:[SKU]],Menu[],MATCH(OrderLines[[#Headers],[Category]],Menu[#Headers],0),FALSE)</f>
        <v>Hot Meal</v>
      </c>
      <c r="G825" t="str" cm="1">
        <f t="array" ref="G825">_xlfn.TEXTJOIN("+",TRUE,_xlfn._xlws.SORT(_xlfn.UNIQUE(_xlfn._xlws.FILTER(OrderLines[Category],OrderLines[OrderID]=OrderLines[[#This Row],[OrderID]]))))</f>
        <v>Beverage+Dessert+Hot Meal+Snack</v>
      </c>
      <c r="H825" s="2" cm="1">
        <f t="array" ref="H825">INT(VLOOKUP(OrderLines[[#This Row],[OrderID]:[OrderID]],Orders[],MATCH(OrderLines[[#Headers],[OrderDateTime]],Orders[#Headers],0),FALSE))</f>
        <v>45844</v>
      </c>
      <c r="I825" t="str" cm="1">
        <f t="array" ref="I825">VLOOKUP(OrderLines[[#This Row],[OrderID]:[OrderID]],Orders[],MATCH(OrderLines[[#Headers],[Branch]],Orders[#Headers],0),FALSE)</f>
        <v>Head Office Café</v>
      </c>
      <c r="J825" cm="1">
        <f t="array" ref="J825">VLOOKUP(OrderLines[[#This Row],[OrderID]:[OrderID]],Orders[],MATCH(OrderLines[[#Headers],[DiscountPct]],Orders[#Headers],0),FALSE)</f>
        <v>0.06</v>
      </c>
      <c r="K825" t="str" cm="1">
        <f t="array" ref="K825">VLOOKUP(OrderLines[[#This Row],[OrderID]:[OrderID]],Orders[],MATCH(OrderLines[[#Headers],[PaymentType]],Orders[#Headers],0),FALSE)</f>
        <v>Card</v>
      </c>
      <c r="L825" t="str" cm="1">
        <f t="array" ref="L825">VLOOKUP(OrderLines[[#This Row],[OrderID]:[OrderID]],Orders[],MATCH(OrderLines[[#Headers],[Shift]],Orders[#Headers],0),FALSE)</f>
        <v>Breakfast</v>
      </c>
      <c r="M825" s="8">
        <f>(OrderLines[[#This Row],[Qty]]*OrderLines[[#This Row],[UnitPrice]])*(1-OrderLines[[#This Row],[DiscountPct]])</f>
        <v>137.61599999999999</v>
      </c>
      <c r="N825" t="str">
        <f>IF(AND(COUNTIFS(OrderLines[OrderID],OrderLines[[#This Row],[OrderID]],OrderLines[Category],"Hot Meal"),COUNTIFS(OrderLines[OrderID],OrderLines[[#This Row],[OrderID]],OrderLines[Category],"Beverage")),"Combo","Single")</f>
        <v>Combo</v>
      </c>
      <c r="O825" s="8" t="str" cm="1">
        <f t="array" ref="O825">IF(SUMPRODUCT(OrderLines[UnitPrice],OrderLines[Qty],OrderLines[DiscountPct],--(OrderLines[OrderID] = OrderLines[[#This Row],[OrderID]]))&gt;40,"High Discount","Ok")</f>
        <v>Ok</v>
      </c>
      <c r="P825">
        <f>OrderLines[[#This Row],[UnitCost]]*OrderLines[[#This Row],[Qty]]</f>
        <v>80.92</v>
      </c>
      <c r="Q825" s="8">
        <f>OrderLines[[#This Row],[LineNetAmount]]-OrderLines[[#This Row],[Food Cost]]</f>
        <v>56.695999999999984</v>
      </c>
    </row>
    <row r="826" spans="1:17" x14ac:dyDescent="0.3">
      <c r="A826" t="s">
        <v>359</v>
      </c>
      <c r="B826" t="s">
        <v>407</v>
      </c>
      <c r="C826">
        <v>1</v>
      </c>
      <c r="D826" cm="1">
        <f t="array" ref="D826">VLOOKUP(OrderLines[[#This Row],[SKU]:[SKU]],Menu[],MATCH(OrderLines[[#Headers],[UnitPrice]],Menu[#Headers],0),FALSE)</f>
        <v>246.09</v>
      </c>
      <c r="E826" cm="1">
        <f t="array" ref="E826">VLOOKUP(OrderLines[[#This Row],[SKU]:[SKU]],Menu[],MATCH(OrderLines[[#Headers],[UnitCost]],Menu[#Headers],0),FALSE)</f>
        <v>112.08</v>
      </c>
      <c r="F826" t="str" cm="1">
        <f t="array" ref="F826">VLOOKUP(OrderLines[[#This Row],[SKU]:[SKU]],Menu[],MATCH(OrderLines[[#Headers],[Category]],Menu[#Headers],0),FALSE)</f>
        <v>Hot Meal</v>
      </c>
      <c r="G826" t="str" cm="1">
        <f t="array" ref="G826">_xlfn.TEXTJOIN("+",TRUE,_xlfn._xlws.SORT(_xlfn.UNIQUE(_xlfn._xlws.FILTER(OrderLines[Category],OrderLines[OrderID]=OrderLines[[#This Row],[OrderID]]))))</f>
        <v>Beverage+Dessert+Hot Meal</v>
      </c>
      <c r="H826" s="2" cm="1">
        <f t="array" ref="H826">INT(VLOOKUP(OrderLines[[#This Row],[OrderID]:[OrderID]],Orders[],MATCH(OrderLines[[#Headers],[OrderDateTime]],Orders[#Headers],0),FALSE))</f>
        <v>45849</v>
      </c>
      <c r="I826" t="str" cm="1">
        <f t="array" ref="I826">VLOOKUP(OrderLines[[#This Row],[OrderID]:[OrderID]],Orders[],MATCH(OrderLines[[#Headers],[Branch]],Orders[#Headers],0),FALSE)</f>
        <v>Head Office Café</v>
      </c>
      <c r="J826" cm="1">
        <f t="array" ref="J826">VLOOKUP(OrderLines[[#This Row],[OrderID]:[OrderID]],Orders[],MATCH(OrderLines[[#Headers],[DiscountPct]],Orders[#Headers],0),FALSE)</f>
        <v>0.08</v>
      </c>
      <c r="K826" t="str" cm="1">
        <f t="array" ref="K826">VLOOKUP(OrderLines[[#This Row],[OrderID]:[OrderID]],Orders[],MATCH(OrderLines[[#Headers],[PaymentType]],Orders[#Headers],0),FALSE)</f>
        <v>Cash</v>
      </c>
      <c r="L826" t="str" cm="1">
        <f t="array" ref="L826">VLOOKUP(OrderLines[[#This Row],[OrderID]:[OrderID]],Orders[],MATCH(OrderLines[[#Headers],[Shift]],Orders[#Headers],0),FALSE)</f>
        <v>Breakfast</v>
      </c>
      <c r="M826" s="8">
        <f>(OrderLines[[#This Row],[Qty]]*OrderLines[[#This Row],[UnitPrice]])*(1-OrderLines[[#This Row],[DiscountPct]])</f>
        <v>226.40280000000001</v>
      </c>
      <c r="N826" t="str">
        <f>IF(AND(COUNTIFS(OrderLines[OrderID],OrderLines[[#This Row],[OrderID]],OrderLines[Category],"Hot Meal"),COUNTIFS(OrderLines[OrderID],OrderLines[[#This Row],[OrderID]],OrderLines[Category],"Beverage")),"Combo","Single")</f>
        <v>Combo</v>
      </c>
      <c r="O826" s="8" t="str" cm="1">
        <f t="array" ref="O826">IF(SUMPRODUCT(OrderLines[UnitPrice],OrderLines[Qty],OrderLines[DiscountPct],--(OrderLines[OrderID] = OrderLines[[#This Row],[OrderID]]))&gt;40,"High Discount","Ok")</f>
        <v>High Discount</v>
      </c>
      <c r="P826">
        <f>OrderLines[[#This Row],[UnitCost]]*OrderLines[[#This Row],[Qty]]</f>
        <v>112.08</v>
      </c>
      <c r="Q826" s="8">
        <f>OrderLines[[#This Row],[LineNetAmount]]-OrderLines[[#This Row],[Food Cost]]</f>
        <v>114.32280000000002</v>
      </c>
    </row>
    <row r="827" spans="1:17" x14ac:dyDescent="0.3">
      <c r="A827" t="s">
        <v>359</v>
      </c>
      <c r="B827" t="s">
        <v>411</v>
      </c>
      <c r="C827">
        <v>2</v>
      </c>
      <c r="D827" cm="1">
        <f t="array" ref="D827">VLOOKUP(OrderLines[[#This Row],[SKU]:[SKU]],Menu[],MATCH(OrderLines[[#Headers],[UnitPrice]],Menu[#Headers],0),FALSE)</f>
        <v>22.2</v>
      </c>
      <c r="E827" cm="1">
        <f t="array" ref="E827">VLOOKUP(OrderLines[[#This Row],[SKU]:[SKU]],Menu[],MATCH(OrderLines[[#Headers],[UnitCost]],Menu[#Headers],0),FALSE)</f>
        <v>9.3800000000000008</v>
      </c>
      <c r="F827" t="str" cm="1">
        <f t="array" ref="F827">VLOOKUP(OrderLines[[#This Row],[SKU]:[SKU]],Menu[],MATCH(OrderLines[[#Headers],[Category]],Menu[#Headers],0),FALSE)</f>
        <v>Beverage</v>
      </c>
      <c r="G827" t="str" cm="1">
        <f t="array" ref="G827">_xlfn.TEXTJOIN("+",TRUE,_xlfn._xlws.SORT(_xlfn.UNIQUE(_xlfn._xlws.FILTER(OrderLines[Category],OrderLines[OrderID]=OrderLines[[#This Row],[OrderID]]))))</f>
        <v>Beverage+Dessert+Hot Meal</v>
      </c>
      <c r="H827" s="2" cm="1">
        <f t="array" ref="H827">INT(VLOOKUP(OrderLines[[#This Row],[OrderID]:[OrderID]],Orders[],MATCH(OrderLines[[#Headers],[OrderDateTime]],Orders[#Headers],0),FALSE))</f>
        <v>45849</v>
      </c>
      <c r="I827" t="str" cm="1">
        <f t="array" ref="I827">VLOOKUP(OrderLines[[#This Row],[OrderID]:[OrderID]],Orders[],MATCH(OrderLines[[#Headers],[Branch]],Orders[#Headers],0),FALSE)</f>
        <v>Head Office Café</v>
      </c>
      <c r="J827" cm="1">
        <f t="array" ref="J827">VLOOKUP(OrderLines[[#This Row],[OrderID]:[OrderID]],Orders[],MATCH(OrderLines[[#Headers],[DiscountPct]],Orders[#Headers],0),FALSE)</f>
        <v>0.08</v>
      </c>
      <c r="K827" t="str" cm="1">
        <f t="array" ref="K827">VLOOKUP(OrderLines[[#This Row],[OrderID]:[OrderID]],Orders[],MATCH(OrderLines[[#Headers],[PaymentType]],Orders[#Headers],0),FALSE)</f>
        <v>Cash</v>
      </c>
      <c r="L827" t="str" cm="1">
        <f t="array" ref="L827">VLOOKUP(OrderLines[[#This Row],[OrderID]:[OrderID]],Orders[],MATCH(OrderLines[[#Headers],[Shift]],Orders[#Headers],0),FALSE)</f>
        <v>Breakfast</v>
      </c>
      <c r="M827" s="8">
        <f>(OrderLines[[#This Row],[Qty]]*OrderLines[[#This Row],[UnitPrice]])*(1-OrderLines[[#This Row],[DiscountPct]])</f>
        <v>40.847999999999999</v>
      </c>
      <c r="N827" t="str">
        <f>IF(AND(COUNTIFS(OrderLines[OrderID],OrderLines[[#This Row],[OrderID]],OrderLines[Category],"Hot Meal"),COUNTIFS(OrderLines[OrderID],OrderLines[[#This Row],[OrderID]],OrderLines[Category],"Beverage")),"Combo","Single")</f>
        <v>Combo</v>
      </c>
      <c r="O827" s="8" t="str" cm="1">
        <f t="array" ref="O827">IF(SUMPRODUCT(OrderLines[UnitPrice],OrderLines[Qty],OrderLines[DiscountPct],--(OrderLines[OrderID] = OrderLines[[#This Row],[OrderID]]))&gt;40,"High Discount","Ok")</f>
        <v>High Discount</v>
      </c>
      <c r="P827">
        <f>OrderLines[[#This Row],[UnitCost]]*OrderLines[[#This Row],[Qty]]</f>
        <v>18.760000000000002</v>
      </c>
      <c r="Q827" s="8">
        <f>OrderLines[[#This Row],[LineNetAmount]]-OrderLines[[#This Row],[Food Cost]]</f>
        <v>22.087999999999997</v>
      </c>
    </row>
    <row r="828" spans="1:17" x14ac:dyDescent="0.3">
      <c r="A828" t="s">
        <v>359</v>
      </c>
      <c r="B828" t="s">
        <v>409</v>
      </c>
      <c r="C828">
        <v>3</v>
      </c>
      <c r="D828" cm="1">
        <f t="array" ref="D828">VLOOKUP(OrderLines[[#This Row],[SKU]:[SKU]],Menu[],MATCH(OrderLines[[#Headers],[UnitPrice]],Menu[#Headers],0),FALSE)</f>
        <v>28.43</v>
      </c>
      <c r="E828" cm="1">
        <f t="array" ref="E828">VLOOKUP(OrderLines[[#This Row],[SKU]:[SKU]],Menu[],MATCH(OrderLines[[#Headers],[UnitCost]],Menu[#Headers],0),FALSE)</f>
        <v>13.89</v>
      </c>
      <c r="F828" t="str" cm="1">
        <f t="array" ref="F828">VLOOKUP(OrderLines[[#This Row],[SKU]:[SKU]],Menu[],MATCH(OrderLines[[#Headers],[Category]],Menu[#Headers],0),FALSE)</f>
        <v>Beverage</v>
      </c>
      <c r="G828" t="str" cm="1">
        <f t="array" ref="G828">_xlfn.TEXTJOIN("+",TRUE,_xlfn._xlws.SORT(_xlfn.UNIQUE(_xlfn._xlws.FILTER(OrderLines[Category],OrderLines[OrderID]=OrderLines[[#This Row],[OrderID]]))))</f>
        <v>Beverage+Dessert+Hot Meal</v>
      </c>
      <c r="H828" s="2" cm="1">
        <f t="array" ref="H828">INT(VLOOKUP(OrderLines[[#This Row],[OrderID]:[OrderID]],Orders[],MATCH(OrderLines[[#Headers],[OrderDateTime]],Orders[#Headers],0),FALSE))</f>
        <v>45849</v>
      </c>
      <c r="I828" t="str" cm="1">
        <f t="array" ref="I828">VLOOKUP(OrderLines[[#This Row],[OrderID]:[OrderID]],Orders[],MATCH(OrderLines[[#Headers],[Branch]],Orders[#Headers],0),FALSE)</f>
        <v>Head Office Café</v>
      </c>
      <c r="J828" cm="1">
        <f t="array" ref="J828">VLOOKUP(OrderLines[[#This Row],[OrderID]:[OrderID]],Orders[],MATCH(OrderLines[[#Headers],[DiscountPct]],Orders[#Headers],0),FALSE)</f>
        <v>0.08</v>
      </c>
      <c r="K828" t="str" cm="1">
        <f t="array" ref="K828">VLOOKUP(OrderLines[[#This Row],[OrderID]:[OrderID]],Orders[],MATCH(OrderLines[[#Headers],[PaymentType]],Orders[#Headers],0),FALSE)</f>
        <v>Cash</v>
      </c>
      <c r="L828" t="str" cm="1">
        <f t="array" ref="L828">VLOOKUP(OrderLines[[#This Row],[OrderID]:[OrderID]],Orders[],MATCH(OrderLines[[#Headers],[Shift]],Orders[#Headers],0),FALSE)</f>
        <v>Breakfast</v>
      </c>
      <c r="M828" s="8">
        <f>(OrderLines[[#This Row],[Qty]]*OrderLines[[#This Row],[UnitPrice]])*(1-OrderLines[[#This Row],[DiscountPct]])</f>
        <v>78.466799999999992</v>
      </c>
      <c r="N828" t="str">
        <f>IF(AND(COUNTIFS(OrderLines[OrderID],OrderLines[[#This Row],[OrderID]],OrderLines[Category],"Hot Meal"),COUNTIFS(OrderLines[OrderID],OrderLines[[#This Row],[OrderID]],OrderLines[Category],"Beverage")),"Combo","Single")</f>
        <v>Combo</v>
      </c>
      <c r="O828" s="8" t="str" cm="1">
        <f t="array" ref="O828">IF(SUMPRODUCT(OrderLines[UnitPrice],OrderLines[Qty],OrderLines[DiscountPct],--(OrderLines[OrderID] = OrderLines[[#This Row],[OrderID]]))&gt;40,"High Discount","Ok")</f>
        <v>High Discount</v>
      </c>
      <c r="P828">
        <f>OrderLines[[#This Row],[UnitCost]]*OrderLines[[#This Row],[Qty]]</f>
        <v>41.67</v>
      </c>
      <c r="Q828" s="8">
        <f>OrderLines[[#This Row],[LineNetAmount]]-OrderLines[[#This Row],[Food Cost]]</f>
        <v>36.79679999999999</v>
      </c>
    </row>
    <row r="829" spans="1:17" x14ac:dyDescent="0.3">
      <c r="A829" t="s">
        <v>359</v>
      </c>
      <c r="B829" t="s">
        <v>414</v>
      </c>
      <c r="C829">
        <v>3</v>
      </c>
      <c r="D829" cm="1">
        <f t="array" ref="D829">VLOOKUP(OrderLines[[#This Row],[SKU]:[SKU]],Menu[],MATCH(OrderLines[[#Headers],[UnitPrice]],Menu[#Headers],0),FALSE)</f>
        <v>116.8</v>
      </c>
      <c r="E829" cm="1">
        <f t="array" ref="E829">VLOOKUP(OrderLines[[#This Row],[SKU]:[SKU]],Menu[],MATCH(OrderLines[[#Headers],[UnitCost]],Menu[#Headers],0),FALSE)</f>
        <v>48.97</v>
      </c>
      <c r="F829" t="str" cm="1">
        <f t="array" ref="F829">VLOOKUP(OrderLines[[#This Row],[SKU]:[SKU]],Menu[],MATCH(OrderLines[[#Headers],[Category]],Menu[#Headers],0),FALSE)</f>
        <v>Dessert</v>
      </c>
      <c r="G829" t="str" cm="1">
        <f t="array" ref="G829">_xlfn.TEXTJOIN("+",TRUE,_xlfn._xlws.SORT(_xlfn.UNIQUE(_xlfn._xlws.FILTER(OrderLines[Category],OrderLines[OrderID]=OrderLines[[#This Row],[OrderID]]))))</f>
        <v>Beverage+Dessert+Hot Meal</v>
      </c>
      <c r="H829" s="2" cm="1">
        <f t="array" ref="H829">INT(VLOOKUP(OrderLines[[#This Row],[OrderID]:[OrderID]],Orders[],MATCH(OrderLines[[#Headers],[OrderDateTime]],Orders[#Headers],0),FALSE))</f>
        <v>45849</v>
      </c>
      <c r="I829" t="str" cm="1">
        <f t="array" ref="I829">VLOOKUP(OrderLines[[#This Row],[OrderID]:[OrderID]],Orders[],MATCH(OrderLines[[#Headers],[Branch]],Orders[#Headers],0),FALSE)</f>
        <v>Head Office Café</v>
      </c>
      <c r="J829" cm="1">
        <f t="array" ref="J829">VLOOKUP(OrderLines[[#This Row],[OrderID]:[OrderID]],Orders[],MATCH(OrderLines[[#Headers],[DiscountPct]],Orders[#Headers],0),FALSE)</f>
        <v>0.08</v>
      </c>
      <c r="K829" t="str" cm="1">
        <f t="array" ref="K829">VLOOKUP(OrderLines[[#This Row],[OrderID]:[OrderID]],Orders[],MATCH(OrderLines[[#Headers],[PaymentType]],Orders[#Headers],0),FALSE)</f>
        <v>Cash</v>
      </c>
      <c r="L829" t="str" cm="1">
        <f t="array" ref="L829">VLOOKUP(OrderLines[[#This Row],[OrderID]:[OrderID]],Orders[],MATCH(OrderLines[[#Headers],[Shift]],Orders[#Headers],0),FALSE)</f>
        <v>Breakfast</v>
      </c>
      <c r="M829" s="8">
        <f>(OrderLines[[#This Row],[Qty]]*OrderLines[[#This Row],[UnitPrice]])*(1-OrderLines[[#This Row],[DiscountPct]])</f>
        <v>322.36799999999999</v>
      </c>
      <c r="N829" t="str">
        <f>IF(AND(COUNTIFS(OrderLines[OrderID],OrderLines[[#This Row],[OrderID]],OrderLines[Category],"Hot Meal"),COUNTIFS(OrderLines[OrderID],OrderLines[[#This Row],[OrderID]],OrderLines[Category],"Beverage")),"Combo","Single")</f>
        <v>Combo</v>
      </c>
      <c r="O829" s="8" t="str" cm="1">
        <f t="array" ref="O829">IF(SUMPRODUCT(OrderLines[UnitPrice],OrderLines[Qty],OrderLines[DiscountPct],--(OrderLines[OrderID] = OrderLines[[#This Row],[OrderID]]))&gt;40,"High Discount","Ok")</f>
        <v>High Discount</v>
      </c>
      <c r="P829">
        <f>OrderLines[[#This Row],[UnitCost]]*OrderLines[[#This Row],[Qty]]</f>
        <v>146.91</v>
      </c>
      <c r="Q829" s="8">
        <f>OrderLines[[#This Row],[LineNetAmount]]-OrderLines[[#This Row],[Food Cost]]</f>
        <v>175.458</v>
      </c>
    </row>
    <row r="830" spans="1:17" x14ac:dyDescent="0.3">
      <c r="A830" t="s">
        <v>360</v>
      </c>
      <c r="B830" t="s">
        <v>414</v>
      </c>
      <c r="C830">
        <v>1</v>
      </c>
      <c r="D830" cm="1">
        <f t="array" ref="D830">VLOOKUP(OrderLines[[#This Row],[SKU]:[SKU]],Menu[],MATCH(OrderLines[[#Headers],[UnitPrice]],Menu[#Headers],0),FALSE)</f>
        <v>116.8</v>
      </c>
      <c r="E830" cm="1">
        <f t="array" ref="E830">VLOOKUP(OrderLines[[#This Row],[SKU]:[SKU]],Menu[],MATCH(OrderLines[[#Headers],[UnitCost]],Menu[#Headers],0),FALSE)</f>
        <v>48.97</v>
      </c>
      <c r="F830" t="str" cm="1">
        <f t="array" ref="F830">VLOOKUP(OrderLines[[#This Row],[SKU]:[SKU]],Menu[],MATCH(OrderLines[[#Headers],[Category]],Menu[#Headers],0),FALSE)</f>
        <v>Dessert</v>
      </c>
      <c r="G830" t="str" cm="1">
        <f t="array" ref="G830">_xlfn.TEXTJOIN("+",TRUE,_xlfn._xlws.SORT(_xlfn.UNIQUE(_xlfn._xlws.FILTER(OrderLines[Category],OrderLines[OrderID]=OrderLines[[#This Row],[OrderID]]))))</f>
        <v>Beverage+Dessert</v>
      </c>
      <c r="H830" s="2" cm="1">
        <f t="array" ref="H830">INT(VLOOKUP(OrderLines[[#This Row],[OrderID]:[OrderID]],Orders[],MATCH(OrderLines[[#Headers],[OrderDateTime]],Orders[#Headers],0),FALSE))</f>
        <v>45847</v>
      </c>
      <c r="I830" t="str" cm="1">
        <f t="array" ref="I830">VLOOKUP(OrderLines[[#This Row],[OrderID]:[OrderID]],Orders[],MATCH(OrderLines[[#Headers],[Branch]],Orders[#Headers],0),FALSE)</f>
        <v>Plant 1 Canteen</v>
      </c>
      <c r="J830" cm="1">
        <f t="array" ref="J830">VLOOKUP(OrderLines[[#This Row],[OrderID]:[OrderID]],Orders[],MATCH(OrderLines[[#Headers],[DiscountPct]],Orders[#Headers],0),FALSE)</f>
        <v>0.09</v>
      </c>
      <c r="K830" t="str" cm="1">
        <f t="array" ref="K830">VLOOKUP(OrderLines[[#This Row],[OrderID]:[OrderID]],Orders[],MATCH(OrderLines[[#Headers],[PaymentType]],Orders[#Headers],0),FALSE)</f>
        <v>Card</v>
      </c>
      <c r="L830" t="str" cm="1">
        <f t="array" ref="L830">VLOOKUP(OrderLines[[#This Row],[OrderID]:[OrderID]],Orders[],MATCH(OrderLines[[#Headers],[Shift]],Orders[#Headers],0),FALSE)</f>
        <v>Breakfast</v>
      </c>
      <c r="M830" s="8">
        <f>(OrderLines[[#This Row],[Qty]]*OrderLines[[#This Row],[UnitPrice]])*(1-OrderLines[[#This Row],[DiscountPct]])</f>
        <v>106.288</v>
      </c>
      <c r="N830" t="str">
        <f>IF(AND(COUNTIFS(OrderLines[OrderID],OrderLines[[#This Row],[OrderID]],OrderLines[Category],"Hot Meal"),COUNTIFS(OrderLines[OrderID],OrderLines[[#This Row],[OrderID]],OrderLines[Category],"Beverage")),"Combo","Single")</f>
        <v>Single</v>
      </c>
      <c r="O830" s="8" t="str" cm="1">
        <f t="array" ref="O830">IF(SUMPRODUCT(OrderLines[UnitPrice],OrderLines[Qty],OrderLines[DiscountPct],--(OrderLines[OrderID] = OrderLines[[#This Row],[OrderID]]))&gt;40,"High Discount","Ok")</f>
        <v>Ok</v>
      </c>
      <c r="P830">
        <f>OrderLines[[#This Row],[UnitCost]]*OrderLines[[#This Row],[Qty]]</f>
        <v>48.97</v>
      </c>
      <c r="Q830" s="8">
        <f>OrderLines[[#This Row],[LineNetAmount]]-OrderLines[[#This Row],[Food Cost]]</f>
        <v>57.317999999999998</v>
      </c>
    </row>
    <row r="831" spans="1:17" x14ac:dyDescent="0.3">
      <c r="A831" t="s">
        <v>360</v>
      </c>
      <c r="B831" t="s">
        <v>409</v>
      </c>
      <c r="C831">
        <v>2</v>
      </c>
      <c r="D831" cm="1">
        <f t="array" ref="D831">VLOOKUP(OrderLines[[#This Row],[SKU]:[SKU]],Menu[],MATCH(OrderLines[[#Headers],[UnitPrice]],Menu[#Headers],0),FALSE)</f>
        <v>28.43</v>
      </c>
      <c r="E831" cm="1">
        <f t="array" ref="E831">VLOOKUP(OrderLines[[#This Row],[SKU]:[SKU]],Menu[],MATCH(OrderLines[[#Headers],[UnitCost]],Menu[#Headers],0),FALSE)</f>
        <v>13.89</v>
      </c>
      <c r="F831" t="str" cm="1">
        <f t="array" ref="F831">VLOOKUP(OrderLines[[#This Row],[SKU]:[SKU]],Menu[],MATCH(OrderLines[[#Headers],[Category]],Menu[#Headers],0),FALSE)</f>
        <v>Beverage</v>
      </c>
      <c r="G831" t="str" cm="1">
        <f t="array" ref="G831">_xlfn.TEXTJOIN("+",TRUE,_xlfn._xlws.SORT(_xlfn.UNIQUE(_xlfn._xlws.FILTER(OrderLines[Category],OrderLines[OrderID]=OrderLines[[#This Row],[OrderID]]))))</f>
        <v>Beverage+Dessert</v>
      </c>
      <c r="H831" s="2" cm="1">
        <f t="array" ref="H831">INT(VLOOKUP(OrderLines[[#This Row],[OrderID]:[OrderID]],Orders[],MATCH(OrderLines[[#Headers],[OrderDateTime]],Orders[#Headers],0),FALSE))</f>
        <v>45847</v>
      </c>
      <c r="I831" t="str" cm="1">
        <f t="array" ref="I831">VLOOKUP(OrderLines[[#This Row],[OrderID]:[OrderID]],Orders[],MATCH(OrderLines[[#Headers],[Branch]],Orders[#Headers],0),FALSE)</f>
        <v>Plant 1 Canteen</v>
      </c>
      <c r="J831" cm="1">
        <f t="array" ref="J831">VLOOKUP(OrderLines[[#This Row],[OrderID]:[OrderID]],Orders[],MATCH(OrderLines[[#Headers],[DiscountPct]],Orders[#Headers],0),FALSE)</f>
        <v>0.09</v>
      </c>
      <c r="K831" t="str" cm="1">
        <f t="array" ref="K831">VLOOKUP(OrderLines[[#This Row],[OrderID]:[OrderID]],Orders[],MATCH(OrderLines[[#Headers],[PaymentType]],Orders[#Headers],0),FALSE)</f>
        <v>Card</v>
      </c>
      <c r="L831" t="str" cm="1">
        <f t="array" ref="L831">VLOOKUP(OrderLines[[#This Row],[OrderID]:[OrderID]],Orders[],MATCH(OrderLines[[#Headers],[Shift]],Orders[#Headers],0),FALSE)</f>
        <v>Breakfast</v>
      </c>
      <c r="M831" s="8">
        <f>(OrderLines[[#This Row],[Qty]]*OrderLines[[#This Row],[UnitPrice]])*(1-OrderLines[[#This Row],[DiscountPct]])</f>
        <v>51.742600000000003</v>
      </c>
      <c r="N831" t="str">
        <f>IF(AND(COUNTIFS(OrderLines[OrderID],OrderLines[[#This Row],[OrderID]],OrderLines[Category],"Hot Meal"),COUNTIFS(OrderLines[OrderID],OrderLines[[#This Row],[OrderID]],OrderLines[Category],"Beverage")),"Combo","Single")</f>
        <v>Single</v>
      </c>
      <c r="O831" s="8" t="str" cm="1">
        <f t="array" ref="O831">IF(SUMPRODUCT(OrderLines[UnitPrice],OrderLines[Qty],OrderLines[DiscountPct],--(OrderLines[OrderID] = OrderLines[[#This Row],[OrderID]]))&gt;40,"High Discount","Ok")</f>
        <v>Ok</v>
      </c>
      <c r="P831">
        <f>OrderLines[[#This Row],[UnitCost]]*OrderLines[[#This Row],[Qty]]</f>
        <v>27.78</v>
      </c>
      <c r="Q831" s="8">
        <f>OrderLines[[#This Row],[LineNetAmount]]-OrderLines[[#This Row],[Food Cost]]</f>
        <v>23.962600000000002</v>
      </c>
    </row>
    <row r="832" spans="1:17" x14ac:dyDescent="0.3">
      <c r="A832" t="s">
        <v>361</v>
      </c>
      <c r="B832" t="s">
        <v>416</v>
      </c>
      <c r="C832">
        <v>1</v>
      </c>
      <c r="D832" cm="1">
        <f t="array" ref="D832">VLOOKUP(OrderLines[[#This Row],[SKU]:[SKU]],Menu[],MATCH(OrderLines[[#Headers],[UnitPrice]],Menu[#Headers],0),FALSE)</f>
        <v>227.61</v>
      </c>
      <c r="E832" cm="1">
        <f t="array" ref="E832">VLOOKUP(OrderLines[[#This Row],[SKU]:[SKU]],Menu[],MATCH(OrderLines[[#Headers],[UnitCost]],Menu[#Headers],0),FALSE)</f>
        <v>96.22</v>
      </c>
      <c r="F832" t="str" cm="1">
        <f t="array" ref="F832">VLOOKUP(OrderLines[[#This Row],[SKU]:[SKU]],Menu[],MATCH(OrderLines[[#Headers],[Category]],Menu[#Headers],0),FALSE)</f>
        <v>Hot Meal</v>
      </c>
      <c r="G832" t="str" cm="1">
        <f t="array" ref="G832">_xlfn.TEXTJOIN("+",TRUE,_xlfn._xlws.SORT(_xlfn.UNIQUE(_xlfn._xlws.FILTER(OrderLines[Category],OrderLines[OrderID]=OrderLines[[#This Row],[OrderID]]))))</f>
        <v>Hot Meal+Snack</v>
      </c>
      <c r="H832" s="2" cm="1">
        <f t="array" ref="H832">INT(VLOOKUP(OrderLines[[#This Row],[OrderID]:[OrderID]],Orders[],MATCH(OrderLines[[#Headers],[OrderDateTime]],Orders[#Headers],0),FALSE))</f>
        <v>45853</v>
      </c>
      <c r="I832" t="str" cm="1">
        <f t="array" ref="I832">VLOOKUP(OrderLines[[#This Row],[OrderID]:[OrderID]],Orders[],MATCH(OrderLines[[#Headers],[Branch]],Orders[#Headers],0),FALSE)</f>
        <v>Plant 2 Canteen</v>
      </c>
      <c r="J832" cm="1">
        <f t="array" ref="J832">VLOOKUP(OrderLines[[#This Row],[OrderID]:[OrderID]],Orders[],MATCH(OrderLines[[#Headers],[DiscountPct]],Orders[#Headers],0),FALSE)</f>
        <v>0.04</v>
      </c>
      <c r="K832" t="str" cm="1">
        <f t="array" ref="K832">VLOOKUP(OrderLines[[#This Row],[OrderID]:[OrderID]],Orders[],MATCH(OrderLines[[#Headers],[PaymentType]],Orders[#Headers],0),FALSE)</f>
        <v>Cash</v>
      </c>
      <c r="L832" t="str" cm="1">
        <f t="array" ref="L832">VLOOKUP(OrderLines[[#This Row],[OrderID]:[OrderID]],Orders[],MATCH(OrderLines[[#Headers],[Shift]],Orders[#Headers],0),FALSE)</f>
        <v>Lunch</v>
      </c>
      <c r="M832" s="8">
        <f>(OrderLines[[#This Row],[Qty]]*OrderLines[[#This Row],[UnitPrice]])*(1-OrderLines[[#This Row],[DiscountPct]])</f>
        <v>218.50560000000002</v>
      </c>
      <c r="N832" t="str">
        <f>IF(AND(COUNTIFS(OrderLines[OrderID],OrderLines[[#This Row],[OrderID]],OrderLines[Category],"Hot Meal"),COUNTIFS(OrderLines[OrderID],OrderLines[[#This Row],[OrderID]],OrderLines[Category],"Beverage")),"Combo","Single")</f>
        <v>Single</v>
      </c>
      <c r="O832" s="8" t="str" cm="1">
        <f t="array" ref="O832">IF(SUMPRODUCT(OrderLines[UnitPrice],OrderLines[Qty],OrderLines[DiscountPct],--(OrderLines[OrderID] = OrderLines[[#This Row],[OrderID]]))&gt;40,"High Discount","Ok")</f>
        <v>Ok</v>
      </c>
      <c r="P832">
        <f>OrderLines[[#This Row],[UnitCost]]*OrderLines[[#This Row],[Qty]]</f>
        <v>96.22</v>
      </c>
      <c r="Q832" s="8">
        <f>OrderLines[[#This Row],[LineNetAmount]]-OrderLines[[#This Row],[Food Cost]]</f>
        <v>122.28560000000002</v>
      </c>
    </row>
    <row r="833" spans="1:17" x14ac:dyDescent="0.3">
      <c r="A833" t="s">
        <v>361</v>
      </c>
      <c r="B833" t="s">
        <v>419</v>
      </c>
      <c r="C833">
        <v>3</v>
      </c>
      <c r="D833" cm="1">
        <f t="array" ref="D833">VLOOKUP(OrderLines[[#This Row],[SKU]:[SKU]],Menu[],MATCH(OrderLines[[#Headers],[UnitPrice]],Menu[#Headers],0),FALSE)</f>
        <v>50.19</v>
      </c>
      <c r="E833" cm="1">
        <f t="array" ref="E833">VLOOKUP(OrderLines[[#This Row],[SKU]:[SKU]],Menu[],MATCH(OrderLines[[#Headers],[UnitCost]],Menu[#Headers],0),FALSE)</f>
        <v>22.61</v>
      </c>
      <c r="F833" t="str" cm="1">
        <f t="array" ref="F833">VLOOKUP(OrderLines[[#This Row],[SKU]:[SKU]],Menu[],MATCH(OrderLines[[#Headers],[Category]],Menu[#Headers],0),FALSE)</f>
        <v>Snack</v>
      </c>
      <c r="G833" t="str" cm="1">
        <f t="array" ref="G833">_xlfn.TEXTJOIN("+",TRUE,_xlfn._xlws.SORT(_xlfn.UNIQUE(_xlfn._xlws.FILTER(OrderLines[Category],OrderLines[OrderID]=OrderLines[[#This Row],[OrderID]]))))</f>
        <v>Hot Meal+Snack</v>
      </c>
      <c r="H833" s="2" cm="1">
        <f t="array" ref="H833">INT(VLOOKUP(OrderLines[[#This Row],[OrderID]:[OrderID]],Orders[],MATCH(OrderLines[[#Headers],[OrderDateTime]],Orders[#Headers],0),FALSE))</f>
        <v>45853</v>
      </c>
      <c r="I833" t="str" cm="1">
        <f t="array" ref="I833">VLOOKUP(OrderLines[[#This Row],[OrderID]:[OrderID]],Orders[],MATCH(OrderLines[[#Headers],[Branch]],Orders[#Headers],0),FALSE)</f>
        <v>Plant 2 Canteen</v>
      </c>
      <c r="J833" cm="1">
        <f t="array" ref="J833">VLOOKUP(OrderLines[[#This Row],[OrderID]:[OrderID]],Orders[],MATCH(OrderLines[[#Headers],[DiscountPct]],Orders[#Headers],0),FALSE)</f>
        <v>0.04</v>
      </c>
      <c r="K833" t="str" cm="1">
        <f t="array" ref="K833">VLOOKUP(OrderLines[[#This Row],[OrderID]:[OrderID]],Orders[],MATCH(OrderLines[[#Headers],[PaymentType]],Orders[#Headers],0),FALSE)</f>
        <v>Cash</v>
      </c>
      <c r="L833" t="str" cm="1">
        <f t="array" ref="L833">VLOOKUP(OrderLines[[#This Row],[OrderID]:[OrderID]],Orders[],MATCH(OrderLines[[#Headers],[Shift]],Orders[#Headers],0),FALSE)</f>
        <v>Lunch</v>
      </c>
      <c r="M833" s="8">
        <f>(OrderLines[[#This Row],[Qty]]*OrderLines[[#This Row],[UnitPrice]])*(1-OrderLines[[#This Row],[DiscountPct]])</f>
        <v>144.54719999999998</v>
      </c>
      <c r="N833" t="str">
        <f>IF(AND(COUNTIFS(OrderLines[OrderID],OrderLines[[#This Row],[OrderID]],OrderLines[Category],"Hot Meal"),COUNTIFS(OrderLines[OrderID],OrderLines[[#This Row],[OrderID]],OrderLines[Category],"Beverage")),"Combo","Single")</f>
        <v>Single</v>
      </c>
      <c r="O833" s="8" t="str" cm="1">
        <f t="array" ref="O833">IF(SUMPRODUCT(OrderLines[UnitPrice],OrderLines[Qty],OrderLines[DiscountPct],--(OrderLines[OrderID] = OrderLines[[#This Row],[OrderID]]))&gt;40,"High Discount","Ok")</f>
        <v>Ok</v>
      </c>
      <c r="P833">
        <f>OrderLines[[#This Row],[UnitCost]]*OrderLines[[#This Row],[Qty]]</f>
        <v>67.83</v>
      </c>
      <c r="Q833" s="8">
        <f>OrderLines[[#This Row],[LineNetAmount]]-OrderLines[[#This Row],[Food Cost]]</f>
        <v>76.717199999999977</v>
      </c>
    </row>
    <row r="834" spans="1:17" x14ac:dyDescent="0.3">
      <c r="A834" t="s">
        <v>361</v>
      </c>
      <c r="B834" t="s">
        <v>408</v>
      </c>
      <c r="C834">
        <v>2</v>
      </c>
      <c r="D834" cm="1">
        <f t="array" ref="D834">VLOOKUP(OrderLines[[#This Row],[SKU]:[SKU]],Menu[],MATCH(OrderLines[[#Headers],[UnitPrice]],Menu[#Headers],0),FALSE)</f>
        <v>70.540000000000006</v>
      </c>
      <c r="E834" cm="1">
        <f t="array" ref="E834">VLOOKUP(OrderLines[[#This Row],[SKU]:[SKU]],Menu[],MATCH(OrderLines[[#Headers],[UnitCost]],Menu[#Headers],0),FALSE)</f>
        <v>35.81</v>
      </c>
      <c r="F834" t="str" cm="1">
        <f t="array" ref="F834">VLOOKUP(OrderLines[[#This Row],[SKU]:[SKU]],Menu[],MATCH(OrderLines[[#Headers],[Category]],Menu[#Headers],0),FALSE)</f>
        <v>Snack</v>
      </c>
      <c r="G834" t="str" cm="1">
        <f t="array" ref="G834">_xlfn.TEXTJOIN("+",TRUE,_xlfn._xlws.SORT(_xlfn.UNIQUE(_xlfn._xlws.FILTER(OrderLines[Category],OrderLines[OrderID]=OrderLines[[#This Row],[OrderID]]))))</f>
        <v>Hot Meal+Snack</v>
      </c>
      <c r="H834" s="2" cm="1">
        <f t="array" ref="H834">INT(VLOOKUP(OrderLines[[#This Row],[OrderID]:[OrderID]],Orders[],MATCH(OrderLines[[#Headers],[OrderDateTime]],Orders[#Headers],0),FALSE))</f>
        <v>45853</v>
      </c>
      <c r="I834" t="str" cm="1">
        <f t="array" ref="I834">VLOOKUP(OrderLines[[#This Row],[OrderID]:[OrderID]],Orders[],MATCH(OrderLines[[#Headers],[Branch]],Orders[#Headers],0),FALSE)</f>
        <v>Plant 2 Canteen</v>
      </c>
      <c r="J834" cm="1">
        <f t="array" ref="J834">VLOOKUP(OrderLines[[#This Row],[OrderID]:[OrderID]],Orders[],MATCH(OrderLines[[#Headers],[DiscountPct]],Orders[#Headers],0),FALSE)</f>
        <v>0.04</v>
      </c>
      <c r="K834" t="str" cm="1">
        <f t="array" ref="K834">VLOOKUP(OrderLines[[#This Row],[OrderID]:[OrderID]],Orders[],MATCH(OrderLines[[#Headers],[PaymentType]],Orders[#Headers],0),FALSE)</f>
        <v>Cash</v>
      </c>
      <c r="L834" t="str" cm="1">
        <f t="array" ref="L834">VLOOKUP(OrderLines[[#This Row],[OrderID]:[OrderID]],Orders[],MATCH(OrderLines[[#Headers],[Shift]],Orders[#Headers],0),FALSE)</f>
        <v>Lunch</v>
      </c>
      <c r="M834" s="8">
        <f>(OrderLines[[#This Row],[Qty]]*OrderLines[[#This Row],[UnitPrice]])*(1-OrderLines[[#This Row],[DiscountPct]])</f>
        <v>135.43680000000001</v>
      </c>
      <c r="N834" t="str">
        <f>IF(AND(COUNTIFS(OrderLines[OrderID],OrderLines[[#This Row],[OrderID]],OrderLines[Category],"Hot Meal"),COUNTIFS(OrderLines[OrderID],OrderLines[[#This Row],[OrderID]],OrderLines[Category],"Beverage")),"Combo","Single")</f>
        <v>Single</v>
      </c>
      <c r="O834" s="8" t="str" cm="1">
        <f t="array" ref="O834">IF(SUMPRODUCT(OrderLines[UnitPrice],OrderLines[Qty],OrderLines[DiscountPct],--(OrderLines[OrderID] = OrderLines[[#This Row],[OrderID]]))&gt;40,"High Discount","Ok")</f>
        <v>Ok</v>
      </c>
      <c r="P834">
        <f>OrderLines[[#This Row],[UnitCost]]*OrderLines[[#This Row],[Qty]]</f>
        <v>71.62</v>
      </c>
      <c r="Q834" s="8">
        <f>OrderLines[[#This Row],[LineNetAmount]]-OrderLines[[#This Row],[Food Cost]]</f>
        <v>63.816800000000001</v>
      </c>
    </row>
    <row r="835" spans="1:17" x14ac:dyDescent="0.3">
      <c r="A835" t="s">
        <v>362</v>
      </c>
      <c r="B835" t="s">
        <v>419</v>
      </c>
      <c r="C835">
        <v>1</v>
      </c>
      <c r="D835" cm="1">
        <f t="array" ref="D835">VLOOKUP(OrderLines[[#This Row],[SKU]:[SKU]],Menu[],MATCH(OrderLines[[#Headers],[UnitPrice]],Menu[#Headers],0),FALSE)</f>
        <v>50.19</v>
      </c>
      <c r="E835" cm="1">
        <f t="array" ref="E835">VLOOKUP(OrderLines[[#This Row],[SKU]:[SKU]],Menu[],MATCH(OrderLines[[#Headers],[UnitCost]],Menu[#Headers],0),FALSE)</f>
        <v>22.61</v>
      </c>
      <c r="F835" t="str" cm="1">
        <f t="array" ref="F835">VLOOKUP(OrderLines[[#This Row],[SKU]:[SKU]],Menu[],MATCH(OrderLines[[#Headers],[Category]],Menu[#Headers],0),FALSE)</f>
        <v>Snack</v>
      </c>
      <c r="G835" t="str" cm="1">
        <f t="array" ref="G835">_xlfn.TEXTJOIN("+",TRUE,_xlfn._xlws.SORT(_xlfn.UNIQUE(_xlfn._xlws.FILTER(OrderLines[Category],OrderLines[OrderID]=OrderLines[[#This Row],[OrderID]]))))</f>
        <v>Snack</v>
      </c>
      <c r="H835" s="2" cm="1">
        <f t="array" ref="H835">INT(VLOOKUP(OrderLines[[#This Row],[OrderID]:[OrderID]],Orders[],MATCH(OrderLines[[#Headers],[OrderDateTime]],Orders[#Headers],0),FALSE))</f>
        <v>45873</v>
      </c>
      <c r="I835" t="str" cm="1">
        <f t="array" ref="I835">VLOOKUP(OrderLines[[#This Row],[OrderID]:[OrderID]],Orders[],MATCH(OrderLines[[#Headers],[Branch]],Orders[#Headers],0),FALSE)</f>
        <v>Plant 1 Canteen</v>
      </c>
      <c r="J835" cm="1">
        <f t="array" ref="J835">VLOOKUP(OrderLines[[#This Row],[OrderID]:[OrderID]],Orders[],MATCH(OrderLines[[#Headers],[DiscountPct]],Orders[#Headers],0),FALSE)</f>
        <v>7.0000000000000007E-2</v>
      </c>
      <c r="K835" t="str" cm="1">
        <f t="array" ref="K835">VLOOKUP(OrderLines[[#This Row],[OrderID]:[OrderID]],Orders[],MATCH(OrderLines[[#Headers],[PaymentType]],Orders[#Headers],0),FALSE)</f>
        <v>Cash</v>
      </c>
      <c r="L835" t="str" cm="1">
        <f t="array" ref="L835">VLOOKUP(OrderLines[[#This Row],[OrderID]:[OrderID]],Orders[],MATCH(OrderLines[[#Headers],[Shift]],Orders[#Headers],0),FALSE)</f>
        <v>Breakfast</v>
      </c>
      <c r="M835" s="8">
        <f>(OrderLines[[#This Row],[Qty]]*OrderLines[[#This Row],[UnitPrice]])*(1-OrderLines[[#This Row],[DiscountPct]])</f>
        <v>46.676699999999997</v>
      </c>
      <c r="N835" t="str">
        <f>IF(AND(COUNTIFS(OrderLines[OrderID],OrderLines[[#This Row],[OrderID]],OrderLines[Category],"Hot Meal"),COUNTIFS(OrderLines[OrderID],OrderLines[[#This Row],[OrderID]],OrderLines[Category],"Beverage")),"Combo","Single")</f>
        <v>Single</v>
      </c>
      <c r="O835" s="8" t="str" cm="1">
        <f t="array" ref="O835">IF(SUMPRODUCT(OrderLines[UnitPrice],OrderLines[Qty],OrderLines[DiscountPct],--(OrderLines[OrderID] = OrderLines[[#This Row],[OrderID]]))&gt;40,"High Discount","Ok")</f>
        <v>Ok</v>
      </c>
      <c r="P835">
        <f>OrderLines[[#This Row],[UnitCost]]*OrderLines[[#This Row],[Qty]]</f>
        <v>22.61</v>
      </c>
      <c r="Q835" s="8">
        <f>OrderLines[[#This Row],[LineNetAmount]]-OrderLines[[#This Row],[Food Cost]]</f>
        <v>24.066699999999997</v>
      </c>
    </row>
    <row r="836" spans="1:17" x14ac:dyDescent="0.3">
      <c r="A836" t="s">
        <v>363</v>
      </c>
      <c r="B836" t="s">
        <v>410</v>
      </c>
      <c r="C836">
        <v>1</v>
      </c>
      <c r="D836" cm="1">
        <f t="array" ref="D836">VLOOKUP(OrderLines[[#This Row],[SKU]:[SKU]],Menu[],MATCH(OrderLines[[#Headers],[UnitPrice]],Menu[#Headers],0),FALSE)</f>
        <v>20.11</v>
      </c>
      <c r="E836" cm="1">
        <f t="array" ref="E836">VLOOKUP(OrderLines[[#This Row],[SKU]:[SKU]],Menu[],MATCH(OrderLines[[#Headers],[UnitCost]],Menu[#Headers],0),FALSE)</f>
        <v>8</v>
      </c>
      <c r="F836" t="str" cm="1">
        <f t="array" ref="F836">VLOOKUP(OrderLines[[#This Row],[SKU]:[SKU]],Menu[],MATCH(OrderLines[[#Headers],[Category]],Menu[#Headers],0),FALSE)</f>
        <v>Beverage</v>
      </c>
      <c r="G836" t="str" cm="1">
        <f t="array" ref="G836">_xlfn.TEXTJOIN("+",TRUE,_xlfn._xlws.SORT(_xlfn.UNIQUE(_xlfn._xlws.FILTER(OrderLines[Category],OrderLines[OrderID]=OrderLines[[#This Row],[OrderID]]))))</f>
        <v>Beverage</v>
      </c>
      <c r="H836" s="2" cm="1">
        <f t="array" ref="H836">INT(VLOOKUP(OrderLines[[#This Row],[OrderID]:[OrderID]],Orders[],MATCH(OrderLines[[#Headers],[OrderDateTime]],Orders[#Headers],0),FALSE))</f>
        <v>45887</v>
      </c>
      <c r="I836" t="str" cm="1">
        <f t="array" ref="I836">VLOOKUP(OrderLines[[#This Row],[OrderID]:[OrderID]],Orders[],MATCH(OrderLines[[#Headers],[Branch]],Orders[#Headers],0),FALSE)</f>
        <v>Plant 2 Canteen</v>
      </c>
      <c r="J836" cm="1">
        <f t="array" ref="J836">VLOOKUP(OrderLines[[#This Row],[OrderID]:[OrderID]],Orders[],MATCH(OrderLines[[#Headers],[DiscountPct]],Orders[#Headers],0),FALSE)</f>
        <v>0.06</v>
      </c>
      <c r="K836" t="str" cm="1">
        <f t="array" ref="K836">VLOOKUP(OrderLines[[#This Row],[OrderID]:[OrderID]],Orders[],MATCH(OrderLines[[#Headers],[PaymentType]],Orders[#Headers],0),FALSE)</f>
        <v>Card</v>
      </c>
      <c r="L836" t="str" cm="1">
        <f t="array" ref="L836">VLOOKUP(OrderLines[[#This Row],[OrderID]:[OrderID]],Orders[],MATCH(OrderLines[[#Headers],[Shift]],Orders[#Headers],0),FALSE)</f>
        <v>Dinner</v>
      </c>
      <c r="M836" s="8">
        <f>(OrderLines[[#This Row],[Qty]]*OrderLines[[#This Row],[UnitPrice]])*(1-OrderLines[[#This Row],[DiscountPct]])</f>
        <v>18.903399999999998</v>
      </c>
      <c r="N836" t="str">
        <f>IF(AND(COUNTIFS(OrderLines[OrderID],OrderLines[[#This Row],[OrderID]],OrderLines[Category],"Hot Meal"),COUNTIFS(OrderLines[OrderID],OrderLines[[#This Row],[OrderID]],OrderLines[Category],"Beverage")),"Combo","Single")</f>
        <v>Single</v>
      </c>
      <c r="O836" s="8" t="str" cm="1">
        <f t="array" ref="O836">IF(SUMPRODUCT(OrderLines[UnitPrice],OrderLines[Qty],OrderLines[DiscountPct],--(OrderLines[OrderID] = OrderLines[[#This Row],[OrderID]]))&gt;40,"High Discount","Ok")</f>
        <v>Ok</v>
      </c>
      <c r="P836">
        <f>OrderLines[[#This Row],[UnitCost]]*OrderLines[[#This Row],[Qty]]</f>
        <v>8</v>
      </c>
      <c r="Q836" s="8">
        <f>OrderLines[[#This Row],[LineNetAmount]]-OrderLines[[#This Row],[Food Cost]]</f>
        <v>10.903399999999998</v>
      </c>
    </row>
    <row r="837" spans="1:17" x14ac:dyDescent="0.3">
      <c r="A837" t="s">
        <v>364</v>
      </c>
      <c r="B837" t="s">
        <v>406</v>
      </c>
      <c r="C837">
        <v>1</v>
      </c>
      <c r="D837" cm="1">
        <f t="array" ref="D837">VLOOKUP(OrderLines[[#This Row],[SKU]:[SKU]],Menu[],MATCH(OrderLines[[#Headers],[UnitPrice]],Menu[#Headers],0),FALSE)</f>
        <v>38.06</v>
      </c>
      <c r="E837" cm="1">
        <f t="array" ref="E837">VLOOKUP(OrderLines[[#This Row],[SKU]:[SKU]],Menu[],MATCH(OrderLines[[#Headers],[UnitCost]],Menu[#Headers],0),FALSE)</f>
        <v>19.55</v>
      </c>
      <c r="F837" t="str" cm="1">
        <f t="array" ref="F837">VLOOKUP(OrderLines[[#This Row],[SKU]:[SKU]],Menu[],MATCH(OrderLines[[#Headers],[Category]],Menu[#Headers],0),FALSE)</f>
        <v>Snack</v>
      </c>
      <c r="G837" t="str" cm="1">
        <f t="array" ref="G837">_xlfn.TEXTJOIN("+",TRUE,_xlfn._xlws.SORT(_xlfn.UNIQUE(_xlfn._xlws.FILTER(OrderLines[Category],OrderLines[OrderID]=OrderLines[[#This Row],[OrderID]]))))</f>
        <v>Beverage+Snack</v>
      </c>
      <c r="H837" s="2" cm="1">
        <f t="array" ref="H837">INT(VLOOKUP(OrderLines[[#This Row],[OrderID]:[OrderID]],Orders[],MATCH(OrderLines[[#Headers],[OrderDateTime]],Orders[#Headers],0),FALSE))</f>
        <v>45875</v>
      </c>
      <c r="I837" t="str" cm="1">
        <f t="array" ref="I837">VLOOKUP(OrderLines[[#This Row],[OrderID]:[OrderID]],Orders[],MATCH(OrderLines[[#Headers],[Branch]],Orders[#Headers],0),FALSE)</f>
        <v>Plant 1 Canteen</v>
      </c>
      <c r="J837" cm="1">
        <f t="array" ref="J837">VLOOKUP(OrderLines[[#This Row],[OrderID]:[OrderID]],Orders[],MATCH(OrderLines[[#Headers],[DiscountPct]],Orders[#Headers],0),FALSE)</f>
        <v>0.06</v>
      </c>
      <c r="K837" t="str" cm="1">
        <f t="array" ref="K837">VLOOKUP(OrderLines[[#This Row],[OrderID]:[OrderID]],Orders[],MATCH(OrderLines[[#Headers],[PaymentType]],Orders[#Headers],0),FALSE)</f>
        <v>Card</v>
      </c>
      <c r="L837" t="str" cm="1">
        <f t="array" ref="L837">VLOOKUP(OrderLines[[#This Row],[OrderID]:[OrderID]],Orders[],MATCH(OrderLines[[#Headers],[Shift]],Orders[#Headers],0),FALSE)</f>
        <v>Lunch</v>
      </c>
      <c r="M837" s="8">
        <f>(OrderLines[[#This Row],[Qty]]*OrderLines[[#This Row],[UnitPrice]])*(1-OrderLines[[#This Row],[DiscountPct]])</f>
        <v>35.776400000000002</v>
      </c>
      <c r="N837" t="str">
        <f>IF(AND(COUNTIFS(OrderLines[OrderID],OrderLines[[#This Row],[OrderID]],OrderLines[Category],"Hot Meal"),COUNTIFS(OrderLines[OrderID],OrderLines[[#This Row],[OrderID]],OrderLines[Category],"Beverage")),"Combo","Single")</f>
        <v>Single</v>
      </c>
      <c r="O837" s="8" t="str" cm="1">
        <f t="array" ref="O837">IF(SUMPRODUCT(OrderLines[UnitPrice],OrderLines[Qty],OrderLines[DiscountPct],--(OrderLines[OrderID] = OrderLines[[#This Row],[OrderID]]))&gt;40,"High Discount","Ok")</f>
        <v>Ok</v>
      </c>
      <c r="P837">
        <f>OrderLines[[#This Row],[UnitCost]]*OrderLines[[#This Row],[Qty]]</f>
        <v>19.55</v>
      </c>
      <c r="Q837" s="8">
        <f>OrderLines[[#This Row],[LineNetAmount]]-OrderLines[[#This Row],[Food Cost]]</f>
        <v>16.226400000000002</v>
      </c>
    </row>
    <row r="838" spans="1:17" x14ac:dyDescent="0.3">
      <c r="A838" t="s">
        <v>364</v>
      </c>
      <c r="B838" t="s">
        <v>409</v>
      </c>
      <c r="C838">
        <v>1</v>
      </c>
      <c r="D838" cm="1">
        <f t="array" ref="D838">VLOOKUP(OrderLines[[#This Row],[SKU]:[SKU]],Menu[],MATCH(OrderLines[[#Headers],[UnitPrice]],Menu[#Headers],0),FALSE)</f>
        <v>28.43</v>
      </c>
      <c r="E838" cm="1">
        <f t="array" ref="E838">VLOOKUP(OrderLines[[#This Row],[SKU]:[SKU]],Menu[],MATCH(OrderLines[[#Headers],[UnitCost]],Menu[#Headers],0),FALSE)</f>
        <v>13.89</v>
      </c>
      <c r="F838" t="str" cm="1">
        <f t="array" ref="F838">VLOOKUP(OrderLines[[#This Row],[SKU]:[SKU]],Menu[],MATCH(OrderLines[[#Headers],[Category]],Menu[#Headers],0),FALSE)</f>
        <v>Beverage</v>
      </c>
      <c r="G838" t="str" cm="1">
        <f t="array" ref="G838">_xlfn.TEXTJOIN("+",TRUE,_xlfn._xlws.SORT(_xlfn.UNIQUE(_xlfn._xlws.FILTER(OrderLines[Category],OrderLines[OrderID]=OrderLines[[#This Row],[OrderID]]))))</f>
        <v>Beverage+Snack</v>
      </c>
      <c r="H838" s="2" cm="1">
        <f t="array" ref="H838">INT(VLOOKUP(OrderLines[[#This Row],[OrderID]:[OrderID]],Orders[],MATCH(OrderLines[[#Headers],[OrderDateTime]],Orders[#Headers],0),FALSE))</f>
        <v>45875</v>
      </c>
      <c r="I838" t="str" cm="1">
        <f t="array" ref="I838">VLOOKUP(OrderLines[[#This Row],[OrderID]:[OrderID]],Orders[],MATCH(OrderLines[[#Headers],[Branch]],Orders[#Headers],0),FALSE)</f>
        <v>Plant 1 Canteen</v>
      </c>
      <c r="J838" cm="1">
        <f t="array" ref="J838">VLOOKUP(OrderLines[[#This Row],[OrderID]:[OrderID]],Orders[],MATCH(OrderLines[[#Headers],[DiscountPct]],Orders[#Headers],0),FALSE)</f>
        <v>0.06</v>
      </c>
      <c r="K838" t="str" cm="1">
        <f t="array" ref="K838">VLOOKUP(OrderLines[[#This Row],[OrderID]:[OrderID]],Orders[],MATCH(OrderLines[[#Headers],[PaymentType]],Orders[#Headers],0),FALSE)</f>
        <v>Card</v>
      </c>
      <c r="L838" t="str" cm="1">
        <f t="array" ref="L838">VLOOKUP(OrderLines[[#This Row],[OrderID]:[OrderID]],Orders[],MATCH(OrderLines[[#Headers],[Shift]],Orders[#Headers],0),FALSE)</f>
        <v>Lunch</v>
      </c>
      <c r="M838" s="8">
        <f>(OrderLines[[#This Row],[Qty]]*OrderLines[[#This Row],[UnitPrice]])*(1-OrderLines[[#This Row],[DiscountPct]])</f>
        <v>26.7242</v>
      </c>
      <c r="N838" t="str">
        <f>IF(AND(COUNTIFS(OrderLines[OrderID],OrderLines[[#This Row],[OrderID]],OrderLines[Category],"Hot Meal"),COUNTIFS(OrderLines[OrderID],OrderLines[[#This Row],[OrderID]],OrderLines[Category],"Beverage")),"Combo","Single")</f>
        <v>Single</v>
      </c>
      <c r="O838" s="8" t="str" cm="1">
        <f t="array" ref="O838">IF(SUMPRODUCT(OrderLines[UnitPrice],OrderLines[Qty],OrderLines[DiscountPct],--(OrderLines[OrderID] = OrderLines[[#This Row],[OrderID]]))&gt;40,"High Discount","Ok")</f>
        <v>Ok</v>
      </c>
      <c r="P838">
        <f>OrderLines[[#This Row],[UnitCost]]*OrderLines[[#This Row],[Qty]]</f>
        <v>13.89</v>
      </c>
      <c r="Q838" s="8">
        <f>OrderLines[[#This Row],[LineNetAmount]]-OrderLines[[#This Row],[Food Cost]]</f>
        <v>12.834199999999999</v>
      </c>
    </row>
    <row r="839" spans="1:17" x14ac:dyDescent="0.3">
      <c r="A839" t="s">
        <v>364</v>
      </c>
      <c r="B839" t="s">
        <v>419</v>
      </c>
      <c r="C839">
        <v>1</v>
      </c>
      <c r="D839" cm="1">
        <f t="array" ref="D839">VLOOKUP(OrderLines[[#This Row],[SKU]:[SKU]],Menu[],MATCH(OrderLines[[#Headers],[UnitPrice]],Menu[#Headers],0),FALSE)</f>
        <v>50.19</v>
      </c>
      <c r="E839" cm="1">
        <f t="array" ref="E839">VLOOKUP(OrderLines[[#This Row],[SKU]:[SKU]],Menu[],MATCH(OrderLines[[#Headers],[UnitCost]],Menu[#Headers],0),FALSE)</f>
        <v>22.61</v>
      </c>
      <c r="F839" t="str" cm="1">
        <f t="array" ref="F839">VLOOKUP(OrderLines[[#This Row],[SKU]:[SKU]],Menu[],MATCH(OrderLines[[#Headers],[Category]],Menu[#Headers],0),FALSE)</f>
        <v>Snack</v>
      </c>
      <c r="G839" t="str" cm="1">
        <f t="array" ref="G839">_xlfn.TEXTJOIN("+",TRUE,_xlfn._xlws.SORT(_xlfn.UNIQUE(_xlfn._xlws.FILTER(OrderLines[Category],OrderLines[OrderID]=OrderLines[[#This Row],[OrderID]]))))</f>
        <v>Beverage+Snack</v>
      </c>
      <c r="H839" s="2" cm="1">
        <f t="array" ref="H839">INT(VLOOKUP(OrderLines[[#This Row],[OrderID]:[OrderID]],Orders[],MATCH(OrderLines[[#Headers],[OrderDateTime]],Orders[#Headers],0),FALSE))</f>
        <v>45875</v>
      </c>
      <c r="I839" t="str" cm="1">
        <f t="array" ref="I839">VLOOKUP(OrderLines[[#This Row],[OrderID]:[OrderID]],Orders[],MATCH(OrderLines[[#Headers],[Branch]],Orders[#Headers],0),FALSE)</f>
        <v>Plant 1 Canteen</v>
      </c>
      <c r="J839" cm="1">
        <f t="array" ref="J839">VLOOKUP(OrderLines[[#This Row],[OrderID]:[OrderID]],Orders[],MATCH(OrderLines[[#Headers],[DiscountPct]],Orders[#Headers],0),FALSE)</f>
        <v>0.06</v>
      </c>
      <c r="K839" t="str" cm="1">
        <f t="array" ref="K839">VLOOKUP(OrderLines[[#This Row],[OrderID]:[OrderID]],Orders[],MATCH(OrderLines[[#Headers],[PaymentType]],Orders[#Headers],0),FALSE)</f>
        <v>Card</v>
      </c>
      <c r="L839" t="str" cm="1">
        <f t="array" ref="L839">VLOOKUP(OrderLines[[#This Row],[OrderID]:[OrderID]],Orders[],MATCH(OrderLines[[#Headers],[Shift]],Orders[#Headers],0),FALSE)</f>
        <v>Lunch</v>
      </c>
      <c r="M839" s="8">
        <f>(OrderLines[[#This Row],[Qty]]*OrderLines[[#This Row],[UnitPrice]])*(1-OrderLines[[#This Row],[DiscountPct]])</f>
        <v>47.178599999999996</v>
      </c>
      <c r="N839" t="str">
        <f>IF(AND(COUNTIFS(OrderLines[OrderID],OrderLines[[#This Row],[OrderID]],OrderLines[Category],"Hot Meal"),COUNTIFS(OrderLines[OrderID],OrderLines[[#This Row],[OrderID]],OrderLines[Category],"Beverage")),"Combo","Single")</f>
        <v>Single</v>
      </c>
      <c r="O839" s="8" t="str" cm="1">
        <f t="array" ref="O839">IF(SUMPRODUCT(OrderLines[UnitPrice],OrderLines[Qty],OrderLines[DiscountPct],--(OrderLines[OrderID] = OrderLines[[#This Row],[OrderID]]))&gt;40,"High Discount","Ok")</f>
        <v>Ok</v>
      </c>
      <c r="P839">
        <f>OrderLines[[#This Row],[UnitCost]]*OrderLines[[#This Row],[Qty]]</f>
        <v>22.61</v>
      </c>
      <c r="Q839" s="8">
        <f>OrderLines[[#This Row],[LineNetAmount]]-OrderLines[[#This Row],[Food Cost]]</f>
        <v>24.568599999999996</v>
      </c>
    </row>
    <row r="840" spans="1:17" x14ac:dyDescent="0.3">
      <c r="A840" t="s">
        <v>365</v>
      </c>
      <c r="B840" t="s">
        <v>417</v>
      </c>
      <c r="C840">
        <v>2</v>
      </c>
      <c r="D840" cm="1">
        <f t="array" ref="D840">VLOOKUP(OrderLines[[#This Row],[SKU]:[SKU]],Menu[],MATCH(OrderLines[[#Headers],[UnitPrice]],Menu[#Headers],0),FALSE)</f>
        <v>146.4</v>
      </c>
      <c r="E840" cm="1">
        <f t="array" ref="E840">VLOOKUP(OrderLines[[#This Row],[SKU]:[SKU]],Menu[],MATCH(OrderLines[[#Headers],[UnitCost]],Menu[#Headers],0),FALSE)</f>
        <v>80.92</v>
      </c>
      <c r="F840" t="str" cm="1">
        <f t="array" ref="F840">VLOOKUP(OrderLines[[#This Row],[SKU]:[SKU]],Menu[],MATCH(OrderLines[[#Headers],[Category]],Menu[#Headers],0),FALSE)</f>
        <v>Hot Meal</v>
      </c>
      <c r="G840" t="str" cm="1">
        <f t="array" ref="G840">_xlfn.TEXTJOIN("+",TRUE,_xlfn._xlws.SORT(_xlfn.UNIQUE(_xlfn._xlws.FILTER(OrderLines[Category],OrderLines[OrderID]=OrderLines[[#This Row],[OrderID]]))))</f>
        <v>Hot Meal</v>
      </c>
      <c r="H840" s="2" cm="1">
        <f t="array" ref="H840">INT(VLOOKUP(OrderLines[[#This Row],[OrderID]:[OrderID]],Orders[],MATCH(OrderLines[[#Headers],[OrderDateTime]],Orders[#Headers],0),FALSE))</f>
        <v>45871</v>
      </c>
      <c r="I840" t="str" cm="1">
        <f t="array" ref="I840">VLOOKUP(OrderLines[[#This Row],[OrderID]:[OrderID]],Orders[],MATCH(OrderLines[[#Headers],[Branch]],Orders[#Headers],0),FALSE)</f>
        <v>Plant 1 Canteen</v>
      </c>
      <c r="J840" cm="1">
        <f t="array" ref="J840">VLOOKUP(OrderLines[[#This Row],[OrderID]:[OrderID]],Orders[],MATCH(OrderLines[[#Headers],[DiscountPct]],Orders[#Headers],0),FALSE)</f>
        <v>0.03</v>
      </c>
      <c r="K840" t="str" cm="1">
        <f t="array" ref="K840">VLOOKUP(OrderLines[[#This Row],[OrderID]:[OrderID]],Orders[],MATCH(OrderLines[[#Headers],[PaymentType]],Orders[#Headers],0),FALSE)</f>
        <v>Cash</v>
      </c>
      <c r="L840" t="str" cm="1">
        <f t="array" ref="L840">VLOOKUP(OrderLines[[#This Row],[OrderID]:[OrderID]],Orders[],MATCH(OrderLines[[#Headers],[Shift]],Orders[#Headers],0),FALSE)</f>
        <v>Dinner</v>
      </c>
      <c r="M840" s="8">
        <f>(OrderLines[[#This Row],[Qty]]*OrderLines[[#This Row],[UnitPrice]])*(1-OrderLines[[#This Row],[DiscountPct]])</f>
        <v>284.01600000000002</v>
      </c>
      <c r="N840" t="str">
        <f>IF(AND(COUNTIFS(OrderLines[OrderID],OrderLines[[#This Row],[OrderID]],OrderLines[Category],"Hot Meal"),COUNTIFS(OrderLines[OrderID],OrderLines[[#This Row],[OrderID]],OrderLines[Category],"Beverage")),"Combo","Single")</f>
        <v>Single</v>
      </c>
      <c r="O840" s="8" t="str" cm="1">
        <f t="array" ref="O840">IF(SUMPRODUCT(OrderLines[UnitPrice],OrderLines[Qty],OrderLines[DiscountPct],--(OrderLines[OrderID] = OrderLines[[#This Row],[OrderID]]))&gt;40,"High Discount","Ok")</f>
        <v>Ok</v>
      </c>
      <c r="P840">
        <f>OrderLines[[#This Row],[UnitCost]]*OrderLines[[#This Row],[Qty]]</f>
        <v>161.84</v>
      </c>
      <c r="Q840" s="8">
        <f>OrderLines[[#This Row],[LineNetAmount]]-OrderLines[[#This Row],[Food Cost]]</f>
        <v>122.17600000000002</v>
      </c>
    </row>
    <row r="841" spans="1:17" x14ac:dyDescent="0.3">
      <c r="A841" t="s">
        <v>366</v>
      </c>
      <c r="B841" t="s">
        <v>413</v>
      </c>
      <c r="C841">
        <v>1</v>
      </c>
      <c r="D841" cm="1">
        <f t="array" ref="D841">VLOOKUP(OrderLines[[#This Row],[SKU]:[SKU]],Menu[],MATCH(OrderLines[[#Headers],[UnitPrice]],Menu[#Headers],0),FALSE)</f>
        <v>54.2</v>
      </c>
      <c r="E841" cm="1">
        <f t="array" ref="E841">VLOOKUP(OrderLines[[#This Row],[SKU]:[SKU]],Menu[],MATCH(OrderLines[[#Headers],[UnitCost]],Menu[#Headers],0),FALSE)</f>
        <v>21.95</v>
      </c>
      <c r="F841" t="str" cm="1">
        <f t="array" ref="F841">VLOOKUP(OrderLines[[#This Row],[SKU]:[SKU]],Menu[],MATCH(OrderLines[[#Headers],[Category]],Menu[#Headers],0),FALSE)</f>
        <v>Dessert</v>
      </c>
      <c r="G841" t="str" cm="1">
        <f t="array" ref="G841">_xlfn.TEXTJOIN("+",TRUE,_xlfn._xlws.SORT(_xlfn.UNIQUE(_xlfn._xlws.FILTER(OrderLines[Category],OrderLines[OrderID]=OrderLines[[#This Row],[OrderID]]))))</f>
        <v>Dessert+Hot Meal+Snack</v>
      </c>
      <c r="H841" s="2" cm="1">
        <f t="array" ref="H841">INT(VLOOKUP(OrderLines[[#This Row],[OrderID]:[OrderID]],Orders[],MATCH(OrderLines[[#Headers],[OrderDateTime]],Orders[#Headers],0),FALSE))</f>
        <v>45885</v>
      </c>
      <c r="I841" t="str" cm="1">
        <f t="array" ref="I841">VLOOKUP(OrderLines[[#This Row],[OrderID]:[OrderID]],Orders[],MATCH(OrderLines[[#Headers],[Branch]],Orders[#Headers],0),FALSE)</f>
        <v>Head Office Café</v>
      </c>
      <c r="J841" cm="1">
        <f t="array" ref="J841">VLOOKUP(OrderLines[[#This Row],[OrderID]:[OrderID]],Orders[],MATCH(OrderLines[[#Headers],[DiscountPct]],Orders[#Headers],0),FALSE)</f>
        <v>0.06</v>
      </c>
      <c r="K841" t="str" cm="1">
        <f t="array" ref="K841">VLOOKUP(OrderLines[[#This Row],[OrderID]:[OrderID]],Orders[],MATCH(OrderLines[[#Headers],[PaymentType]],Orders[#Headers],0),FALSE)</f>
        <v>UPI</v>
      </c>
      <c r="L841" t="str" cm="1">
        <f t="array" ref="L841">VLOOKUP(OrderLines[[#This Row],[OrderID]:[OrderID]],Orders[],MATCH(OrderLines[[#Headers],[Shift]],Orders[#Headers],0),FALSE)</f>
        <v>Breakfast</v>
      </c>
      <c r="M841" s="8">
        <f>(OrderLines[[#This Row],[Qty]]*OrderLines[[#This Row],[UnitPrice]])*(1-OrderLines[[#This Row],[DiscountPct]])</f>
        <v>50.948</v>
      </c>
      <c r="N841" t="str">
        <f>IF(AND(COUNTIFS(OrderLines[OrderID],OrderLines[[#This Row],[OrderID]],OrderLines[Category],"Hot Meal"),COUNTIFS(OrderLines[OrderID],OrderLines[[#This Row],[OrderID]],OrderLines[Category],"Beverage")),"Combo","Single")</f>
        <v>Single</v>
      </c>
      <c r="O841" s="8" t="str" cm="1">
        <f t="array" ref="O841">IF(SUMPRODUCT(OrderLines[UnitPrice],OrderLines[Qty],OrderLines[DiscountPct],--(OrderLines[OrderID] = OrderLines[[#This Row],[OrderID]]))&gt;40,"High Discount","Ok")</f>
        <v>Ok</v>
      </c>
      <c r="P841">
        <f>OrderLines[[#This Row],[UnitCost]]*OrderLines[[#This Row],[Qty]]</f>
        <v>21.95</v>
      </c>
      <c r="Q841" s="8">
        <f>OrderLines[[#This Row],[LineNetAmount]]-OrderLines[[#This Row],[Food Cost]]</f>
        <v>28.998000000000001</v>
      </c>
    </row>
    <row r="842" spans="1:17" x14ac:dyDescent="0.3">
      <c r="A842" t="s">
        <v>366</v>
      </c>
      <c r="B842" t="s">
        <v>417</v>
      </c>
      <c r="C842">
        <v>3</v>
      </c>
      <c r="D842" cm="1">
        <f t="array" ref="D842">VLOOKUP(OrderLines[[#This Row],[SKU]:[SKU]],Menu[],MATCH(OrderLines[[#Headers],[UnitPrice]],Menu[#Headers],0),FALSE)</f>
        <v>146.4</v>
      </c>
      <c r="E842" cm="1">
        <f t="array" ref="E842">VLOOKUP(OrderLines[[#This Row],[SKU]:[SKU]],Menu[],MATCH(OrderLines[[#Headers],[UnitCost]],Menu[#Headers],0),FALSE)</f>
        <v>80.92</v>
      </c>
      <c r="F842" t="str" cm="1">
        <f t="array" ref="F842">VLOOKUP(OrderLines[[#This Row],[SKU]:[SKU]],Menu[],MATCH(OrderLines[[#Headers],[Category]],Menu[#Headers],0),FALSE)</f>
        <v>Hot Meal</v>
      </c>
      <c r="G842" t="str" cm="1">
        <f t="array" ref="G842">_xlfn.TEXTJOIN("+",TRUE,_xlfn._xlws.SORT(_xlfn.UNIQUE(_xlfn._xlws.FILTER(OrderLines[Category],OrderLines[OrderID]=OrderLines[[#This Row],[OrderID]]))))</f>
        <v>Dessert+Hot Meal+Snack</v>
      </c>
      <c r="H842" s="2" cm="1">
        <f t="array" ref="H842">INT(VLOOKUP(OrderLines[[#This Row],[OrderID]:[OrderID]],Orders[],MATCH(OrderLines[[#Headers],[OrderDateTime]],Orders[#Headers],0),FALSE))</f>
        <v>45885</v>
      </c>
      <c r="I842" t="str" cm="1">
        <f t="array" ref="I842">VLOOKUP(OrderLines[[#This Row],[OrderID]:[OrderID]],Orders[],MATCH(OrderLines[[#Headers],[Branch]],Orders[#Headers],0),FALSE)</f>
        <v>Head Office Café</v>
      </c>
      <c r="J842" cm="1">
        <f t="array" ref="J842">VLOOKUP(OrderLines[[#This Row],[OrderID]:[OrderID]],Orders[],MATCH(OrderLines[[#Headers],[DiscountPct]],Orders[#Headers],0),FALSE)</f>
        <v>0.06</v>
      </c>
      <c r="K842" t="str" cm="1">
        <f t="array" ref="K842">VLOOKUP(OrderLines[[#This Row],[OrderID]:[OrderID]],Orders[],MATCH(OrderLines[[#Headers],[PaymentType]],Orders[#Headers],0),FALSE)</f>
        <v>UPI</v>
      </c>
      <c r="L842" t="str" cm="1">
        <f t="array" ref="L842">VLOOKUP(OrderLines[[#This Row],[OrderID]:[OrderID]],Orders[],MATCH(OrderLines[[#Headers],[Shift]],Orders[#Headers],0),FALSE)</f>
        <v>Breakfast</v>
      </c>
      <c r="M842" s="8">
        <f>(OrderLines[[#This Row],[Qty]]*OrderLines[[#This Row],[UnitPrice]])*(1-OrderLines[[#This Row],[DiscountPct]])</f>
        <v>412.84800000000001</v>
      </c>
      <c r="N842" t="str">
        <f>IF(AND(COUNTIFS(OrderLines[OrderID],OrderLines[[#This Row],[OrderID]],OrderLines[Category],"Hot Meal"),COUNTIFS(OrderLines[OrderID],OrderLines[[#This Row],[OrderID]],OrderLines[Category],"Beverage")),"Combo","Single")</f>
        <v>Single</v>
      </c>
      <c r="O842" s="8" t="str" cm="1">
        <f t="array" ref="O842">IF(SUMPRODUCT(OrderLines[UnitPrice],OrderLines[Qty],OrderLines[DiscountPct],--(OrderLines[OrderID] = OrderLines[[#This Row],[OrderID]]))&gt;40,"High Discount","Ok")</f>
        <v>Ok</v>
      </c>
      <c r="P842">
        <f>OrderLines[[#This Row],[UnitCost]]*OrderLines[[#This Row],[Qty]]</f>
        <v>242.76</v>
      </c>
      <c r="Q842" s="8">
        <f>OrderLines[[#This Row],[LineNetAmount]]-OrderLines[[#This Row],[Food Cost]]</f>
        <v>170.08800000000002</v>
      </c>
    </row>
    <row r="843" spans="1:17" x14ac:dyDescent="0.3">
      <c r="A843" t="s">
        <v>366</v>
      </c>
      <c r="B843" t="s">
        <v>401</v>
      </c>
      <c r="C843">
        <v>1</v>
      </c>
      <c r="D843" cm="1">
        <f t="array" ref="D843">VLOOKUP(OrderLines[[#This Row],[SKU]:[SKU]],Menu[],MATCH(OrderLines[[#Headers],[UnitPrice]],Menu[#Headers],0),FALSE)</f>
        <v>52.45</v>
      </c>
      <c r="E843" cm="1">
        <f t="array" ref="E843">VLOOKUP(OrderLines[[#This Row],[SKU]:[SKU]],Menu[],MATCH(OrderLines[[#Headers],[UnitCost]],Menu[#Headers],0),FALSE)</f>
        <v>25.8</v>
      </c>
      <c r="F843" t="str" cm="1">
        <f t="array" ref="F843">VLOOKUP(OrderLines[[#This Row],[SKU]:[SKU]],Menu[],MATCH(OrderLines[[#Headers],[Category]],Menu[#Headers],0),FALSE)</f>
        <v>Snack</v>
      </c>
      <c r="G843" t="str" cm="1">
        <f t="array" ref="G843">_xlfn.TEXTJOIN("+",TRUE,_xlfn._xlws.SORT(_xlfn.UNIQUE(_xlfn._xlws.FILTER(OrderLines[Category],OrderLines[OrderID]=OrderLines[[#This Row],[OrderID]]))))</f>
        <v>Dessert+Hot Meal+Snack</v>
      </c>
      <c r="H843" s="2" cm="1">
        <f t="array" ref="H843">INT(VLOOKUP(OrderLines[[#This Row],[OrderID]:[OrderID]],Orders[],MATCH(OrderLines[[#Headers],[OrderDateTime]],Orders[#Headers],0),FALSE))</f>
        <v>45885</v>
      </c>
      <c r="I843" t="str" cm="1">
        <f t="array" ref="I843">VLOOKUP(OrderLines[[#This Row],[OrderID]:[OrderID]],Orders[],MATCH(OrderLines[[#Headers],[Branch]],Orders[#Headers],0),FALSE)</f>
        <v>Head Office Café</v>
      </c>
      <c r="J843" cm="1">
        <f t="array" ref="J843">VLOOKUP(OrderLines[[#This Row],[OrderID]:[OrderID]],Orders[],MATCH(OrderLines[[#Headers],[DiscountPct]],Orders[#Headers],0),FALSE)</f>
        <v>0.06</v>
      </c>
      <c r="K843" t="str" cm="1">
        <f t="array" ref="K843">VLOOKUP(OrderLines[[#This Row],[OrderID]:[OrderID]],Orders[],MATCH(OrderLines[[#Headers],[PaymentType]],Orders[#Headers],0),FALSE)</f>
        <v>UPI</v>
      </c>
      <c r="L843" t="str" cm="1">
        <f t="array" ref="L843">VLOOKUP(OrderLines[[#This Row],[OrderID]:[OrderID]],Orders[],MATCH(OrderLines[[#Headers],[Shift]],Orders[#Headers],0),FALSE)</f>
        <v>Breakfast</v>
      </c>
      <c r="M843" s="8">
        <f>(OrderLines[[#This Row],[Qty]]*OrderLines[[#This Row],[UnitPrice]])*(1-OrderLines[[#This Row],[DiscountPct]])</f>
        <v>49.302999999999997</v>
      </c>
      <c r="N843" t="str">
        <f>IF(AND(COUNTIFS(OrderLines[OrderID],OrderLines[[#This Row],[OrderID]],OrderLines[Category],"Hot Meal"),COUNTIFS(OrderLines[OrderID],OrderLines[[#This Row],[OrderID]],OrderLines[Category],"Beverage")),"Combo","Single")</f>
        <v>Single</v>
      </c>
      <c r="O843" s="8" t="str" cm="1">
        <f t="array" ref="O843">IF(SUMPRODUCT(OrderLines[UnitPrice],OrderLines[Qty],OrderLines[DiscountPct],--(OrderLines[OrderID] = OrderLines[[#This Row],[OrderID]]))&gt;40,"High Discount","Ok")</f>
        <v>Ok</v>
      </c>
      <c r="P843">
        <f>OrderLines[[#This Row],[UnitCost]]*OrderLines[[#This Row],[Qty]]</f>
        <v>25.8</v>
      </c>
      <c r="Q843" s="8">
        <f>OrderLines[[#This Row],[LineNetAmount]]-OrderLines[[#This Row],[Food Cost]]</f>
        <v>23.502999999999997</v>
      </c>
    </row>
    <row r="844" spans="1:17" x14ac:dyDescent="0.3">
      <c r="A844" t="s">
        <v>367</v>
      </c>
      <c r="B844" t="s">
        <v>410</v>
      </c>
      <c r="C844">
        <v>2</v>
      </c>
      <c r="D844" cm="1">
        <f t="array" ref="D844">VLOOKUP(OrderLines[[#This Row],[SKU]:[SKU]],Menu[],MATCH(OrderLines[[#Headers],[UnitPrice]],Menu[#Headers],0),FALSE)</f>
        <v>20.11</v>
      </c>
      <c r="E844" cm="1">
        <f t="array" ref="E844">VLOOKUP(OrderLines[[#This Row],[SKU]:[SKU]],Menu[],MATCH(OrderLines[[#Headers],[UnitCost]],Menu[#Headers],0),FALSE)</f>
        <v>8</v>
      </c>
      <c r="F844" t="str" cm="1">
        <f t="array" ref="F844">VLOOKUP(OrderLines[[#This Row],[SKU]:[SKU]],Menu[],MATCH(OrderLines[[#Headers],[Category]],Menu[#Headers],0),FALSE)</f>
        <v>Beverage</v>
      </c>
      <c r="G844" t="str" cm="1">
        <f t="array" ref="G844">_xlfn.TEXTJOIN("+",TRUE,_xlfn._xlws.SORT(_xlfn.UNIQUE(_xlfn._xlws.FILTER(OrderLines[Category],OrderLines[OrderID]=OrderLines[[#This Row],[OrderID]]))))</f>
        <v>Beverage+Hot Meal</v>
      </c>
      <c r="H844" s="2" cm="1">
        <f t="array" ref="H844">INT(VLOOKUP(OrderLines[[#This Row],[OrderID]:[OrderID]],Orders[],MATCH(OrderLines[[#Headers],[OrderDateTime]],Orders[#Headers],0),FALSE))</f>
        <v>45882</v>
      </c>
      <c r="I844" t="str" cm="1">
        <f t="array" ref="I844">VLOOKUP(OrderLines[[#This Row],[OrderID]:[OrderID]],Orders[],MATCH(OrderLines[[#Headers],[Branch]],Orders[#Headers],0),FALSE)</f>
        <v>Head Office Café</v>
      </c>
      <c r="J844" cm="1">
        <f t="array" ref="J844">VLOOKUP(OrderLines[[#This Row],[OrderID]:[OrderID]],Orders[],MATCH(OrderLines[[#Headers],[DiscountPct]],Orders[#Headers],0),FALSE)</f>
        <v>0.08</v>
      </c>
      <c r="K844" t="str" cm="1">
        <f t="array" ref="K844">VLOOKUP(OrderLines[[#This Row],[OrderID]:[OrderID]],Orders[],MATCH(OrderLines[[#Headers],[PaymentType]],Orders[#Headers],0),FALSE)</f>
        <v>Cash</v>
      </c>
      <c r="L844" t="str" cm="1">
        <f t="array" ref="L844">VLOOKUP(OrderLines[[#This Row],[OrderID]:[OrderID]],Orders[],MATCH(OrderLines[[#Headers],[Shift]],Orders[#Headers],0),FALSE)</f>
        <v>Dinner</v>
      </c>
      <c r="M844" s="8">
        <f>(OrderLines[[#This Row],[Qty]]*OrderLines[[#This Row],[UnitPrice]])*(1-OrderLines[[#This Row],[DiscountPct]])</f>
        <v>37.002400000000002</v>
      </c>
      <c r="N844" t="str">
        <f>IF(AND(COUNTIFS(OrderLines[OrderID],OrderLines[[#This Row],[OrderID]],OrderLines[Category],"Hot Meal"),COUNTIFS(OrderLines[OrderID],OrderLines[[#This Row],[OrderID]],OrderLines[Category],"Beverage")),"Combo","Single")</f>
        <v>Combo</v>
      </c>
      <c r="O844" s="8" t="str" cm="1">
        <f t="array" ref="O844">IF(SUMPRODUCT(OrderLines[UnitPrice],OrderLines[Qty],OrderLines[DiscountPct],--(OrderLines[OrderID] = OrderLines[[#This Row],[OrderID]]))&gt;40,"High Discount","Ok")</f>
        <v>High Discount</v>
      </c>
      <c r="P844">
        <f>OrderLines[[#This Row],[UnitCost]]*OrderLines[[#This Row],[Qty]]</f>
        <v>16</v>
      </c>
      <c r="Q844" s="8">
        <f>OrderLines[[#This Row],[LineNetAmount]]-OrderLines[[#This Row],[Food Cost]]</f>
        <v>21.002400000000002</v>
      </c>
    </row>
    <row r="845" spans="1:17" x14ac:dyDescent="0.3">
      <c r="A845" t="s">
        <v>367</v>
      </c>
      <c r="B845" t="s">
        <v>405</v>
      </c>
      <c r="C845">
        <v>1</v>
      </c>
      <c r="D845" cm="1">
        <f t="array" ref="D845">VLOOKUP(OrderLines[[#This Row],[SKU]:[SKU]],Menu[],MATCH(OrderLines[[#Headers],[UnitPrice]],Menu[#Headers],0),FALSE)</f>
        <v>170.83</v>
      </c>
      <c r="E845" cm="1">
        <f t="array" ref="E845">VLOOKUP(OrderLines[[#This Row],[SKU]:[SKU]],Menu[],MATCH(OrderLines[[#Headers],[UnitCost]],Menu[#Headers],0),FALSE)</f>
        <v>74.069999999999993</v>
      </c>
      <c r="F845" t="str" cm="1">
        <f t="array" ref="F845">VLOOKUP(OrderLines[[#This Row],[SKU]:[SKU]],Menu[],MATCH(OrderLines[[#Headers],[Category]],Menu[#Headers],0),FALSE)</f>
        <v>Hot Meal</v>
      </c>
      <c r="G845" t="str" cm="1">
        <f t="array" ref="G845">_xlfn.TEXTJOIN("+",TRUE,_xlfn._xlws.SORT(_xlfn.UNIQUE(_xlfn._xlws.FILTER(OrderLines[Category],OrderLines[OrderID]=OrderLines[[#This Row],[OrderID]]))))</f>
        <v>Beverage+Hot Meal</v>
      </c>
      <c r="H845" s="2" cm="1">
        <f t="array" ref="H845">INT(VLOOKUP(OrderLines[[#This Row],[OrderID]:[OrderID]],Orders[],MATCH(OrderLines[[#Headers],[OrderDateTime]],Orders[#Headers],0),FALSE))</f>
        <v>45882</v>
      </c>
      <c r="I845" t="str" cm="1">
        <f t="array" ref="I845">VLOOKUP(OrderLines[[#This Row],[OrderID]:[OrderID]],Orders[],MATCH(OrderLines[[#Headers],[Branch]],Orders[#Headers],0),FALSE)</f>
        <v>Head Office Café</v>
      </c>
      <c r="J845" cm="1">
        <f t="array" ref="J845">VLOOKUP(OrderLines[[#This Row],[OrderID]:[OrderID]],Orders[],MATCH(OrderLines[[#Headers],[DiscountPct]],Orders[#Headers],0),FALSE)</f>
        <v>0.08</v>
      </c>
      <c r="K845" t="str" cm="1">
        <f t="array" ref="K845">VLOOKUP(OrderLines[[#This Row],[OrderID]:[OrderID]],Orders[],MATCH(OrderLines[[#Headers],[PaymentType]],Orders[#Headers],0),FALSE)</f>
        <v>Cash</v>
      </c>
      <c r="L845" t="str" cm="1">
        <f t="array" ref="L845">VLOOKUP(OrderLines[[#This Row],[OrderID]:[OrderID]],Orders[],MATCH(OrderLines[[#Headers],[Shift]],Orders[#Headers],0),FALSE)</f>
        <v>Dinner</v>
      </c>
      <c r="M845" s="8">
        <f>(OrderLines[[#This Row],[Qty]]*OrderLines[[#This Row],[UnitPrice]])*(1-OrderLines[[#This Row],[DiscountPct]])</f>
        <v>157.16360000000003</v>
      </c>
      <c r="N845" t="str">
        <f>IF(AND(COUNTIFS(OrderLines[OrderID],OrderLines[[#This Row],[OrderID]],OrderLines[Category],"Hot Meal"),COUNTIFS(OrderLines[OrderID],OrderLines[[#This Row],[OrderID]],OrderLines[Category],"Beverage")),"Combo","Single")</f>
        <v>Combo</v>
      </c>
      <c r="O845" s="8" t="str" cm="1">
        <f t="array" ref="O845">IF(SUMPRODUCT(OrderLines[UnitPrice],OrderLines[Qty],OrderLines[DiscountPct],--(OrderLines[OrderID] = OrderLines[[#This Row],[OrderID]]))&gt;40,"High Discount","Ok")</f>
        <v>High Discount</v>
      </c>
      <c r="P845">
        <f>OrderLines[[#This Row],[UnitCost]]*OrderLines[[#This Row],[Qty]]</f>
        <v>74.069999999999993</v>
      </c>
      <c r="Q845" s="8">
        <f>OrderLines[[#This Row],[LineNetAmount]]-OrderLines[[#This Row],[Food Cost]]</f>
        <v>83.093600000000038</v>
      </c>
    </row>
    <row r="846" spans="1:17" x14ac:dyDescent="0.3">
      <c r="A846" t="s">
        <v>367</v>
      </c>
      <c r="B846" t="s">
        <v>415</v>
      </c>
      <c r="C846">
        <v>2</v>
      </c>
      <c r="D846" cm="1">
        <f t="array" ref="D846">VLOOKUP(OrderLines[[#This Row],[SKU]:[SKU]],Menu[],MATCH(OrderLines[[#Headers],[UnitPrice]],Menu[#Headers],0),FALSE)</f>
        <v>256.91000000000003</v>
      </c>
      <c r="E846" cm="1">
        <f t="array" ref="E846">VLOOKUP(OrderLines[[#This Row],[SKU]:[SKU]],Menu[],MATCH(OrderLines[[#Headers],[UnitCost]],Menu[#Headers],0),FALSE)</f>
        <v>121.24</v>
      </c>
      <c r="F846" t="str" cm="1">
        <f t="array" ref="F846">VLOOKUP(OrderLines[[#This Row],[SKU]:[SKU]],Menu[],MATCH(OrderLines[[#Headers],[Category]],Menu[#Headers],0),FALSE)</f>
        <v>Hot Meal</v>
      </c>
      <c r="G846" t="str" cm="1">
        <f t="array" ref="G846">_xlfn.TEXTJOIN("+",TRUE,_xlfn._xlws.SORT(_xlfn.UNIQUE(_xlfn._xlws.FILTER(OrderLines[Category],OrderLines[OrderID]=OrderLines[[#This Row],[OrderID]]))))</f>
        <v>Beverage+Hot Meal</v>
      </c>
      <c r="H846" s="2" cm="1">
        <f t="array" ref="H846">INT(VLOOKUP(OrderLines[[#This Row],[OrderID]:[OrderID]],Orders[],MATCH(OrderLines[[#Headers],[OrderDateTime]],Orders[#Headers],0),FALSE))</f>
        <v>45882</v>
      </c>
      <c r="I846" t="str" cm="1">
        <f t="array" ref="I846">VLOOKUP(OrderLines[[#This Row],[OrderID]:[OrderID]],Orders[],MATCH(OrderLines[[#Headers],[Branch]],Orders[#Headers],0),FALSE)</f>
        <v>Head Office Café</v>
      </c>
      <c r="J846" cm="1">
        <f t="array" ref="J846">VLOOKUP(OrderLines[[#This Row],[OrderID]:[OrderID]],Orders[],MATCH(OrderLines[[#Headers],[DiscountPct]],Orders[#Headers],0),FALSE)</f>
        <v>0.08</v>
      </c>
      <c r="K846" t="str" cm="1">
        <f t="array" ref="K846">VLOOKUP(OrderLines[[#This Row],[OrderID]:[OrderID]],Orders[],MATCH(OrderLines[[#Headers],[PaymentType]],Orders[#Headers],0),FALSE)</f>
        <v>Cash</v>
      </c>
      <c r="L846" t="str" cm="1">
        <f t="array" ref="L846">VLOOKUP(OrderLines[[#This Row],[OrderID]:[OrderID]],Orders[],MATCH(OrderLines[[#Headers],[Shift]],Orders[#Headers],0),FALSE)</f>
        <v>Dinner</v>
      </c>
      <c r="M846" s="8">
        <f>(OrderLines[[#This Row],[Qty]]*OrderLines[[#This Row],[UnitPrice]])*(1-OrderLines[[#This Row],[DiscountPct]])</f>
        <v>472.71440000000007</v>
      </c>
      <c r="N846" t="str">
        <f>IF(AND(COUNTIFS(OrderLines[OrderID],OrderLines[[#This Row],[OrderID]],OrderLines[Category],"Hot Meal"),COUNTIFS(OrderLines[OrderID],OrderLines[[#This Row],[OrderID]],OrderLines[Category],"Beverage")),"Combo","Single")</f>
        <v>Combo</v>
      </c>
      <c r="O846" s="8" t="str" cm="1">
        <f t="array" ref="O846">IF(SUMPRODUCT(OrderLines[UnitPrice],OrderLines[Qty],OrderLines[DiscountPct],--(OrderLines[OrderID] = OrderLines[[#This Row],[OrderID]]))&gt;40,"High Discount","Ok")</f>
        <v>High Discount</v>
      </c>
      <c r="P846">
        <f>OrderLines[[#This Row],[UnitCost]]*OrderLines[[#This Row],[Qty]]</f>
        <v>242.48</v>
      </c>
      <c r="Q846" s="8">
        <f>OrderLines[[#This Row],[LineNetAmount]]-OrderLines[[#This Row],[Food Cost]]</f>
        <v>230.23440000000008</v>
      </c>
    </row>
    <row r="847" spans="1:17" x14ac:dyDescent="0.3">
      <c r="A847" t="s">
        <v>368</v>
      </c>
      <c r="B847" t="s">
        <v>406</v>
      </c>
      <c r="C847">
        <v>2</v>
      </c>
      <c r="D847" cm="1">
        <f t="array" ref="D847">VLOOKUP(OrderLines[[#This Row],[SKU]:[SKU]],Menu[],MATCH(OrderLines[[#Headers],[UnitPrice]],Menu[#Headers],0),FALSE)</f>
        <v>38.06</v>
      </c>
      <c r="E847" cm="1">
        <f t="array" ref="E847">VLOOKUP(OrderLines[[#This Row],[SKU]:[SKU]],Menu[],MATCH(OrderLines[[#Headers],[UnitCost]],Menu[#Headers],0),FALSE)</f>
        <v>19.55</v>
      </c>
      <c r="F847" t="str" cm="1">
        <f t="array" ref="F847">VLOOKUP(OrderLines[[#This Row],[SKU]:[SKU]],Menu[],MATCH(OrderLines[[#Headers],[Category]],Menu[#Headers],0),FALSE)</f>
        <v>Snack</v>
      </c>
      <c r="G847" t="str" cm="1">
        <f t="array" ref="G847">_xlfn.TEXTJOIN("+",TRUE,_xlfn._xlws.SORT(_xlfn.UNIQUE(_xlfn._xlws.FILTER(OrderLines[Category],OrderLines[OrderID]=OrderLines[[#This Row],[OrderID]]))))</f>
        <v>Dessert+Hot Meal+Snack</v>
      </c>
      <c r="H847" s="2" cm="1">
        <f t="array" ref="H847">INT(VLOOKUP(OrderLines[[#This Row],[OrderID]:[OrderID]],Orders[],MATCH(OrderLines[[#Headers],[OrderDateTime]],Orders[#Headers],0),FALSE))</f>
        <v>45864</v>
      </c>
      <c r="I847" t="str" cm="1">
        <f t="array" ref="I847">VLOOKUP(OrderLines[[#This Row],[OrderID]:[OrderID]],Orders[],MATCH(OrderLines[[#Headers],[Branch]],Orders[#Headers],0),FALSE)</f>
        <v>Plant 1 Canteen</v>
      </c>
      <c r="J847" cm="1">
        <f t="array" ref="J847">VLOOKUP(OrderLines[[#This Row],[OrderID]:[OrderID]],Orders[],MATCH(OrderLines[[#Headers],[DiscountPct]],Orders[#Headers],0),FALSE)</f>
        <v>0.12</v>
      </c>
      <c r="K847" t="str" cm="1">
        <f t="array" ref="K847">VLOOKUP(OrderLines[[#This Row],[OrderID]:[OrderID]],Orders[],MATCH(OrderLines[[#Headers],[PaymentType]],Orders[#Headers],0),FALSE)</f>
        <v>UPI</v>
      </c>
      <c r="L847" t="str" cm="1">
        <f t="array" ref="L847">VLOOKUP(OrderLines[[#This Row],[OrderID]:[OrderID]],Orders[],MATCH(OrderLines[[#Headers],[Shift]],Orders[#Headers],0),FALSE)</f>
        <v>Breakfast</v>
      </c>
      <c r="M847" s="8">
        <f>(OrderLines[[#This Row],[Qty]]*OrderLines[[#This Row],[UnitPrice]])*(1-OrderLines[[#This Row],[DiscountPct]])</f>
        <v>66.985600000000005</v>
      </c>
      <c r="N847" t="str">
        <f>IF(AND(COUNTIFS(OrderLines[OrderID],OrderLines[[#This Row],[OrderID]],OrderLines[Category],"Hot Meal"),COUNTIFS(OrderLines[OrderID],OrderLines[[#This Row],[OrderID]],OrderLines[Category],"Beverage")),"Combo","Single")</f>
        <v>Single</v>
      </c>
      <c r="O847" s="8" t="str" cm="1">
        <f t="array" ref="O847">IF(SUMPRODUCT(OrderLines[UnitPrice],OrderLines[Qty],OrderLines[DiscountPct],--(OrderLines[OrderID] = OrderLines[[#This Row],[OrderID]]))&gt;40,"High Discount","Ok")</f>
        <v>High Discount</v>
      </c>
      <c r="P847">
        <f>OrderLines[[#This Row],[UnitCost]]*OrderLines[[#This Row],[Qty]]</f>
        <v>39.1</v>
      </c>
      <c r="Q847" s="8">
        <f>OrderLines[[#This Row],[LineNetAmount]]-OrderLines[[#This Row],[Food Cost]]</f>
        <v>27.885600000000004</v>
      </c>
    </row>
    <row r="848" spans="1:17" x14ac:dyDescent="0.3">
      <c r="A848" t="s">
        <v>368</v>
      </c>
      <c r="B848" t="s">
        <v>407</v>
      </c>
      <c r="C848">
        <v>1</v>
      </c>
      <c r="D848" cm="1">
        <f t="array" ref="D848">VLOOKUP(OrderLines[[#This Row],[SKU]:[SKU]],Menu[],MATCH(OrderLines[[#Headers],[UnitPrice]],Menu[#Headers],0),FALSE)</f>
        <v>246.09</v>
      </c>
      <c r="E848" cm="1">
        <f t="array" ref="E848">VLOOKUP(OrderLines[[#This Row],[SKU]:[SKU]],Menu[],MATCH(OrderLines[[#Headers],[UnitCost]],Menu[#Headers],0),FALSE)</f>
        <v>112.08</v>
      </c>
      <c r="F848" t="str" cm="1">
        <f t="array" ref="F848">VLOOKUP(OrderLines[[#This Row],[SKU]:[SKU]],Menu[],MATCH(OrderLines[[#Headers],[Category]],Menu[#Headers],0),FALSE)</f>
        <v>Hot Meal</v>
      </c>
      <c r="G848" t="str" cm="1">
        <f t="array" ref="G848">_xlfn.TEXTJOIN("+",TRUE,_xlfn._xlws.SORT(_xlfn.UNIQUE(_xlfn._xlws.FILTER(OrderLines[Category],OrderLines[OrderID]=OrderLines[[#This Row],[OrderID]]))))</f>
        <v>Dessert+Hot Meal+Snack</v>
      </c>
      <c r="H848" s="2" cm="1">
        <f t="array" ref="H848">INT(VLOOKUP(OrderLines[[#This Row],[OrderID]:[OrderID]],Orders[],MATCH(OrderLines[[#Headers],[OrderDateTime]],Orders[#Headers],0),FALSE))</f>
        <v>45864</v>
      </c>
      <c r="I848" t="str" cm="1">
        <f t="array" ref="I848">VLOOKUP(OrderLines[[#This Row],[OrderID]:[OrderID]],Orders[],MATCH(OrderLines[[#Headers],[Branch]],Orders[#Headers],0),FALSE)</f>
        <v>Plant 1 Canteen</v>
      </c>
      <c r="J848" cm="1">
        <f t="array" ref="J848">VLOOKUP(OrderLines[[#This Row],[OrderID]:[OrderID]],Orders[],MATCH(OrderLines[[#Headers],[DiscountPct]],Orders[#Headers],0),FALSE)</f>
        <v>0.12</v>
      </c>
      <c r="K848" t="str" cm="1">
        <f t="array" ref="K848">VLOOKUP(OrderLines[[#This Row],[OrderID]:[OrderID]],Orders[],MATCH(OrderLines[[#Headers],[PaymentType]],Orders[#Headers],0),FALSE)</f>
        <v>UPI</v>
      </c>
      <c r="L848" t="str" cm="1">
        <f t="array" ref="L848">VLOOKUP(OrderLines[[#This Row],[OrderID]:[OrderID]],Orders[],MATCH(OrderLines[[#Headers],[Shift]],Orders[#Headers],0),FALSE)</f>
        <v>Breakfast</v>
      </c>
      <c r="M848" s="8">
        <f>(OrderLines[[#This Row],[Qty]]*OrderLines[[#This Row],[UnitPrice]])*(1-OrderLines[[#This Row],[DiscountPct]])</f>
        <v>216.5592</v>
      </c>
      <c r="N848" t="str">
        <f>IF(AND(COUNTIFS(OrderLines[OrderID],OrderLines[[#This Row],[OrderID]],OrderLines[Category],"Hot Meal"),COUNTIFS(OrderLines[OrderID],OrderLines[[#This Row],[OrderID]],OrderLines[Category],"Beverage")),"Combo","Single")</f>
        <v>Single</v>
      </c>
      <c r="O848" s="8" t="str" cm="1">
        <f t="array" ref="O848">IF(SUMPRODUCT(OrderLines[UnitPrice],OrderLines[Qty],OrderLines[DiscountPct],--(OrderLines[OrderID] = OrderLines[[#This Row],[OrderID]]))&gt;40,"High Discount","Ok")</f>
        <v>High Discount</v>
      </c>
      <c r="P848">
        <f>OrderLines[[#This Row],[UnitCost]]*OrderLines[[#This Row],[Qty]]</f>
        <v>112.08</v>
      </c>
      <c r="Q848" s="8">
        <f>OrderLines[[#This Row],[LineNetAmount]]-OrderLines[[#This Row],[Food Cost]]</f>
        <v>104.47920000000001</v>
      </c>
    </row>
    <row r="849" spans="1:17" x14ac:dyDescent="0.3">
      <c r="A849" t="s">
        <v>368</v>
      </c>
      <c r="B849" t="s">
        <v>418</v>
      </c>
      <c r="C849">
        <v>2</v>
      </c>
      <c r="D849" cm="1">
        <f t="array" ref="D849">VLOOKUP(OrderLines[[#This Row],[SKU]:[SKU]],Menu[],MATCH(OrderLines[[#Headers],[UnitPrice]],Menu[#Headers],0),FALSE)</f>
        <v>39.950000000000003</v>
      </c>
      <c r="E849" cm="1">
        <f t="array" ref="E849">VLOOKUP(OrderLines[[#This Row],[SKU]:[SKU]],Menu[],MATCH(OrderLines[[#Headers],[UnitCost]],Menu[#Headers],0),FALSE)</f>
        <v>15.51</v>
      </c>
      <c r="F849" t="str" cm="1">
        <f t="array" ref="F849">VLOOKUP(OrderLines[[#This Row],[SKU]:[SKU]],Menu[],MATCH(OrderLines[[#Headers],[Category]],Menu[#Headers],0),FALSE)</f>
        <v>Snack</v>
      </c>
      <c r="G849" t="str" cm="1">
        <f t="array" ref="G849">_xlfn.TEXTJOIN("+",TRUE,_xlfn._xlws.SORT(_xlfn.UNIQUE(_xlfn._xlws.FILTER(OrderLines[Category],OrderLines[OrderID]=OrderLines[[#This Row],[OrderID]]))))</f>
        <v>Dessert+Hot Meal+Snack</v>
      </c>
      <c r="H849" s="2" cm="1">
        <f t="array" ref="H849">INT(VLOOKUP(OrderLines[[#This Row],[OrderID]:[OrderID]],Orders[],MATCH(OrderLines[[#Headers],[OrderDateTime]],Orders[#Headers],0),FALSE))</f>
        <v>45864</v>
      </c>
      <c r="I849" t="str" cm="1">
        <f t="array" ref="I849">VLOOKUP(OrderLines[[#This Row],[OrderID]:[OrderID]],Orders[],MATCH(OrderLines[[#Headers],[Branch]],Orders[#Headers],0),FALSE)</f>
        <v>Plant 1 Canteen</v>
      </c>
      <c r="J849" cm="1">
        <f t="array" ref="J849">VLOOKUP(OrderLines[[#This Row],[OrderID]:[OrderID]],Orders[],MATCH(OrderLines[[#Headers],[DiscountPct]],Orders[#Headers],0),FALSE)</f>
        <v>0.12</v>
      </c>
      <c r="K849" t="str" cm="1">
        <f t="array" ref="K849">VLOOKUP(OrderLines[[#This Row],[OrderID]:[OrderID]],Orders[],MATCH(OrderLines[[#Headers],[PaymentType]],Orders[#Headers],0),FALSE)</f>
        <v>UPI</v>
      </c>
      <c r="L849" t="str" cm="1">
        <f t="array" ref="L849">VLOOKUP(OrderLines[[#This Row],[OrderID]:[OrderID]],Orders[],MATCH(OrderLines[[#Headers],[Shift]],Orders[#Headers],0),FALSE)</f>
        <v>Breakfast</v>
      </c>
      <c r="M849" s="8">
        <f>(OrderLines[[#This Row],[Qty]]*OrderLines[[#This Row],[UnitPrice]])*(1-OrderLines[[#This Row],[DiscountPct]])</f>
        <v>70.312000000000012</v>
      </c>
      <c r="N849" t="str">
        <f>IF(AND(COUNTIFS(OrderLines[OrderID],OrderLines[[#This Row],[OrderID]],OrderLines[Category],"Hot Meal"),COUNTIFS(OrderLines[OrderID],OrderLines[[#This Row],[OrderID]],OrderLines[Category],"Beverage")),"Combo","Single")</f>
        <v>Single</v>
      </c>
      <c r="O849" s="8" t="str" cm="1">
        <f t="array" ref="O849">IF(SUMPRODUCT(OrderLines[UnitPrice],OrderLines[Qty],OrderLines[DiscountPct],--(OrderLines[OrderID] = OrderLines[[#This Row],[OrderID]]))&gt;40,"High Discount","Ok")</f>
        <v>High Discount</v>
      </c>
      <c r="P849">
        <f>OrderLines[[#This Row],[UnitCost]]*OrderLines[[#This Row],[Qty]]</f>
        <v>31.02</v>
      </c>
      <c r="Q849" s="8">
        <f>OrderLines[[#This Row],[LineNetAmount]]-OrderLines[[#This Row],[Food Cost]]</f>
        <v>39.292000000000016</v>
      </c>
    </row>
    <row r="850" spans="1:17" x14ac:dyDescent="0.3">
      <c r="A850" t="s">
        <v>368</v>
      </c>
      <c r="B850" t="s">
        <v>412</v>
      </c>
      <c r="C850">
        <v>1</v>
      </c>
      <c r="D850" cm="1">
        <f t="array" ref="D850">VLOOKUP(OrderLines[[#This Row],[SKU]:[SKU]],Menu[],MATCH(OrderLines[[#Headers],[UnitPrice]],Menu[#Headers],0),FALSE)</f>
        <v>57.07</v>
      </c>
      <c r="E850" cm="1">
        <f t="array" ref="E850">VLOOKUP(OrderLines[[#This Row],[SKU]:[SKU]],Menu[],MATCH(OrderLines[[#Headers],[UnitCost]],Menu[#Headers],0),FALSE)</f>
        <v>29.14</v>
      </c>
      <c r="F850" t="str" cm="1">
        <f t="array" ref="F850">VLOOKUP(OrderLines[[#This Row],[SKU]:[SKU]],Menu[],MATCH(OrderLines[[#Headers],[Category]],Menu[#Headers],0),FALSE)</f>
        <v>Dessert</v>
      </c>
      <c r="G850" t="str" cm="1">
        <f t="array" ref="G850">_xlfn.TEXTJOIN("+",TRUE,_xlfn._xlws.SORT(_xlfn.UNIQUE(_xlfn._xlws.FILTER(OrderLines[Category],OrderLines[OrderID]=OrderLines[[#This Row],[OrderID]]))))</f>
        <v>Dessert+Hot Meal+Snack</v>
      </c>
      <c r="H850" s="2" cm="1">
        <f t="array" ref="H850">INT(VLOOKUP(OrderLines[[#This Row],[OrderID]:[OrderID]],Orders[],MATCH(OrderLines[[#Headers],[OrderDateTime]],Orders[#Headers],0),FALSE))</f>
        <v>45864</v>
      </c>
      <c r="I850" t="str" cm="1">
        <f t="array" ref="I850">VLOOKUP(OrderLines[[#This Row],[OrderID]:[OrderID]],Orders[],MATCH(OrderLines[[#Headers],[Branch]],Orders[#Headers],0),FALSE)</f>
        <v>Plant 1 Canteen</v>
      </c>
      <c r="J850" cm="1">
        <f t="array" ref="J850">VLOOKUP(OrderLines[[#This Row],[OrderID]:[OrderID]],Orders[],MATCH(OrderLines[[#Headers],[DiscountPct]],Orders[#Headers],0),FALSE)</f>
        <v>0.12</v>
      </c>
      <c r="K850" t="str" cm="1">
        <f t="array" ref="K850">VLOOKUP(OrderLines[[#This Row],[OrderID]:[OrderID]],Orders[],MATCH(OrderLines[[#Headers],[PaymentType]],Orders[#Headers],0),FALSE)</f>
        <v>UPI</v>
      </c>
      <c r="L850" t="str" cm="1">
        <f t="array" ref="L850">VLOOKUP(OrderLines[[#This Row],[OrderID]:[OrderID]],Orders[],MATCH(OrderLines[[#Headers],[Shift]],Orders[#Headers],0),FALSE)</f>
        <v>Breakfast</v>
      </c>
      <c r="M850" s="8">
        <f>(OrderLines[[#This Row],[Qty]]*OrderLines[[#This Row],[UnitPrice]])*(1-OrderLines[[#This Row],[DiscountPct]])</f>
        <v>50.221600000000002</v>
      </c>
      <c r="N850" t="str">
        <f>IF(AND(COUNTIFS(OrderLines[OrderID],OrderLines[[#This Row],[OrderID]],OrderLines[Category],"Hot Meal"),COUNTIFS(OrderLines[OrderID],OrderLines[[#This Row],[OrderID]],OrderLines[Category],"Beverage")),"Combo","Single")</f>
        <v>Single</v>
      </c>
      <c r="O850" s="8" t="str" cm="1">
        <f t="array" ref="O850">IF(SUMPRODUCT(OrderLines[UnitPrice],OrderLines[Qty],OrderLines[DiscountPct],--(OrderLines[OrderID] = OrderLines[[#This Row],[OrderID]]))&gt;40,"High Discount","Ok")</f>
        <v>High Discount</v>
      </c>
      <c r="P850">
        <f>OrderLines[[#This Row],[UnitCost]]*OrderLines[[#This Row],[Qty]]</f>
        <v>29.14</v>
      </c>
      <c r="Q850" s="8">
        <f>OrderLines[[#This Row],[LineNetAmount]]-OrderLines[[#This Row],[Food Cost]]</f>
        <v>21.081600000000002</v>
      </c>
    </row>
    <row r="851" spans="1:17" x14ac:dyDescent="0.3">
      <c r="A851" t="s">
        <v>369</v>
      </c>
      <c r="B851" t="s">
        <v>411</v>
      </c>
      <c r="C851">
        <v>2</v>
      </c>
      <c r="D851" cm="1">
        <f t="array" ref="D851">VLOOKUP(OrderLines[[#This Row],[SKU]:[SKU]],Menu[],MATCH(OrderLines[[#Headers],[UnitPrice]],Menu[#Headers],0),FALSE)</f>
        <v>22.2</v>
      </c>
      <c r="E851" cm="1">
        <f t="array" ref="E851">VLOOKUP(OrderLines[[#This Row],[SKU]:[SKU]],Menu[],MATCH(OrderLines[[#Headers],[UnitCost]],Menu[#Headers],0),FALSE)</f>
        <v>9.3800000000000008</v>
      </c>
      <c r="F851" t="str" cm="1">
        <f t="array" ref="F851">VLOOKUP(OrderLines[[#This Row],[SKU]:[SKU]],Menu[],MATCH(OrderLines[[#Headers],[Category]],Menu[#Headers],0),FALSE)</f>
        <v>Beverage</v>
      </c>
      <c r="G851" t="str" cm="1">
        <f t="array" ref="G851">_xlfn.TEXTJOIN("+",TRUE,_xlfn._xlws.SORT(_xlfn.UNIQUE(_xlfn._xlws.FILTER(OrderLines[Category],OrderLines[OrderID]=OrderLines[[#This Row],[OrderID]]))))</f>
        <v>Beverage+Dessert+Snack</v>
      </c>
      <c r="H851" s="2" cm="1">
        <f t="array" ref="H851">INT(VLOOKUP(OrderLines[[#This Row],[OrderID]:[OrderID]],Orders[],MATCH(OrderLines[[#Headers],[OrderDateTime]],Orders[#Headers],0),FALSE))</f>
        <v>45880</v>
      </c>
      <c r="I851" t="str" cm="1">
        <f t="array" ref="I851">VLOOKUP(OrderLines[[#This Row],[OrderID]:[OrderID]],Orders[],MATCH(OrderLines[[#Headers],[Branch]],Orders[#Headers],0),FALSE)</f>
        <v>Plant 1 Canteen</v>
      </c>
      <c r="J851" cm="1">
        <f t="array" ref="J851">VLOOKUP(OrderLines[[#This Row],[OrderID]:[OrderID]],Orders[],MATCH(OrderLines[[#Headers],[DiscountPct]],Orders[#Headers],0),FALSE)</f>
        <v>0.1</v>
      </c>
      <c r="K851" t="str" cm="1">
        <f t="array" ref="K851">VLOOKUP(OrderLines[[#This Row],[OrderID]:[OrderID]],Orders[],MATCH(OrderLines[[#Headers],[PaymentType]],Orders[#Headers],0),FALSE)</f>
        <v>Cash</v>
      </c>
      <c r="L851" t="str" cm="1">
        <f t="array" ref="L851">VLOOKUP(OrderLines[[#This Row],[OrderID]:[OrderID]],Orders[],MATCH(OrderLines[[#Headers],[Shift]],Orders[#Headers],0),FALSE)</f>
        <v>Breakfast</v>
      </c>
      <c r="M851" s="8">
        <f>(OrderLines[[#This Row],[Qty]]*OrderLines[[#This Row],[UnitPrice]])*(1-OrderLines[[#This Row],[DiscountPct]])</f>
        <v>39.96</v>
      </c>
      <c r="N851" t="str">
        <f>IF(AND(COUNTIFS(OrderLines[OrderID],OrderLines[[#This Row],[OrderID]],OrderLines[Category],"Hot Meal"),COUNTIFS(OrderLines[OrderID],OrderLines[[#This Row],[OrderID]],OrderLines[Category],"Beverage")),"Combo","Single")</f>
        <v>Single</v>
      </c>
      <c r="O851" s="8" t="str" cm="1">
        <f t="array" ref="O851">IF(SUMPRODUCT(OrderLines[UnitPrice],OrderLines[Qty],OrderLines[DiscountPct],--(OrderLines[OrderID] = OrderLines[[#This Row],[OrderID]]))&gt;40,"High Discount","Ok")</f>
        <v>Ok</v>
      </c>
      <c r="P851">
        <f>OrderLines[[#This Row],[UnitCost]]*OrderLines[[#This Row],[Qty]]</f>
        <v>18.760000000000002</v>
      </c>
      <c r="Q851" s="8">
        <f>OrderLines[[#This Row],[LineNetAmount]]-OrderLines[[#This Row],[Food Cost]]</f>
        <v>21.2</v>
      </c>
    </row>
    <row r="852" spans="1:17" x14ac:dyDescent="0.3">
      <c r="A852" t="s">
        <v>369</v>
      </c>
      <c r="B852" t="s">
        <v>408</v>
      </c>
      <c r="C852">
        <v>1</v>
      </c>
      <c r="D852" cm="1">
        <f t="array" ref="D852">VLOOKUP(OrderLines[[#This Row],[SKU]:[SKU]],Menu[],MATCH(OrderLines[[#Headers],[UnitPrice]],Menu[#Headers],0),FALSE)</f>
        <v>70.540000000000006</v>
      </c>
      <c r="E852" cm="1">
        <f t="array" ref="E852">VLOOKUP(OrderLines[[#This Row],[SKU]:[SKU]],Menu[],MATCH(OrderLines[[#Headers],[UnitCost]],Menu[#Headers],0),FALSE)</f>
        <v>35.81</v>
      </c>
      <c r="F852" t="str" cm="1">
        <f t="array" ref="F852">VLOOKUP(OrderLines[[#This Row],[SKU]:[SKU]],Menu[],MATCH(OrderLines[[#Headers],[Category]],Menu[#Headers],0),FALSE)</f>
        <v>Snack</v>
      </c>
      <c r="G852" t="str" cm="1">
        <f t="array" ref="G852">_xlfn.TEXTJOIN("+",TRUE,_xlfn._xlws.SORT(_xlfn.UNIQUE(_xlfn._xlws.FILTER(OrderLines[Category],OrderLines[OrderID]=OrderLines[[#This Row],[OrderID]]))))</f>
        <v>Beverage+Dessert+Snack</v>
      </c>
      <c r="H852" s="2" cm="1">
        <f t="array" ref="H852">INT(VLOOKUP(OrderLines[[#This Row],[OrderID]:[OrderID]],Orders[],MATCH(OrderLines[[#Headers],[OrderDateTime]],Orders[#Headers],0),FALSE))</f>
        <v>45880</v>
      </c>
      <c r="I852" t="str" cm="1">
        <f t="array" ref="I852">VLOOKUP(OrderLines[[#This Row],[OrderID]:[OrderID]],Orders[],MATCH(OrderLines[[#Headers],[Branch]],Orders[#Headers],0),FALSE)</f>
        <v>Plant 1 Canteen</v>
      </c>
      <c r="J852" cm="1">
        <f t="array" ref="J852">VLOOKUP(OrderLines[[#This Row],[OrderID]:[OrderID]],Orders[],MATCH(OrderLines[[#Headers],[DiscountPct]],Orders[#Headers],0),FALSE)</f>
        <v>0.1</v>
      </c>
      <c r="K852" t="str" cm="1">
        <f t="array" ref="K852">VLOOKUP(OrderLines[[#This Row],[OrderID]:[OrderID]],Orders[],MATCH(OrderLines[[#Headers],[PaymentType]],Orders[#Headers],0),FALSE)</f>
        <v>Cash</v>
      </c>
      <c r="L852" t="str" cm="1">
        <f t="array" ref="L852">VLOOKUP(OrderLines[[#This Row],[OrderID]:[OrderID]],Orders[],MATCH(OrderLines[[#Headers],[Shift]],Orders[#Headers],0),FALSE)</f>
        <v>Breakfast</v>
      </c>
      <c r="M852" s="8">
        <f>(OrderLines[[#This Row],[Qty]]*OrderLines[[#This Row],[UnitPrice]])*(1-OrderLines[[#This Row],[DiscountPct]])</f>
        <v>63.486000000000004</v>
      </c>
      <c r="N852" t="str">
        <f>IF(AND(COUNTIFS(OrderLines[OrderID],OrderLines[[#This Row],[OrderID]],OrderLines[Category],"Hot Meal"),COUNTIFS(OrderLines[OrderID],OrderLines[[#This Row],[OrderID]],OrderLines[Category],"Beverage")),"Combo","Single")</f>
        <v>Single</v>
      </c>
      <c r="O852" s="8" t="str" cm="1">
        <f t="array" ref="O852">IF(SUMPRODUCT(OrderLines[UnitPrice],OrderLines[Qty],OrderLines[DiscountPct],--(OrderLines[OrderID] = OrderLines[[#This Row],[OrderID]]))&gt;40,"High Discount","Ok")</f>
        <v>Ok</v>
      </c>
      <c r="P852">
        <f>OrderLines[[#This Row],[UnitCost]]*OrderLines[[#This Row],[Qty]]</f>
        <v>35.81</v>
      </c>
      <c r="Q852" s="8">
        <f>OrderLines[[#This Row],[LineNetAmount]]-OrderLines[[#This Row],[Food Cost]]</f>
        <v>27.676000000000002</v>
      </c>
    </row>
    <row r="853" spans="1:17" x14ac:dyDescent="0.3">
      <c r="A853" t="s">
        <v>369</v>
      </c>
      <c r="B853" t="s">
        <v>419</v>
      </c>
      <c r="C853">
        <v>1</v>
      </c>
      <c r="D853" cm="1">
        <f t="array" ref="D853">VLOOKUP(OrderLines[[#This Row],[SKU]:[SKU]],Menu[],MATCH(OrderLines[[#Headers],[UnitPrice]],Menu[#Headers],0),FALSE)</f>
        <v>50.19</v>
      </c>
      <c r="E853" cm="1">
        <f t="array" ref="E853">VLOOKUP(OrderLines[[#This Row],[SKU]:[SKU]],Menu[],MATCH(OrderLines[[#Headers],[UnitCost]],Menu[#Headers],0),FALSE)</f>
        <v>22.61</v>
      </c>
      <c r="F853" t="str" cm="1">
        <f t="array" ref="F853">VLOOKUP(OrderLines[[#This Row],[SKU]:[SKU]],Menu[],MATCH(OrderLines[[#Headers],[Category]],Menu[#Headers],0),FALSE)</f>
        <v>Snack</v>
      </c>
      <c r="G853" t="str" cm="1">
        <f t="array" ref="G853">_xlfn.TEXTJOIN("+",TRUE,_xlfn._xlws.SORT(_xlfn.UNIQUE(_xlfn._xlws.FILTER(OrderLines[Category],OrderLines[OrderID]=OrderLines[[#This Row],[OrderID]]))))</f>
        <v>Beverage+Dessert+Snack</v>
      </c>
      <c r="H853" s="2" cm="1">
        <f t="array" ref="H853">INT(VLOOKUP(OrderLines[[#This Row],[OrderID]:[OrderID]],Orders[],MATCH(OrderLines[[#Headers],[OrderDateTime]],Orders[#Headers],0),FALSE))</f>
        <v>45880</v>
      </c>
      <c r="I853" t="str" cm="1">
        <f t="array" ref="I853">VLOOKUP(OrderLines[[#This Row],[OrderID]:[OrderID]],Orders[],MATCH(OrderLines[[#Headers],[Branch]],Orders[#Headers],0),FALSE)</f>
        <v>Plant 1 Canteen</v>
      </c>
      <c r="J853" cm="1">
        <f t="array" ref="J853">VLOOKUP(OrderLines[[#This Row],[OrderID]:[OrderID]],Orders[],MATCH(OrderLines[[#Headers],[DiscountPct]],Orders[#Headers],0),FALSE)</f>
        <v>0.1</v>
      </c>
      <c r="K853" t="str" cm="1">
        <f t="array" ref="K853">VLOOKUP(OrderLines[[#This Row],[OrderID]:[OrderID]],Orders[],MATCH(OrderLines[[#Headers],[PaymentType]],Orders[#Headers],0),FALSE)</f>
        <v>Cash</v>
      </c>
      <c r="L853" t="str" cm="1">
        <f t="array" ref="L853">VLOOKUP(OrderLines[[#This Row],[OrderID]:[OrderID]],Orders[],MATCH(OrderLines[[#Headers],[Shift]],Orders[#Headers],0),FALSE)</f>
        <v>Breakfast</v>
      </c>
      <c r="M853" s="8">
        <f>(OrderLines[[#This Row],[Qty]]*OrderLines[[#This Row],[UnitPrice]])*(1-OrderLines[[#This Row],[DiscountPct]])</f>
        <v>45.170999999999999</v>
      </c>
      <c r="N853" t="str">
        <f>IF(AND(COUNTIFS(OrderLines[OrderID],OrderLines[[#This Row],[OrderID]],OrderLines[Category],"Hot Meal"),COUNTIFS(OrderLines[OrderID],OrderLines[[#This Row],[OrderID]],OrderLines[Category],"Beverage")),"Combo","Single")</f>
        <v>Single</v>
      </c>
      <c r="O853" s="8" t="str" cm="1">
        <f t="array" ref="O853">IF(SUMPRODUCT(OrderLines[UnitPrice],OrderLines[Qty],OrderLines[DiscountPct],--(OrderLines[OrderID] = OrderLines[[#This Row],[OrderID]]))&gt;40,"High Discount","Ok")</f>
        <v>Ok</v>
      </c>
      <c r="P853">
        <f>OrderLines[[#This Row],[UnitCost]]*OrderLines[[#This Row],[Qty]]</f>
        <v>22.61</v>
      </c>
      <c r="Q853" s="8">
        <f>OrderLines[[#This Row],[LineNetAmount]]-OrderLines[[#This Row],[Food Cost]]</f>
        <v>22.561</v>
      </c>
    </row>
    <row r="854" spans="1:17" x14ac:dyDescent="0.3">
      <c r="A854" t="s">
        <v>369</v>
      </c>
      <c r="B854" t="s">
        <v>413</v>
      </c>
      <c r="C854">
        <v>1</v>
      </c>
      <c r="D854" cm="1">
        <f t="array" ref="D854">VLOOKUP(OrderLines[[#This Row],[SKU]:[SKU]],Menu[],MATCH(OrderLines[[#Headers],[UnitPrice]],Menu[#Headers],0),FALSE)</f>
        <v>54.2</v>
      </c>
      <c r="E854" cm="1">
        <f t="array" ref="E854">VLOOKUP(OrderLines[[#This Row],[SKU]:[SKU]],Menu[],MATCH(OrderLines[[#Headers],[UnitCost]],Menu[#Headers],0),FALSE)</f>
        <v>21.95</v>
      </c>
      <c r="F854" t="str" cm="1">
        <f t="array" ref="F854">VLOOKUP(OrderLines[[#This Row],[SKU]:[SKU]],Menu[],MATCH(OrderLines[[#Headers],[Category]],Menu[#Headers],0),FALSE)</f>
        <v>Dessert</v>
      </c>
      <c r="G854" t="str" cm="1">
        <f t="array" ref="G854">_xlfn.TEXTJOIN("+",TRUE,_xlfn._xlws.SORT(_xlfn.UNIQUE(_xlfn._xlws.FILTER(OrderLines[Category],OrderLines[OrderID]=OrderLines[[#This Row],[OrderID]]))))</f>
        <v>Beverage+Dessert+Snack</v>
      </c>
      <c r="H854" s="2" cm="1">
        <f t="array" ref="H854">INT(VLOOKUP(OrderLines[[#This Row],[OrderID]:[OrderID]],Orders[],MATCH(OrderLines[[#Headers],[OrderDateTime]],Orders[#Headers],0),FALSE))</f>
        <v>45880</v>
      </c>
      <c r="I854" t="str" cm="1">
        <f t="array" ref="I854">VLOOKUP(OrderLines[[#This Row],[OrderID]:[OrderID]],Orders[],MATCH(OrderLines[[#Headers],[Branch]],Orders[#Headers],0),FALSE)</f>
        <v>Plant 1 Canteen</v>
      </c>
      <c r="J854" cm="1">
        <f t="array" ref="J854">VLOOKUP(OrderLines[[#This Row],[OrderID]:[OrderID]],Orders[],MATCH(OrderLines[[#Headers],[DiscountPct]],Orders[#Headers],0),FALSE)</f>
        <v>0.1</v>
      </c>
      <c r="K854" t="str" cm="1">
        <f t="array" ref="K854">VLOOKUP(OrderLines[[#This Row],[OrderID]:[OrderID]],Orders[],MATCH(OrderLines[[#Headers],[PaymentType]],Orders[#Headers],0),FALSE)</f>
        <v>Cash</v>
      </c>
      <c r="L854" t="str" cm="1">
        <f t="array" ref="L854">VLOOKUP(OrderLines[[#This Row],[OrderID]:[OrderID]],Orders[],MATCH(OrderLines[[#Headers],[Shift]],Orders[#Headers],0),FALSE)</f>
        <v>Breakfast</v>
      </c>
      <c r="M854" s="8">
        <f>(OrderLines[[#This Row],[Qty]]*OrderLines[[#This Row],[UnitPrice]])*(1-OrderLines[[#This Row],[DiscountPct]])</f>
        <v>48.78</v>
      </c>
      <c r="N854" t="str">
        <f>IF(AND(COUNTIFS(OrderLines[OrderID],OrderLines[[#This Row],[OrderID]],OrderLines[Category],"Hot Meal"),COUNTIFS(OrderLines[OrderID],OrderLines[[#This Row],[OrderID]],OrderLines[Category],"Beverage")),"Combo","Single")</f>
        <v>Single</v>
      </c>
      <c r="O854" s="8" t="str" cm="1">
        <f t="array" ref="O854">IF(SUMPRODUCT(OrderLines[UnitPrice],OrderLines[Qty],OrderLines[DiscountPct],--(OrderLines[OrderID] = OrderLines[[#This Row],[OrderID]]))&gt;40,"High Discount","Ok")</f>
        <v>Ok</v>
      </c>
      <c r="P854">
        <f>OrderLines[[#This Row],[UnitCost]]*OrderLines[[#This Row],[Qty]]</f>
        <v>21.95</v>
      </c>
      <c r="Q854" s="8">
        <f>OrderLines[[#This Row],[LineNetAmount]]-OrderLines[[#This Row],[Food Cost]]</f>
        <v>26.830000000000002</v>
      </c>
    </row>
    <row r="855" spans="1:17" x14ac:dyDescent="0.3">
      <c r="A855" t="s">
        <v>370</v>
      </c>
      <c r="B855" t="s">
        <v>410</v>
      </c>
      <c r="C855">
        <v>1</v>
      </c>
      <c r="D855" cm="1">
        <f t="array" ref="D855">VLOOKUP(OrderLines[[#This Row],[SKU]:[SKU]],Menu[],MATCH(OrderLines[[#Headers],[UnitPrice]],Menu[#Headers],0),FALSE)</f>
        <v>20.11</v>
      </c>
      <c r="E855" cm="1">
        <f t="array" ref="E855">VLOOKUP(OrderLines[[#This Row],[SKU]:[SKU]],Menu[],MATCH(OrderLines[[#Headers],[UnitCost]],Menu[#Headers],0),FALSE)</f>
        <v>8</v>
      </c>
      <c r="F855" t="str" cm="1">
        <f t="array" ref="F855">VLOOKUP(OrderLines[[#This Row],[SKU]:[SKU]],Menu[],MATCH(OrderLines[[#Headers],[Category]],Menu[#Headers],0),FALSE)</f>
        <v>Beverage</v>
      </c>
      <c r="G855" t="str" cm="1">
        <f t="array" ref="G855">_xlfn.TEXTJOIN("+",TRUE,_xlfn._xlws.SORT(_xlfn.UNIQUE(_xlfn._xlws.FILTER(OrderLines[Category],OrderLines[OrderID]=OrderLines[[#This Row],[OrderID]]))))</f>
        <v>Beverage+Dessert</v>
      </c>
      <c r="H855" s="2" cm="1">
        <f t="array" ref="H855">INT(VLOOKUP(OrderLines[[#This Row],[OrderID]:[OrderID]],Orders[],MATCH(OrderLines[[#Headers],[OrderDateTime]],Orders[#Headers],0),FALSE))</f>
        <v>45851</v>
      </c>
      <c r="I855" t="str" cm="1">
        <f t="array" ref="I855">VLOOKUP(OrderLines[[#This Row],[OrderID]:[OrderID]],Orders[],MATCH(OrderLines[[#Headers],[Branch]],Orders[#Headers],0),FALSE)</f>
        <v>Plant 1 Canteen</v>
      </c>
      <c r="J855" cm="1">
        <f t="array" ref="J855">VLOOKUP(OrderLines[[#This Row],[OrderID]:[OrderID]],Orders[],MATCH(OrderLines[[#Headers],[DiscountPct]],Orders[#Headers],0),FALSE)</f>
        <v>0.15</v>
      </c>
      <c r="K855" t="str" cm="1">
        <f t="array" ref="K855">VLOOKUP(OrderLines[[#This Row],[OrderID]:[OrderID]],Orders[],MATCH(OrderLines[[#Headers],[PaymentType]],Orders[#Headers],0),FALSE)</f>
        <v>Card</v>
      </c>
      <c r="L855" t="str" cm="1">
        <f t="array" ref="L855">VLOOKUP(OrderLines[[#This Row],[OrderID]:[OrderID]],Orders[],MATCH(OrderLines[[#Headers],[Shift]],Orders[#Headers],0),FALSE)</f>
        <v>Breakfast</v>
      </c>
      <c r="M855" s="8">
        <f>(OrderLines[[#This Row],[Qty]]*OrderLines[[#This Row],[UnitPrice]])*(1-OrderLines[[#This Row],[DiscountPct]])</f>
        <v>17.093499999999999</v>
      </c>
      <c r="N855" t="str">
        <f>IF(AND(COUNTIFS(OrderLines[OrderID],OrderLines[[#This Row],[OrderID]],OrderLines[Category],"Hot Meal"),COUNTIFS(OrderLines[OrderID],OrderLines[[#This Row],[OrderID]],OrderLines[Category],"Beverage")),"Combo","Single")</f>
        <v>Single</v>
      </c>
      <c r="O855" s="8" t="str" cm="1">
        <f t="array" ref="O855">IF(SUMPRODUCT(OrderLines[UnitPrice],OrderLines[Qty],OrderLines[DiscountPct],--(OrderLines[OrderID] = OrderLines[[#This Row],[OrderID]]))&gt;40,"High Discount","Ok")</f>
        <v>Ok</v>
      </c>
      <c r="P855">
        <f>OrderLines[[#This Row],[UnitCost]]*OrderLines[[#This Row],[Qty]]</f>
        <v>8</v>
      </c>
      <c r="Q855" s="8">
        <f>OrderLines[[#This Row],[LineNetAmount]]-OrderLines[[#This Row],[Food Cost]]</f>
        <v>9.0934999999999988</v>
      </c>
    </row>
    <row r="856" spans="1:17" x14ac:dyDescent="0.3">
      <c r="A856" t="s">
        <v>370</v>
      </c>
      <c r="B856" t="s">
        <v>403</v>
      </c>
      <c r="C856">
        <v>2</v>
      </c>
      <c r="D856" cm="1">
        <f t="array" ref="D856">VLOOKUP(OrderLines[[#This Row],[SKU]:[SKU]],Menu[],MATCH(OrderLines[[#Headers],[UnitPrice]],Menu[#Headers],0),FALSE)</f>
        <v>76.55</v>
      </c>
      <c r="E856" cm="1">
        <f t="array" ref="E856">VLOOKUP(OrderLines[[#This Row],[SKU]:[SKU]],Menu[],MATCH(OrderLines[[#Headers],[UnitCost]],Menu[#Headers],0),FALSE)</f>
        <v>38.229999999999997</v>
      </c>
      <c r="F856" t="str" cm="1">
        <f t="array" ref="F856">VLOOKUP(OrderLines[[#This Row],[SKU]:[SKU]],Menu[],MATCH(OrderLines[[#Headers],[Category]],Menu[#Headers],0),FALSE)</f>
        <v>Dessert</v>
      </c>
      <c r="G856" t="str" cm="1">
        <f t="array" ref="G856">_xlfn.TEXTJOIN("+",TRUE,_xlfn._xlws.SORT(_xlfn.UNIQUE(_xlfn._xlws.FILTER(OrderLines[Category],OrderLines[OrderID]=OrderLines[[#This Row],[OrderID]]))))</f>
        <v>Beverage+Dessert</v>
      </c>
      <c r="H856" s="2" cm="1">
        <f t="array" ref="H856">INT(VLOOKUP(OrderLines[[#This Row],[OrderID]:[OrderID]],Orders[],MATCH(OrderLines[[#Headers],[OrderDateTime]],Orders[#Headers],0),FALSE))</f>
        <v>45851</v>
      </c>
      <c r="I856" t="str" cm="1">
        <f t="array" ref="I856">VLOOKUP(OrderLines[[#This Row],[OrderID]:[OrderID]],Orders[],MATCH(OrderLines[[#Headers],[Branch]],Orders[#Headers],0),FALSE)</f>
        <v>Plant 1 Canteen</v>
      </c>
      <c r="J856" cm="1">
        <f t="array" ref="J856">VLOOKUP(OrderLines[[#This Row],[OrderID]:[OrderID]],Orders[],MATCH(OrderLines[[#Headers],[DiscountPct]],Orders[#Headers],0),FALSE)</f>
        <v>0.15</v>
      </c>
      <c r="K856" t="str" cm="1">
        <f t="array" ref="K856">VLOOKUP(OrderLines[[#This Row],[OrderID]:[OrderID]],Orders[],MATCH(OrderLines[[#Headers],[PaymentType]],Orders[#Headers],0),FALSE)</f>
        <v>Card</v>
      </c>
      <c r="L856" t="str" cm="1">
        <f t="array" ref="L856">VLOOKUP(OrderLines[[#This Row],[OrderID]:[OrderID]],Orders[],MATCH(OrderLines[[#Headers],[Shift]],Orders[#Headers],0),FALSE)</f>
        <v>Breakfast</v>
      </c>
      <c r="M856" s="8">
        <f>(OrderLines[[#This Row],[Qty]]*OrderLines[[#This Row],[UnitPrice]])*(1-OrderLines[[#This Row],[DiscountPct]])</f>
        <v>130.13499999999999</v>
      </c>
      <c r="N856" t="str">
        <f>IF(AND(COUNTIFS(OrderLines[OrderID],OrderLines[[#This Row],[OrderID]],OrderLines[Category],"Hot Meal"),COUNTIFS(OrderLines[OrderID],OrderLines[[#This Row],[OrderID]],OrderLines[Category],"Beverage")),"Combo","Single")</f>
        <v>Single</v>
      </c>
      <c r="O856" s="8" t="str" cm="1">
        <f t="array" ref="O856">IF(SUMPRODUCT(OrderLines[UnitPrice],OrderLines[Qty],OrderLines[DiscountPct],--(OrderLines[OrderID] = OrderLines[[#This Row],[OrderID]]))&gt;40,"High Discount","Ok")</f>
        <v>Ok</v>
      </c>
      <c r="P856">
        <f>OrderLines[[#This Row],[UnitCost]]*OrderLines[[#This Row],[Qty]]</f>
        <v>76.459999999999994</v>
      </c>
      <c r="Q856" s="8">
        <f>OrderLines[[#This Row],[LineNetAmount]]-OrderLines[[#This Row],[Food Cost]]</f>
        <v>53.674999999999997</v>
      </c>
    </row>
    <row r="857" spans="1:17" x14ac:dyDescent="0.3">
      <c r="A857" t="s">
        <v>371</v>
      </c>
      <c r="B857" t="s">
        <v>416</v>
      </c>
      <c r="C857">
        <v>2</v>
      </c>
      <c r="D857" cm="1">
        <f t="array" ref="D857">VLOOKUP(OrderLines[[#This Row],[SKU]:[SKU]],Menu[],MATCH(OrderLines[[#Headers],[UnitPrice]],Menu[#Headers],0),FALSE)</f>
        <v>227.61</v>
      </c>
      <c r="E857" cm="1">
        <f t="array" ref="E857">VLOOKUP(OrderLines[[#This Row],[SKU]:[SKU]],Menu[],MATCH(OrderLines[[#Headers],[UnitCost]],Menu[#Headers],0),FALSE)</f>
        <v>96.22</v>
      </c>
      <c r="F857" t="str" cm="1">
        <f t="array" ref="F857">VLOOKUP(OrderLines[[#This Row],[SKU]:[SKU]],Menu[],MATCH(OrderLines[[#Headers],[Category]],Menu[#Headers],0),FALSE)</f>
        <v>Hot Meal</v>
      </c>
      <c r="G857" t="str" cm="1">
        <f t="array" ref="G857">_xlfn.TEXTJOIN("+",TRUE,_xlfn._xlws.SORT(_xlfn.UNIQUE(_xlfn._xlws.FILTER(OrderLines[Category],OrderLines[OrderID]=OrderLines[[#This Row],[OrderID]]))))</f>
        <v>Beverage+Dessert+Hot Meal+Snack</v>
      </c>
      <c r="H857" s="2" cm="1">
        <f t="array" ref="H857">INT(VLOOKUP(OrderLines[[#This Row],[OrderID]:[OrderID]],Orders[],MATCH(OrderLines[[#Headers],[OrderDateTime]],Orders[#Headers],0),FALSE))</f>
        <v>45845</v>
      </c>
      <c r="I857" t="str" cm="1">
        <f t="array" ref="I857">VLOOKUP(OrderLines[[#This Row],[OrderID]:[OrderID]],Orders[],MATCH(OrderLines[[#Headers],[Branch]],Orders[#Headers],0),FALSE)</f>
        <v>Plant 1 Canteen</v>
      </c>
      <c r="J857" cm="1">
        <f t="array" ref="J857">VLOOKUP(OrderLines[[#This Row],[OrderID]:[OrderID]],Orders[],MATCH(OrderLines[[#Headers],[DiscountPct]],Orders[#Headers],0),FALSE)</f>
        <v>0.03</v>
      </c>
      <c r="K857" t="str" cm="1">
        <f t="array" ref="K857">VLOOKUP(OrderLines[[#This Row],[OrderID]:[OrderID]],Orders[],MATCH(OrderLines[[#Headers],[PaymentType]],Orders[#Headers],0),FALSE)</f>
        <v>UPI</v>
      </c>
      <c r="L857" t="str" cm="1">
        <f t="array" ref="L857">VLOOKUP(OrderLines[[#This Row],[OrderID]:[OrderID]],Orders[],MATCH(OrderLines[[#Headers],[Shift]],Orders[#Headers],0),FALSE)</f>
        <v>Breakfast</v>
      </c>
      <c r="M857" s="8">
        <f>(OrderLines[[#This Row],[Qty]]*OrderLines[[#This Row],[UnitPrice]])*(1-OrderLines[[#This Row],[DiscountPct]])</f>
        <v>441.5634</v>
      </c>
      <c r="N857" t="str">
        <f>IF(AND(COUNTIFS(OrderLines[OrderID],OrderLines[[#This Row],[OrderID]],OrderLines[Category],"Hot Meal"),COUNTIFS(OrderLines[OrderID],OrderLines[[#This Row],[OrderID]],OrderLines[Category],"Beverage")),"Combo","Single")</f>
        <v>Combo</v>
      </c>
      <c r="O857" s="8" t="str" cm="1">
        <f t="array" ref="O857">IF(SUMPRODUCT(OrderLines[UnitPrice],OrderLines[Qty],OrderLines[DiscountPct],--(OrderLines[OrderID] = OrderLines[[#This Row],[OrderID]]))&gt;40,"High Discount","Ok")</f>
        <v>Ok</v>
      </c>
      <c r="P857">
        <f>OrderLines[[#This Row],[UnitCost]]*OrderLines[[#This Row],[Qty]]</f>
        <v>192.44</v>
      </c>
      <c r="Q857" s="8">
        <f>OrderLines[[#This Row],[LineNetAmount]]-OrderLines[[#This Row],[Food Cost]]</f>
        <v>249.1234</v>
      </c>
    </row>
    <row r="858" spans="1:17" x14ac:dyDescent="0.3">
      <c r="A858" t="s">
        <v>371</v>
      </c>
      <c r="B858" t="s">
        <v>413</v>
      </c>
      <c r="C858">
        <v>1</v>
      </c>
      <c r="D858" cm="1">
        <f t="array" ref="D858">VLOOKUP(OrderLines[[#This Row],[SKU]:[SKU]],Menu[],MATCH(OrderLines[[#Headers],[UnitPrice]],Menu[#Headers],0),FALSE)</f>
        <v>54.2</v>
      </c>
      <c r="E858" cm="1">
        <f t="array" ref="E858">VLOOKUP(OrderLines[[#This Row],[SKU]:[SKU]],Menu[],MATCH(OrderLines[[#Headers],[UnitCost]],Menu[#Headers],0),FALSE)</f>
        <v>21.95</v>
      </c>
      <c r="F858" t="str" cm="1">
        <f t="array" ref="F858">VLOOKUP(OrderLines[[#This Row],[SKU]:[SKU]],Menu[],MATCH(OrderLines[[#Headers],[Category]],Menu[#Headers],0),FALSE)</f>
        <v>Dessert</v>
      </c>
      <c r="G858" t="str" cm="1">
        <f t="array" ref="G858">_xlfn.TEXTJOIN("+",TRUE,_xlfn._xlws.SORT(_xlfn.UNIQUE(_xlfn._xlws.FILTER(OrderLines[Category],OrderLines[OrderID]=OrderLines[[#This Row],[OrderID]]))))</f>
        <v>Beverage+Dessert+Hot Meal+Snack</v>
      </c>
      <c r="H858" s="2" cm="1">
        <f t="array" ref="H858">INT(VLOOKUP(OrderLines[[#This Row],[OrderID]:[OrderID]],Orders[],MATCH(OrderLines[[#Headers],[OrderDateTime]],Orders[#Headers],0),FALSE))</f>
        <v>45845</v>
      </c>
      <c r="I858" t="str" cm="1">
        <f t="array" ref="I858">VLOOKUP(OrderLines[[#This Row],[OrderID]:[OrderID]],Orders[],MATCH(OrderLines[[#Headers],[Branch]],Orders[#Headers],0),FALSE)</f>
        <v>Plant 1 Canteen</v>
      </c>
      <c r="J858" cm="1">
        <f t="array" ref="J858">VLOOKUP(OrderLines[[#This Row],[OrderID]:[OrderID]],Orders[],MATCH(OrderLines[[#Headers],[DiscountPct]],Orders[#Headers],0),FALSE)</f>
        <v>0.03</v>
      </c>
      <c r="K858" t="str" cm="1">
        <f t="array" ref="K858">VLOOKUP(OrderLines[[#This Row],[OrderID]:[OrderID]],Orders[],MATCH(OrderLines[[#Headers],[PaymentType]],Orders[#Headers],0),FALSE)</f>
        <v>UPI</v>
      </c>
      <c r="L858" t="str" cm="1">
        <f t="array" ref="L858">VLOOKUP(OrderLines[[#This Row],[OrderID]:[OrderID]],Orders[],MATCH(OrderLines[[#Headers],[Shift]],Orders[#Headers],0),FALSE)</f>
        <v>Breakfast</v>
      </c>
      <c r="M858" s="8">
        <f>(OrderLines[[#This Row],[Qty]]*OrderLines[[#This Row],[UnitPrice]])*(1-OrderLines[[#This Row],[DiscountPct]])</f>
        <v>52.573999999999998</v>
      </c>
      <c r="N858" t="str">
        <f>IF(AND(COUNTIFS(OrderLines[OrderID],OrderLines[[#This Row],[OrderID]],OrderLines[Category],"Hot Meal"),COUNTIFS(OrderLines[OrderID],OrderLines[[#This Row],[OrderID]],OrderLines[Category],"Beverage")),"Combo","Single")</f>
        <v>Combo</v>
      </c>
      <c r="O858" s="8" t="str" cm="1">
        <f t="array" ref="O858">IF(SUMPRODUCT(OrderLines[UnitPrice],OrderLines[Qty],OrderLines[DiscountPct],--(OrderLines[OrderID] = OrderLines[[#This Row],[OrderID]]))&gt;40,"High Discount","Ok")</f>
        <v>Ok</v>
      </c>
      <c r="P858">
        <f>OrderLines[[#This Row],[UnitCost]]*OrderLines[[#This Row],[Qty]]</f>
        <v>21.95</v>
      </c>
      <c r="Q858" s="8">
        <f>OrderLines[[#This Row],[LineNetAmount]]-OrderLines[[#This Row],[Food Cost]]</f>
        <v>30.623999999999999</v>
      </c>
    </row>
    <row r="859" spans="1:17" x14ac:dyDescent="0.3">
      <c r="A859" t="s">
        <v>371</v>
      </c>
      <c r="B859" t="s">
        <v>419</v>
      </c>
      <c r="C859">
        <v>2</v>
      </c>
      <c r="D859" cm="1">
        <f t="array" ref="D859">VLOOKUP(OrderLines[[#This Row],[SKU]:[SKU]],Menu[],MATCH(OrderLines[[#Headers],[UnitPrice]],Menu[#Headers],0),FALSE)</f>
        <v>50.19</v>
      </c>
      <c r="E859" cm="1">
        <f t="array" ref="E859">VLOOKUP(OrderLines[[#This Row],[SKU]:[SKU]],Menu[],MATCH(OrderLines[[#Headers],[UnitCost]],Menu[#Headers],0),FALSE)</f>
        <v>22.61</v>
      </c>
      <c r="F859" t="str" cm="1">
        <f t="array" ref="F859">VLOOKUP(OrderLines[[#This Row],[SKU]:[SKU]],Menu[],MATCH(OrderLines[[#Headers],[Category]],Menu[#Headers],0),FALSE)</f>
        <v>Snack</v>
      </c>
      <c r="G859" t="str" cm="1">
        <f t="array" ref="G859">_xlfn.TEXTJOIN("+",TRUE,_xlfn._xlws.SORT(_xlfn.UNIQUE(_xlfn._xlws.FILTER(OrderLines[Category],OrderLines[OrderID]=OrderLines[[#This Row],[OrderID]]))))</f>
        <v>Beverage+Dessert+Hot Meal+Snack</v>
      </c>
      <c r="H859" s="2" cm="1">
        <f t="array" ref="H859">INT(VLOOKUP(OrderLines[[#This Row],[OrderID]:[OrderID]],Orders[],MATCH(OrderLines[[#Headers],[OrderDateTime]],Orders[#Headers],0),FALSE))</f>
        <v>45845</v>
      </c>
      <c r="I859" t="str" cm="1">
        <f t="array" ref="I859">VLOOKUP(OrderLines[[#This Row],[OrderID]:[OrderID]],Orders[],MATCH(OrderLines[[#Headers],[Branch]],Orders[#Headers],0),FALSE)</f>
        <v>Plant 1 Canteen</v>
      </c>
      <c r="J859" cm="1">
        <f t="array" ref="J859">VLOOKUP(OrderLines[[#This Row],[OrderID]:[OrderID]],Orders[],MATCH(OrderLines[[#Headers],[DiscountPct]],Orders[#Headers],0),FALSE)</f>
        <v>0.03</v>
      </c>
      <c r="K859" t="str" cm="1">
        <f t="array" ref="K859">VLOOKUP(OrderLines[[#This Row],[OrderID]:[OrderID]],Orders[],MATCH(OrderLines[[#Headers],[PaymentType]],Orders[#Headers],0),FALSE)</f>
        <v>UPI</v>
      </c>
      <c r="L859" t="str" cm="1">
        <f t="array" ref="L859">VLOOKUP(OrderLines[[#This Row],[OrderID]:[OrderID]],Orders[],MATCH(OrderLines[[#Headers],[Shift]],Orders[#Headers],0),FALSE)</f>
        <v>Breakfast</v>
      </c>
      <c r="M859" s="8">
        <f>(OrderLines[[#This Row],[Qty]]*OrderLines[[#This Row],[UnitPrice]])*(1-OrderLines[[#This Row],[DiscountPct]])</f>
        <v>97.368599999999986</v>
      </c>
      <c r="N859" t="str">
        <f>IF(AND(COUNTIFS(OrderLines[OrderID],OrderLines[[#This Row],[OrderID]],OrderLines[Category],"Hot Meal"),COUNTIFS(OrderLines[OrderID],OrderLines[[#This Row],[OrderID]],OrderLines[Category],"Beverage")),"Combo","Single")</f>
        <v>Combo</v>
      </c>
      <c r="O859" s="8" t="str" cm="1">
        <f t="array" ref="O859">IF(SUMPRODUCT(OrderLines[UnitPrice],OrderLines[Qty],OrderLines[DiscountPct],--(OrderLines[OrderID] = OrderLines[[#This Row],[OrderID]]))&gt;40,"High Discount","Ok")</f>
        <v>Ok</v>
      </c>
      <c r="P859">
        <f>OrderLines[[#This Row],[UnitCost]]*OrderLines[[#This Row],[Qty]]</f>
        <v>45.22</v>
      </c>
      <c r="Q859" s="8">
        <f>OrderLines[[#This Row],[LineNetAmount]]-OrderLines[[#This Row],[Food Cost]]</f>
        <v>52.148599999999988</v>
      </c>
    </row>
    <row r="860" spans="1:17" x14ac:dyDescent="0.3">
      <c r="A860" t="s">
        <v>371</v>
      </c>
      <c r="B860" t="s">
        <v>404</v>
      </c>
      <c r="C860">
        <v>2</v>
      </c>
      <c r="D860" cm="1">
        <f t="array" ref="D860">VLOOKUP(OrderLines[[#This Row],[SKU]:[SKU]],Menu[],MATCH(OrderLines[[#Headers],[UnitPrice]],Menu[#Headers],0),FALSE)</f>
        <v>32.979999999999997</v>
      </c>
      <c r="E860" cm="1">
        <f t="array" ref="E860">VLOOKUP(OrderLines[[#This Row],[SKU]:[SKU]],Menu[],MATCH(OrderLines[[#Headers],[UnitCost]],Menu[#Headers],0),FALSE)</f>
        <v>11.84</v>
      </c>
      <c r="F860" t="str" cm="1">
        <f t="array" ref="F860">VLOOKUP(OrderLines[[#This Row],[SKU]:[SKU]],Menu[],MATCH(OrderLines[[#Headers],[Category]],Menu[#Headers],0),FALSE)</f>
        <v>Beverage</v>
      </c>
      <c r="G860" t="str" cm="1">
        <f t="array" ref="G860">_xlfn.TEXTJOIN("+",TRUE,_xlfn._xlws.SORT(_xlfn.UNIQUE(_xlfn._xlws.FILTER(OrderLines[Category],OrderLines[OrderID]=OrderLines[[#This Row],[OrderID]]))))</f>
        <v>Beverage+Dessert+Hot Meal+Snack</v>
      </c>
      <c r="H860" s="2" cm="1">
        <f t="array" ref="H860">INT(VLOOKUP(OrderLines[[#This Row],[OrderID]:[OrderID]],Orders[],MATCH(OrderLines[[#Headers],[OrderDateTime]],Orders[#Headers],0),FALSE))</f>
        <v>45845</v>
      </c>
      <c r="I860" t="str" cm="1">
        <f t="array" ref="I860">VLOOKUP(OrderLines[[#This Row],[OrderID]:[OrderID]],Orders[],MATCH(OrderLines[[#Headers],[Branch]],Orders[#Headers],0),FALSE)</f>
        <v>Plant 1 Canteen</v>
      </c>
      <c r="J860" cm="1">
        <f t="array" ref="J860">VLOOKUP(OrderLines[[#This Row],[OrderID]:[OrderID]],Orders[],MATCH(OrderLines[[#Headers],[DiscountPct]],Orders[#Headers],0),FALSE)</f>
        <v>0.03</v>
      </c>
      <c r="K860" t="str" cm="1">
        <f t="array" ref="K860">VLOOKUP(OrderLines[[#This Row],[OrderID]:[OrderID]],Orders[],MATCH(OrderLines[[#Headers],[PaymentType]],Orders[#Headers],0),FALSE)</f>
        <v>UPI</v>
      </c>
      <c r="L860" t="str" cm="1">
        <f t="array" ref="L860">VLOOKUP(OrderLines[[#This Row],[OrderID]:[OrderID]],Orders[],MATCH(OrderLines[[#Headers],[Shift]],Orders[#Headers],0),FALSE)</f>
        <v>Breakfast</v>
      </c>
      <c r="M860" s="8">
        <f>(OrderLines[[#This Row],[Qty]]*OrderLines[[#This Row],[UnitPrice]])*(1-OrderLines[[#This Row],[DiscountPct]])</f>
        <v>63.981199999999994</v>
      </c>
      <c r="N860" t="str">
        <f>IF(AND(COUNTIFS(OrderLines[OrderID],OrderLines[[#This Row],[OrderID]],OrderLines[Category],"Hot Meal"),COUNTIFS(OrderLines[OrderID],OrderLines[[#This Row],[OrderID]],OrderLines[Category],"Beverage")),"Combo","Single")</f>
        <v>Combo</v>
      </c>
      <c r="O860" s="8" t="str" cm="1">
        <f t="array" ref="O860">IF(SUMPRODUCT(OrderLines[UnitPrice],OrderLines[Qty],OrderLines[DiscountPct],--(OrderLines[OrderID] = OrderLines[[#This Row],[OrderID]]))&gt;40,"High Discount","Ok")</f>
        <v>Ok</v>
      </c>
      <c r="P860">
        <f>OrderLines[[#This Row],[UnitCost]]*OrderLines[[#This Row],[Qty]]</f>
        <v>23.68</v>
      </c>
      <c r="Q860" s="8">
        <f>OrderLines[[#This Row],[LineNetAmount]]-OrderLines[[#This Row],[Food Cost]]</f>
        <v>40.301199999999994</v>
      </c>
    </row>
    <row r="861" spans="1:17" x14ac:dyDescent="0.3">
      <c r="A861" t="s">
        <v>372</v>
      </c>
      <c r="B861" t="s">
        <v>405</v>
      </c>
      <c r="C861">
        <v>2</v>
      </c>
      <c r="D861" cm="1">
        <f t="array" ref="D861">VLOOKUP(OrderLines[[#This Row],[SKU]:[SKU]],Menu[],MATCH(OrderLines[[#Headers],[UnitPrice]],Menu[#Headers],0),FALSE)</f>
        <v>170.83</v>
      </c>
      <c r="E861" cm="1">
        <f t="array" ref="E861">VLOOKUP(OrderLines[[#This Row],[SKU]:[SKU]],Menu[],MATCH(OrderLines[[#Headers],[UnitCost]],Menu[#Headers],0),FALSE)</f>
        <v>74.069999999999993</v>
      </c>
      <c r="F861" t="str" cm="1">
        <f t="array" ref="F861">VLOOKUP(OrderLines[[#This Row],[SKU]:[SKU]],Menu[],MATCH(OrderLines[[#Headers],[Category]],Menu[#Headers],0),FALSE)</f>
        <v>Hot Meal</v>
      </c>
      <c r="G861" t="str" cm="1">
        <f t="array" ref="G861">_xlfn.TEXTJOIN("+",TRUE,_xlfn._xlws.SORT(_xlfn.UNIQUE(_xlfn._xlws.FILTER(OrderLines[Category],OrderLines[OrderID]=OrderLines[[#This Row],[OrderID]]))))</f>
        <v>Dessert+Hot Meal</v>
      </c>
      <c r="H861" s="2" cm="1">
        <f t="array" ref="H861">INT(VLOOKUP(OrderLines[[#This Row],[OrderID]:[OrderID]],Orders[],MATCH(OrderLines[[#Headers],[OrderDateTime]],Orders[#Headers],0),FALSE))</f>
        <v>45840</v>
      </c>
      <c r="I861" t="str" cm="1">
        <f t="array" ref="I861">VLOOKUP(OrderLines[[#This Row],[OrderID]:[OrderID]],Orders[],MATCH(OrderLines[[#Headers],[Branch]],Orders[#Headers],0),FALSE)</f>
        <v>Head Office Café</v>
      </c>
      <c r="J861" cm="1">
        <f t="array" ref="J861">VLOOKUP(OrderLines[[#This Row],[OrderID]:[OrderID]],Orders[],MATCH(OrderLines[[#Headers],[DiscountPct]],Orders[#Headers],0),FALSE)</f>
        <v>0.09</v>
      </c>
      <c r="K861" t="str" cm="1">
        <f t="array" ref="K861">VLOOKUP(OrderLines[[#This Row],[OrderID]:[OrderID]],Orders[],MATCH(OrderLines[[#Headers],[PaymentType]],Orders[#Headers],0),FALSE)</f>
        <v>UPI</v>
      </c>
      <c r="L861" t="str" cm="1">
        <f t="array" ref="L861">VLOOKUP(OrderLines[[#This Row],[OrderID]:[OrderID]],Orders[],MATCH(OrderLines[[#Headers],[Shift]],Orders[#Headers],0),FALSE)</f>
        <v>Dinner</v>
      </c>
      <c r="M861" s="8">
        <f>(OrderLines[[#This Row],[Qty]]*OrderLines[[#This Row],[UnitPrice]])*(1-OrderLines[[#This Row],[DiscountPct]])</f>
        <v>310.91060000000004</v>
      </c>
      <c r="N861" t="str">
        <f>IF(AND(COUNTIFS(OrderLines[OrderID],OrderLines[[#This Row],[OrderID]],OrderLines[Category],"Hot Meal"),COUNTIFS(OrderLines[OrderID],OrderLines[[#This Row],[OrderID]],OrderLines[Category],"Beverage")),"Combo","Single")</f>
        <v>Single</v>
      </c>
      <c r="O861" s="8" t="str" cm="1">
        <f t="array" ref="O861">IF(SUMPRODUCT(OrderLines[UnitPrice],OrderLines[Qty],OrderLines[DiscountPct],--(OrderLines[OrderID] = OrderLines[[#This Row],[OrderID]]))&gt;40,"High Discount","Ok")</f>
        <v>High Discount</v>
      </c>
      <c r="P861">
        <f>OrderLines[[#This Row],[UnitCost]]*OrderLines[[#This Row],[Qty]]</f>
        <v>148.13999999999999</v>
      </c>
      <c r="Q861" s="8">
        <f>OrderLines[[#This Row],[LineNetAmount]]-OrderLines[[#This Row],[Food Cost]]</f>
        <v>162.77060000000006</v>
      </c>
    </row>
    <row r="862" spans="1:17" x14ac:dyDescent="0.3">
      <c r="A862" t="s">
        <v>372</v>
      </c>
      <c r="B862" t="s">
        <v>414</v>
      </c>
      <c r="C862">
        <v>2</v>
      </c>
      <c r="D862" cm="1">
        <f t="array" ref="D862">VLOOKUP(OrderLines[[#This Row],[SKU]:[SKU]],Menu[],MATCH(OrderLines[[#Headers],[UnitPrice]],Menu[#Headers],0),FALSE)</f>
        <v>116.8</v>
      </c>
      <c r="E862" cm="1">
        <f t="array" ref="E862">VLOOKUP(OrderLines[[#This Row],[SKU]:[SKU]],Menu[],MATCH(OrderLines[[#Headers],[UnitCost]],Menu[#Headers],0),FALSE)</f>
        <v>48.97</v>
      </c>
      <c r="F862" t="str" cm="1">
        <f t="array" ref="F862">VLOOKUP(OrderLines[[#This Row],[SKU]:[SKU]],Menu[],MATCH(OrderLines[[#Headers],[Category]],Menu[#Headers],0),FALSE)</f>
        <v>Dessert</v>
      </c>
      <c r="G862" t="str" cm="1">
        <f t="array" ref="G862">_xlfn.TEXTJOIN("+",TRUE,_xlfn._xlws.SORT(_xlfn.UNIQUE(_xlfn._xlws.FILTER(OrderLines[Category],OrderLines[OrderID]=OrderLines[[#This Row],[OrderID]]))))</f>
        <v>Dessert+Hot Meal</v>
      </c>
      <c r="H862" s="2" cm="1">
        <f t="array" ref="H862">INT(VLOOKUP(OrderLines[[#This Row],[OrderID]:[OrderID]],Orders[],MATCH(OrderLines[[#Headers],[OrderDateTime]],Orders[#Headers],0),FALSE))</f>
        <v>45840</v>
      </c>
      <c r="I862" t="str" cm="1">
        <f t="array" ref="I862">VLOOKUP(OrderLines[[#This Row],[OrderID]:[OrderID]],Orders[],MATCH(OrderLines[[#Headers],[Branch]],Orders[#Headers],0),FALSE)</f>
        <v>Head Office Café</v>
      </c>
      <c r="J862" cm="1">
        <f t="array" ref="J862">VLOOKUP(OrderLines[[#This Row],[OrderID]:[OrderID]],Orders[],MATCH(OrderLines[[#Headers],[DiscountPct]],Orders[#Headers],0),FALSE)</f>
        <v>0.09</v>
      </c>
      <c r="K862" t="str" cm="1">
        <f t="array" ref="K862">VLOOKUP(OrderLines[[#This Row],[OrderID]:[OrderID]],Orders[],MATCH(OrderLines[[#Headers],[PaymentType]],Orders[#Headers],0),FALSE)</f>
        <v>UPI</v>
      </c>
      <c r="L862" t="str" cm="1">
        <f t="array" ref="L862">VLOOKUP(OrderLines[[#This Row],[OrderID]:[OrderID]],Orders[],MATCH(OrderLines[[#Headers],[Shift]],Orders[#Headers],0),FALSE)</f>
        <v>Dinner</v>
      </c>
      <c r="M862" s="8">
        <f>(OrderLines[[#This Row],[Qty]]*OrderLines[[#This Row],[UnitPrice]])*(1-OrderLines[[#This Row],[DiscountPct]])</f>
        <v>212.57599999999999</v>
      </c>
      <c r="N862" t="str">
        <f>IF(AND(COUNTIFS(OrderLines[OrderID],OrderLines[[#This Row],[OrderID]],OrderLines[Category],"Hot Meal"),COUNTIFS(OrderLines[OrderID],OrderLines[[#This Row],[OrderID]],OrderLines[Category],"Beverage")),"Combo","Single")</f>
        <v>Single</v>
      </c>
      <c r="O862" s="8" t="str" cm="1">
        <f t="array" ref="O862">IF(SUMPRODUCT(OrderLines[UnitPrice],OrderLines[Qty],OrderLines[DiscountPct],--(OrderLines[OrderID] = OrderLines[[#This Row],[OrderID]]))&gt;40,"High Discount","Ok")</f>
        <v>High Discount</v>
      </c>
      <c r="P862">
        <f>OrderLines[[#This Row],[UnitCost]]*OrderLines[[#This Row],[Qty]]</f>
        <v>97.94</v>
      </c>
      <c r="Q862" s="8">
        <f>OrderLines[[#This Row],[LineNetAmount]]-OrderLines[[#This Row],[Food Cost]]</f>
        <v>114.636</v>
      </c>
    </row>
    <row r="863" spans="1:17" x14ac:dyDescent="0.3">
      <c r="A863" t="s">
        <v>372</v>
      </c>
      <c r="B863" t="s">
        <v>417</v>
      </c>
      <c r="C863">
        <v>1</v>
      </c>
      <c r="D863" cm="1">
        <f t="array" ref="D863">VLOOKUP(OrderLines[[#This Row],[SKU]:[SKU]],Menu[],MATCH(OrderLines[[#Headers],[UnitPrice]],Menu[#Headers],0),FALSE)</f>
        <v>146.4</v>
      </c>
      <c r="E863" cm="1">
        <f t="array" ref="E863">VLOOKUP(OrderLines[[#This Row],[SKU]:[SKU]],Menu[],MATCH(OrderLines[[#Headers],[UnitCost]],Menu[#Headers],0),FALSE)</f>
        <v>80.92</v>
      </c>
      <c r="F863" t="str" cm="1">
        <f t="array" ref="F863">VLOOKUP(OrderLines[[#This Row],[SKU]:[SKU]],Menu[],MATCH(OrderLines[[#Headers],[Category]],Menu[#Headers],0),FALSE)</f>
        <v>Hot Meal</v>
      </c>
      <c r="G863" t="str" cm="1">
        <f t="array" ref="G863">_xlfn.TEXTJOIN("+",TRUE,_xlfn._xlws.SORT(_xlfn.UNIQUE(_xlfn._xlws.FILTER(OrderLines[Category],OrderLines[OrderID]=OrderLines[[#This Row],[OrderID]]))))</f>
        <v>Dessert+Hot Meal</v>
      </c>
      <c r="H863" s="2" cm="1">
        <f t="array" ref="H863">INT(VLOOKUP(OrderLines[[#This Row],[OrderID]:[OrderID]],Orders[],MATCH(OrderLines[[#Headers],[OrderDateTime]],Orders[#Headers],0),FALSE))</f>
        <v>45840</v>
      </c>
      <c r="I863" t="str" cm="1">
        <f t="array" ref="I863">VLOOKUP(OrderLines[[#This Row],[OrderID]:[OrderID]],Orders[],MATCH(OrderLines[[#Headers],[Branch]],Orders[#Headers],0),FALSE)</f>
        <v>Head Office Café</v>
      </c>
      <c r="J863" cm="1">
        <f t="array" ref="J863">VLOOKUP(OrderLines[[#This Row],[OrderID]:[OrderID]],Orders[],MATCH(OrderLines[[#Headers],[DiscountPct]],Orders[#Headers],0),FALSE)</f>
        <v>0.09</v>
      </c>
      <c r="K863" t="str" cm="1">
        <f t="array" ref="K863">VLOOKUP(OrderLines[[#This Row],[OrderID]:[OrderID]],Orders[],MATCH(OrderLines[[#Headers],[PaymentType]],Orders[#Headers],0),FALSE)</f>
        <v>UPI</v>
      </c>
      <c r="L863" t="str" cm="1">
        <f t="array" ref="L863">VLOOKUP(OrderLines[[#This Row],[OrderID]:[OrderID]],Orders[],MATCH(OrderLines[[#Headers],[Shift]],Orders[#Headers],0),FALSE)</f>
        <v>Dinner</v>
      </c>
      <c r="M863" s="8">
        <f>(OrderLines[[#This Row],[Qty]]*OrderLines[[#This Row],[UnitPrice]])*(1-OrderLines[[#This Row],[DiscountPct]])</f>
        <v>133.22400000000002</v>
      </c>
      <c r="N863" t="str">
        <f>IF(AND(COUNTIFS(OrderLines[OrderID],OrderLines[[#This Row],[OrderID]],OrderLines[Category],"Hot Meal"),COUNTIFS(OrderLines[OrderID],OrderLines[[#This Row],[OrderID]],OrderLines[Category],"Beverage")),"Combo","Single")</f>
        <v>Single</v>
      </c>
      <c r="O863" s="8" t="str" cm="1">
        <f t="array" ref="O863">IF(SUMPRODUCT(OrderLines[UnitPrice],OrderLines[Qty],OrderLines[DiscountPct],--(OrderLines[OrderID] = OrderLines[[#This Row],[OrderID]]))&gt;40,"High Discount","Ok")</f>
        <v>High Discount</v>
      </c>
      <c r="P863">
        <f>OrderLines[[#This Row],[UnitCost]]*OrderLines[[#This Row],[Qty]]</f>
        <v>80.92</v>
      </c>
      <c r="Q863" s="8">
        <f>OrderLines[[#This Row],[LineNetAmount]]-OrderLines[[#This Row],[Food Cost]]</f>
        <v>52.304000000000016</v>
      </c>
    </row>
    <row r="864" spans="1:17" x14ac:dyDescent="0.3">
      <c r="A864" t="s">
        <v>373</v>
      </c>
      <c r="B864" t="s">
        <v>419</v>
      </c>
      <c r="C864">
        <v>2</v>
      </c>
      <c r="D864" cm="1">
        <f t="array" ref="D864">VLOOKUP(OrderLines[[#This Row],[SKU]:[SKU]],Menu[],MATCH(OrderLines[[#Headers],[UnitPrice]],Menu[#Headers],0),FALSE)</f>
        <v>50.19</v>
      </c>
      <c r="E864" cm="1">
        <f t="array" ref="E864">VLOOKUP(OrderLines[[#This Row],[SKU]:[SKU]],Menu[],MATCH(OrderLines[[#Headers],[UnitCost]],Menu[#Headers],0),FALSE)</f>
        <v>22.61</v>
      </c>
      <c r="F864" t="str" cm="1">
        <f t="array" ref="F864">VLOOKUP(OrderLines[[#This Row],[SKU]:[SKU]],Menu[],MATCH(OrderLines[[#Headers],[Category]],Menu[#Headers],0),FALSE)</f>
        <v>Snack</v>
      </c>
      <c r="G864" t="str" cm="1">
        <f t="array" ref="G864">_xlfn.TEXTJOIN("+",TRUE,_xlfn._xlws.SORT(_xlfn.UNIQUE(_xlfn._xlws.FILTER(OrderLines[Category],OrderLines[OrderID]=OrderLines[[#This Row],[OrderID]]))))</f>
        <v>Dessert+Snack</v>
      </c>
      <c r="H864" s="2" cm="1">
        <f t="array" ref="H864">INT(VLOOKUP(OrderLines[[#This Row],[OrderID]:[OrderID]],Orders[],MATCH(OrderLines[[#Headers],[OrderDateTime]],Orders[#Headers],0),FALSE))</f>
        <v>45853</v>
      </c>
      <c r="I864" t="str" cm="1">
        <f t="array" ref="I864">VLOOKUP(OrderLines[[#This Row],[OrderID]:[OrderID]],Orders[],MATCH(OrderLines[[#Headers],[Branch]],Orders[#Headers],0),FALSE)</f>
        <v>Plant 2 Canteen</v>
      </c>
      <c r="J864" cm="1">
        <f t="array" ref="J864">VLOOKUP(OrderLines[[#This Row],[OrderID]:[OrderID]],Orders[],MATCH(OrderLines[[#Headers],[DiscountPct]],Orders[#Headers],0),FALSE)</f>
        <v>7.0000000000000007E-2</v>
      </c>
      <c r="K864" t="str" cm="1">
        <f t="array" ref="K864">VLOOKUP(OrderLines[[#This Row],[OrderID]:[OrderID]],Orders[],MATCH(OrderLines[[#Headers],[PaymentType]],Orders[#Headers],0),FALSE)</f>
        <v>Cash</v>
      </c>
      <c r="L864" t="str" cm="1">
        <f t="array" ref="L864">VLOOKUP(OrderLines[[#This Row],[OrderID]:[OrderID]],Orders[],MATCH(OrderLines[[#Headers],[Shift]],Orders[#Headers],0),FALSE)</f>
        <v>Breakfast</v>
      </c>
      <c r="M864" s="8">
        <f>(OrderLines[[#This Row],[Qty]]*OrderLines[[#This Row],[UnitPrice]])*(1-OrderLines[[#This Row],[DiscountPct]])</f>
        <v>93.353399999999993</v>
      </c>
      <c r="N864" t="str">
        <f>IF(AND(COUNTIFS(OrderLines[OrderID],OrderLines[[#This Row],[OrderID]],OrderLines[Category],"Hot Meal"),COUNTIFS(OrderLines[OrderID],OrderLines[[#This Row],[OrderID]],OrderLines[Category],"Beverage")),"Combo","Single")</f>
        <v>Single</v>
      </c>
      <c r="O864" s="8" t="str" cm="1">
        <f t="array" ref="O864">IF(SUMPRODUCT(OrderLines[UnitPrice],OrderLines[Qty],OrderLines[DiscountPct],--(OrderLines[OrderID] = OrderLines[[#This Row],[OrderID]]))&gt;40,"High Discount","Ok")</f>
        <v>Ok</v>
      </c>
      <c r="P864">
        <f>OrderLines[[#This Row],[UnitCost]]*OrderLines[[#This Row],[Qty]]</f>
        <v>45.22</v>
      </c>
      <c r="Q864" s="8">
        <f>OrderLines[[#This Row],[LineNetAmount]]-OrderLines[[#This Row],[Food Cost]]</f>
        <v>48.133399999999995</v>
      </c>
    </row>
    <row r="865" spans="1:17" x14ac:dyDescent="0.3">
      <c r="A865" t="s">
        <v>373</v>
      </c>
      <c r="B865" t="s">
        <v>412</v>
      </c>
      <c r="C865">
        <v>2</v>
      </c>
      <c r="D865" cm="1">
        <f t="array" ref="D865">VLOOKUP(OrderLines[[#This Row],[SKU]:[SKU]],Menu[],MATCH(OrderLines[[#Headers],[UnitPrice]],Menu[#Headers],0),FALSE)</f>
        <v>57.07</v>
      </c>
      <c r="E865" cm="1">
        <f t="array" ref="E865">VLOOKUP(OrderLines[[#This Row],[SKU]:[SKU]],Menu[],MATCH(OrderLines[[#Headers],[UnitCost]],Menu[#Headers],0),FALSE)</f>
        <v>29.14</v>
      </c>
      <c r="F865" t="str" cm="1">
        <f t="array" ref="F865">VLOOKUP(OrderLines[[#This Row],[SKU]:[SKU]],Menu[],MATCH(OrderLines[[#Headers],[Category]],Menu[#Headers],0),FALSE)</f>
        <v>Dessert</v>
      </c>
      <c r="G865" t="str" cm="1">
        <f t="array" ref="G865">_xlfn.TEXTJOIN("+",TRUE,_xlfn._xlws.SORT(_xlfn.UNIQUE(_xlfn._xlws.FILTER(OrderLines[Category],OrderLines[OrderID]=OrderLines[[#This Row],[OrderID]]))))</f>
        <v>Dessert+Snack</v>
      </c>
      <c r="H865" s="2" cm="1">
        <f t="array" ref="H865">INT(VLOOKUP(OrderLines[[#This Row],[OrderID]:[OrderID]],Orders[],MATCH(OrderLines[[#Headers],[OrderDateTime]],Orders[#Headers],0),FALSE))</f>
        <v>45853</v>
      </c>
      <c r="I865" t="str" cm="1">
        <f t="array" ref="I865">VLOOKUP(OrderLines[[#This Row],[OrderID]:[OrderID]],Orders[],MATCH(OrderLines[[#Headers],[Branch]],Orders[#Headers],0),FALSE)</f>
        <v>Plant 2 Canteen</v>
      </c>
      <c r="J865" cm="1">
        <f t="array" ref="J865">VLOOKUP(OrderLines[[#This Row],[OrderID]:[OrderID]],Orders[],MATCH(OrderLines[[#Headers],[DiscountPct]],Orders[#Headers],0),FALSE)</f>
        <v>7.0000000000000007E-2</v>
      </c>
      <c r="K865" t="str" cm="1">
        <f t="array" ref="K865">VLOOKUP(OrderLines[[#This Row],[OrderID]:[OrderID]],Orders[],MATCH(OrderLines[[#Headers],[PaymentType]],Orders[#Headers],0),FALSE)</f>
        <v>Cash</v>
      </c>
      <c r="L865" t="str" cm="1">
        <f t="array" ref="L865">VLOOKUP(OrderLines[[#This Row],[OrderID]:[OrderID]],Orders[],MATCH(OrderLines[[#Headers],[Shift]],Orders[#Headers],0),FALSE)</f>
        <v>Breakfast</v>
      </c>
      <c r="M865" s="8">
        <f>(OrderLines[[#This Row],[Qty]]*OrderLines[[#This Row],[UnitPrice]])*(1-OrderLines[[#This Row],[DiscountPct]])</f>
        <v>106.1502</v>
      </c>
      <c r="N865" t="str">
        <f>IF(AND(COUNTIFS(OrderLines[OrderID],OrderLines[[#This Row],[OrderID]],OrderLines[Category],"Hot Meal"),COUNTIFS(OrderLines[OrderID],OrderLines[[#This Row],[OrderID]],OrderLines[Category],"Beverage")),"Combo","Single")</f>
        <v>Single</v>
      </c>
      <c r="O865" s="8" t="str" cm="1">
        <f t="array" ref="O865">IF(SUMPRODUCT(OrderLines[UnitPrice],OrderLines[Qty],OrderLines[DiscountPct],--(OrderLines[OrderID] = OrderLines[[#This Row],[OrderID]]))&gt;40,"High Discount","Ok")</f>
        <v>Ok</v>
      </c>
      <c r="P865">
        <f>OrderLines[[#This Row],[UnitCost]]*OrderLines[[#This Row],[Qty]]</f>
        <v>58.28</v>
      </c>
      <c r="Q865" s="8">
        <f>OrderLines[[#This Row],[LineNetAmount]]-OrderLines[[#This Row],[Food Cost]]</f>
        <v>47.870199999999997</v>
      </c>
    </row>
    <row r="866" spans="1:17" x14ac:dyDescent="0.3">
      <c r="A866" t="s">
        <v>374</v>
      </c>
      <c r="B866" t="s">
        <v>417</v>
      </c>
      <c r="C866">
        <v>1</v>
      </c>
      <c r="D866" cm="1">
        <f t="array" ref="D866">VLOOKUP(OrderLines[[#This Row],[SKU]:[SKU]],Menu[],MATCH(OrderLines[[#Headers],[UnitPrice]],Menu[#Headers],0),FALSE)</f>
        <v>146.4</v>
      </c>
      <c r="E866" cm="1">
        <f t="array" ref="E866">VLOOKUP(OrderLines[[#This Row],[SKU]:[SKU]],Menu[],MATCH(OrderLines[[#Headers],[UnitCost]],Menu[#Headers],0),FALSE)</f>
        <v>80.92</v>
      </c>
      <c r="F866" t="str" cm="1">
        <f t="array" ref="F866">VLOOKUP(OrderLines[[#This Row],[SKU]:[SKU]],Menu[],MATCH(OrderLines[[#Headers],[Category]],Menu[#Headers],0),FALSE)</f>
        <v>Hot Meal</v>
      </c>
      <c r="G866" t="str" cm="1">
        <f t="array" ref="G866">_xlfn.TEXTJOIN("+",TRUE,_xlfn._xlws.SORT(_xlfn.UNIQUE(_xlfn._xlws.FILTER(OrderLines[Category],OrderLines[OrderID]=OrderLines[[#This Row],[OrderID]]))))</f>
        <v>Hot Meal</v>
      </c>
      <c r="H866" s="2" cm="1">
        <f t="array" ref="H866">INT(VLOOKUP(OrderLines[[#This Row],[OrderID]:[OrderID]],Orders[],MATCH(OrderLines[[#Headers],[OrderDateTime]],Orders[#Headers],0),FALSE))</f>
        <v>45862</v>
      </c>
      <c r="I866" t="str" cm="1">
        <f t="array" ref="I866">VLOOKUP(OrderLines[[#This Row],[OrderID]:[OrderID]],Orders[],MATCH(OrderLines[[#Headers],[Branch]],Orders[#Headers],0),FALSE)</f>
        <v>Head Office Café</v>
      </c>
      <c r="J866" cm="1">
        <f t="array" ref="J866">VLOOKUP(OrderLines[[#This Row],[OrderID]:[OrderID]],Orders[],MATCH(OrderLines[[#Headers],[DiscountPct]],Orders[#Headers],0),FALSE)</f>
        <v>0.15</v>
      </c>
      <c r="K866" t="str" cm="1">
        <f t="array" ref="K866">VLOOKUP(OrderLines[[#This Row],[OrderID]:[OrderID]],Orders[],MATCH(OrderLines[[#Headers],[PaymentType]],Orders[#Headers],0),FALSE)</f>
        <v>Cash</v>
      </c>
      <c r="L866" t="str" cm="1">
        <f t="array" ref="L866">VLOOKUP(OrderLines[[#This Row],[OrderID]:[OrderID]],Orders[],MATCH(OrderLines[[#Headers],[Shift]],Orders[#Headers],0),FALSE)</f>
        <v>Lunch</v>
      </c>
      <c r="M866" s="8">
        <f>(OrderLines[[#This Row],[Qty]]*OrderLines[[#This Row],[UnitPrice]])*(1-OrderLines[[#This Row],[DiscountPct]])</f>
        <v>124.44</v>
      </c>
      <c r="N866" t="str">
        <f>IF(AND(COUNTIFS(OrderLines[OrderID],OrderLines[[#This Row],[OrderID]],OrderLines[Category],"Hot Meal"),COUNTIFS(OrderLines[OrderID],OrderLines[[#This Row],[OrderID]],OrderLines[Category],"Beverage")),"Combo","Single")</f>
        <v>Single</v>
      </c>
      <c r="O866" s="8" t="str" cm="1">
        <f t="array" ref="O866">IF(SUMPRODUCT(OrderLines[UnitPrice],OrderLines[Qty],OrderLines[DiscountPct],--(OrderLines[OrderID] = OrderLines[[#This Row],[OrderID]]))&gt;40,"High Discount","Ok")</f>
        <v>Ok</v>
      </c>
      <c r="P866">
        <f>OrderLines[[#This Row],[UnitCost]]*OrderLines[[#This Row],[Qty]]</f>
        <v>80.92</v>
      </c>
      <c r="Q866" s="8">
        <f>OrderLines[[#This Row],[LineNetAmount]]-OrderLines[[#This Row],[Food Cost]]</f>
        <v>43.519999999999996</v>
      </c>
    </row>
    <row r="867" spans="1:17" x14ac:dyDescent="0.3">
      <c r="A867" t="s">
        <v>375</v>
      </c>
      <c r="B867" t="s">
        <v>409</v>
      </c>
      <c r="C867">
        <v>1</v>
      </c>
      <c r="D867" cm="1">
        <f t="array" ref="D867">VLOOKUP(OrderLines[[#This Row],[SKU]:[SKU]],Menu[],MATCH(OrderLines[[#Headers],[UnitPrice]],Menu[#Headers],0),FALSE)</f>
        <v>28.43</v>
      </c>
      <c r="E867" cm="1">
        <f t="array" ref="E867">VLOOKUP(OrderLines[[#This Row],[SKU]:[SKU]],Menu[],MATCH(OrderLines[[#Headers],[UnitCost]],Menu[#Headers],0),FALSE)</f>
        <v>13.89</v>
      </c>
      <c r="F867" t="str" cm="1">
        <f t="array" ref="F867">VLOOKUP(OrderLines[[#This Row],[SKU]:[SKU]],Menu[],MATCH(OrderLines[[#Headers],[Category]],Menu[#Headers],0),FALSE)</f>
        <v>Beverage</v>
      </c>
      <c r="G867" t="str" cm="1">
        <f t="array" ref="G867">_xlfn.TEXTJOIN("+",TRUE,_xlfn._xlws.SORT(_xlfn.UNIQUE(_xlfn._xlws.FILTER(OrderLines[Category],OrderLines[OrderID]=OrderLines[[#This Row],[OrderID]]))))</f>
        <v>Beverage</v>
      </c>
      <c r="H867" s="2" cm="1">
        <f t="array" ref="H867">INT(VLOOKUP(OrderLines[[#This Row],[OrderID]:[OrderID]],Orders[],MATCH(OrderLines[[#Headers],[OrderDateTime]],Orders[#Headers],0),FALSE))</f>
        <v>45890</v>
      </c>
      <c r="I867" t="str" cm="1">
        <f t="array" ref="I867">VLOOKUP(OrderLines[[#This Row],[OrderID]:[OrderID]],Orders[],MATCH(OrderLines[[#Headers],[Branch]],Orders[#Headers],0),FALSE)</f>
        <v>Plant 2 Canteen</v>
      </c>
      <c r="J867" cm="1">
        <f t="array" ref="J867">VLOOKUP(OrderLines[[#This Row],[OrderID]:[OrderID]],Orders[],MATCH(OrderLines[[#Headers],[DiscountPct]],Orders[#Headers],0),FALSE)</f>
        <v>0.03</v>
      </c>
      <c r="K867" t="str" cm="1">
        <f t="array" ref="K867">VLOOKUP(OrderLines[[#This Row],[OrderID]:[OrderID]],Orders[],MATCH(OrderLines[[#Headers],[PaymentType]],Orders[#Headers],0),FALSE)</f>
        <v>UPI</v>
      </c>
      <c r="L867" t="str" cm="1">
        <f t="array" ref="L867">VLOOKUP(OrderLines[[#This Row],[OrderID]:[OrderID]],Orders[],MATCH(OrderLines[[#Headers],[Shift]],Orders[#Headers],0),FALSE)</f>
        <v>Breakfast</v>
      </c>
      <c r="M867" s="8">
        <f>(OrderLines[[#This Row],[Qty]]*OrderLines[[#This Row],[UnitPrice]])*(1-OrderLines[[#This Row],[DiscountPct]])</f>
        <v>27.577099999999998</v>
      </c>
      <c r="N867" t="str">
        <f>IF(AND(COUNTIFS(OrderLines[OrderID],OrderLines[[#This Row],[OrderID]],OrderLines[Category],"Hot Meal"),COUNTIFS(OrderLines[OrderID],OrderLines[[#This Row],[OrderID]],OrderLines[Category],"Beverage")),"Combo","Single")</f>
        <v>Single</v>
      </c>
      <c r="O867" s="8" t="str" cm="1">
        <f t="array" ref="O867">IF(SUMPRODUCT(OrderLines[UnitPrice],OrderLines[Qty],OrderLines[DiscountPct],--(OrderLines[OrderID] = OrderLines[[#This Row],[OrderID]]))&gt;40,"High Discount","Ok")</f>
        <v>Ok</v>
      </c>
      <c r="P867">
        <f>OrderLines[[#This Row],[UnitCost]]*OrderLines[[#This Row],[Qty]]</f>
        <v>13.89</v>
      </c>
      <c r="Q867" s="8">
        <f>OrderLines[[#This Row],[LineNetAmount]]-OrderLines[[#This Row],[Food Cost]]</f>
        <v>13.687099999999997</v>
      </c>
    </row>
    <row r="868" spans="1:17" x14ac:dyDescent="0.3">
      <c r="A868" t="s">
        <v>375</v>
      </c>
      <c r="B868" t="s">
        <v>402</v>
      </c>
      <c r="C868">
        <v>1</v>
      </c>
      <c r="D868" cm="1">
        <f t="array" ref="D868">VLOOKUP(OrderLines[[#This Row],[SKU]:[SKU]],Menu[],MATCH(OrderLines[[#Headers],[UnitPrice]],Menu[#Headers],0),FALSE)</f>
        <v>30.34</v>
      </c>
      <c r="E868" cm="1">
        <f t="array" ref="E868">VLOOKUP(OrderLines[[#This Row],[SKU]:[SKU]],Menu[],MATCH(OrderLines[[#Headers],[UnitCost]],Menu[#Headers],0),FALSE)</f>
        <v>14.18</v>
      </c>
      <c r="F868" t="str" cm="1">
        <f t="array" ref="F868">VLOOKUP(OrderLines[[#This Row],[SKU]:[SKU]],Menu[],MATCH(OrderLines[[#Headers],[Category]],Menu[#Headers],0),FALSE)</f>
        <v>Beverage</v>
      </c>
      <c r="G868" t="str" cm="1">
        <f t="array" ref="G868">_xlfn.TEXTJOIN("+",TRUE,_xlfn._xlws.SORT(_xlfn.UNIQUE(_xlfn._xlws.FILTER(OrderLines[Category],OrderLines[OrderID]=OrderLines[[#This Row],[OrderID]]))))</f>
        <v>Beverage</v>
      </c>
      <c r="H868" s="2" cm="1">
        <f t="array" ref="H868">INT(VLOOKUP(OrderLines[[#This Row],[OrderID]:[OrderID]],Orders[],MATCH(OrderLines[[#Headers],[OrderDateTime]],Orders[#Headers],0),FALSE))</f>
        <v>45890</v>
      </c>
      <c r="I868" t="str" cm="1">
        <f t="array" ref="I868">VLOOKUP(OrderLines[[#This Row],[OrderID]:[OrderID]],Orders[],MATCH(OrderLines[[#Headers],[Branch]],Orders[#Headers],0),FALSE)</f>
        <v>Plant 2 Canteen</v>
      </c>
      <c r="J868" cm="1">
        <f t="array" ref="J868">VLOOKUP(OrderLines[[#This Row],[OrderID]:[OrderID]],Orders[],MATCH(OrderLines[[#Headers],[DiscountPct]],Orders[#Headers],0),FALSE)</f>
        <v>0.03</v>
      </c>
      <c r="K868" t="str" cm="1">
        <f t="array" ref="K868">VLOOKUP(OrderLines[[#This Row],[OrderID]:[OrderID]],Orders[],MATCH(OrderLines[[#Headers],[PaymentType]],Orders[#Headers],0),FALSE)</f>
        <v>UPI</v>
      </c>
      <c r="L868" t="str" cm="1">
        <f t="array" ref="L868">VLOOKUP(OrderLines[[#This Row],[OrderID]:[OrderID]],Orders[],MATCH(OrderLines[[#Headers],[Shift]],Orders[#Headers],0),FALSE)</f>
        <v>Breakfast</v>
      </c>
      <c r="M868" s="8">
        <f>(OrderLines[[#This Row],[Qty]]*OrderLines[[#This Row],[UnitPrice]])*(1-OrderLines[[#This Row],[DiscountPct]])</f>
        <v>29.4298</v>
      </c>
      <c r="N868" t="str">
        <f>IF(AND(COUNTIFS(OrderLines[OrderID],OrderLines[[#This Row],[OrderID]],OrderLines[Category],"Hot Meal"),COUNTIFS(OrderLines[OrderID],OrderLines[[#This Row],[OrderID]],OrderLines[Category],"Beverage")),"Combo","Single")</f>
        <v>Single</v>
      </c>
      <c r="O868" s="8" t="str" cm="1">
        <f t="array" ref="O868">IF(SUMPRODUCT(OrderLines[UnitPrice],OrderLines[Qty],OrderLines[DiscountPct],--(OrderLines[OrderID] = OrderLines[[#This Row],[OrderID]]))&gt;40,"High Discount","Ok")</f>
        <v>Ok</v>
      </c>
      <c r="P868">
        <f>OrderLines[[#This Row],[UnitCost]]*OrderLines[[#This Row],[Qty]]</f>
        <v>14.18</v>
      </c>
      <c r="Q868" s="8">
        <f>OrderLines[[#This Row],[LineNetAmount]]-OrderLines[[#This Row],[Food Cost]]</f>
        <v>15.2498</v>
      </c>
    </row>
    <row r="869" spans="1:17" x14ac:dyDescent="0.3">
      <c r="A869" t="s">
        <v>375</v>
      </c>
      <c r="B869" t="s">
        <v>404</v>
      </c>
      <c r="C869">
        <v>3</v>
      </c>
      <c r="D869" cm="1">
        <f t="array" ref="D869">VLOOKUP(OrderLines[[#This Row],[SKU]:[SKU]],Menu[],MATCH(OrderLines[[#Headers],[UnitPrice]],Menu[#Headers],0),FALSE)</f>
        <v>32.979999999999997</v>
      </c>
      <c r="E869" cm="1">
        <f t="array" ref="E869">VLOOKUP(OrderLines[[#This Row],[SKU]:[SKU]],Menu[],MATCH(OrderLines[[#Headers],[UnitCost]],Menu[#Headers],0),FALSE)</f>
        <v>11.84</v>
      </c>
      <c r="F869" t="str" cm="1">
        <f t="array" ref="F869">VLOOKUP(OrderLines[[#This Row],[SKU]:[SKU]],Menu[],MATCH(OrderLines[[#Headers],[Category]],Menu[#Headers],0),FALSE)</f>
        <v>Beverage</v>
      </c>
      <c r="G869" t="str" cm="1">
        <f t="array" ref="G869">_xlfn.TEXTJOIN("+",TRUE,_xlfn._xlws.SORT(_xlfn.UNIQUE(_xlfn._xlws.FILTER(OrderLines[Category],OrderLines[OrderID]=OrderLines[[#This Row],[OrderID]]))))</f>
        <v>Beverage</v>
      </c>
      <c r="H869" s="2" cm="1">
        <f t="array" ref="H869">INT(VLOOKUP(OrderLines[[#This Row],[OrderID]:[OrderID]],Orders[],MATCH(OrderLines[[#Headers],[OrderDateTime]],Orders[#Headers],0),FALSE))</f>
        <v>45890</v>
      </c>
      <c r="I869" t="str" cm="1">
        <f t="array" ref="I869">VLOOKUP(OrderLines[[#This Row],[OrderID]:[OrderID]],Orders[],MATCH(OrderLines[[#Headers],[Branch]],Orders[#Headers],0),FALSE)</f>
        <v>Plant 2 Canteen</v>
      </c>
      <c r="J869" cm="1">
        <f t="array" ref="J869">VLOOKUP(OrderLines[[#This Row],[OrderID]:[OrderID]],Orders[],MATCH(OrderLines[[#Headers],[DiscountPct]],Orders[#Headers],0),FALSE)</f>
        <v>0.03</v>
      </c>
      <c r="K869" t="str" cm="1">
        <f t="array" ref="K869">VLOOKUP(OrderLines[[#This Row],[OrderID]:[OrderID]],Orders[],MATCH(OrderLines[[#Headers],[PaymentType]],Orders[#Headers],0),FALSE)</f>
        <v>UPI</v>
      </c>
      <c r="L869" t="str" cm="1">
        <f t="array" ref="L869">VLOOKUP(OrderLines[[#This Row],[OrderID]:[OrderID]],Orders[],MATCH(OrderLines[[#Headers],[Shift]],Orders[#Headers],0),FALSE)</f>
        <v>Breakfast</v>
      </c>
      <c r="M869" s="8">
        <f>(OrderLines[[#This Row],[Qty]]*OrderLines[[#This Row],[UnitPrice]])*(1-OrderLines[[#This Row],[DiscountPct]])</f>
        <v>95.971800000000002</v>
      </c>
      <c r="N869" t="str">
        <f>IF(AND(COUNTIFS(OrderLines[OrderID],OrderLines[[#This Row],[OrderID]],OrderLines[Category],"Hot Meal"),COUNTIFS(OrderLines[OrderID],OrderLines[[#This Row],[OrderID]],OrderLines[Category],"Beverage")),"Combo","Single")</f>
        <v>Single</v>
      </c>
      <c r="O869" s="8" t="str" cm="1">
        <f t="array" ref="O869">IF(SUMPRODUCT(OrderLines[UnitPrice],OrderLines[Qty],OrderLines[DiscountPct],--(OrderLines[OrderID] = OrderLines[[#This Row],[OrderID]]))&gt;40,"High Discount","Ok")</f>
        <v>Ok</v>
      </c>
      <c r="P869">
        <f>OrderLines[[#This Row],[UnitCost]]*OrderLines[[#This Row],[Qty]]</f>
        <v>35.519999999999996</v>
      </c>
      <c r="Q869" s="8">
        <f>OrderLines[[#This Row],[LineNetAmount]]-OrderLines[[#This Row],[Food Cost]]</f>
        <v>60.451800000000006</v>
      </c>
    </row>
    <row r="870" spans="1:17" x14ac:dyDescent="0.3">
      <c r="A870" t="s">
        <v>376</v>
      </c>
      <c r="B870" t="s">
        <v>414</v>
      </c>
      <c r="C870">
        <v>2</v>
      </c>
      <c r="D870" cm="1">
        <f t="array" ref="D870">VLOOKUP(OrderLines[[#This Row],[SKU]:[SKU]],Menu[],MATCH(OrderLines[[#Headers],[UnitPrice]],Menu[#Headers],0),FALSE)</f>
        <v>116.8</v>
      </c>
      <c r="E870" cm="1">
        <f t="array" ref="E870">VLOOKUP(OrderLines[[#This Row],[SKU]:[SKU]],Menu[],MATCH(OrderLines[[#Headers],[UnitCost]],Menu[#Headers],0),FALSE)</f>
        <v>48.97</v>
      </c>
      <c r="F870" t="str" cm="1">
        <f t="array" ref="F870">VLOOKUP(OrderLines[[#This Row],[SKU]:[SKU]],Menu[],MATCH(OrderLines[[#Headers],[Category]],Menu[#Headers],0),FALSE)</f>
        <v>Dessert</v>
      </c>
      <c r="G870" t="str" cm="1">
        <f t="array" ref="G870">_xlfn.TEXTJOIN("+",TRUE,_xlfn._xlws.SORT(_xlfn.UNIQUE(_xlfn._xlws.FILTER(OrderLines[Category],OrderLines[OrderID]=OrderLines[[#This Row],[OrderID]]))))</f>
        <v>Dessert</v>
      </c>
      <c r="H870" s="2" cm="1">
        <f t="array" ref="H870">INT(VLOOKUP(OrderLines[[#This Row],[OrderID]:[OrderID]],Orders[],MATCH(OrderLines[[#Headers],[OrderDateTime]],Orders[#Headers],0),FALSE))</f>
        <v>45888</v>
      </c>
      <c r="I870" t="str" cm="1">
        <f t="array" ref="I870">VLOOKUP(OrderLines[[#This Row],[OrderID]:[OrderID]],Orders[],MATCH(OrderLines[[#Headers],[Branch]],Orders[#Headers],0),FALSE)</f>
        <v>Head Office Café</v>
      </c>
      <c r="J870" cm="1">
        <f t="array" ref="J870">VLOOKUP(OrderLines[[#This Row],[OrderID]:[OrderID]],Orders[],MATCH(OrderLines[[#Headers],[DiscountPct]],Orders[#Headers],0),FALSE)</f>
        <v>0.03</v>
      </c>
      <c r="K870" t="str" cm="1">
        <f t="array" ref="K870">VLOOKUP(OrderLines[[#This Row],[OrderID]:[OrderID]],Orders[],MATCH(OrderLines[[#Headers],[PaymentType]],Orders[#Headers],0),FALSE)</f>
        <v>Cash</v>
      </c>
      <c r="L870" t="str" cm="1">
        <f t="array" ref="L870">VLOOKUP(OrderLines[[#This Row],[OrderID]:[OrderID]],Orders[],MATCH(OrderLines[[#Headers],[Shift]],Orders[#Headers],0),FALSE)</f>
        <v>Lunch</v>
      </c>
      <c r="M870" s="8">
        <f>(OrderLines[[#This Row],[Qty]]*OrderLines[[#This Row],[UnitPrice]])*(1-OrderLines[[#This Row],[DiscountPct]])</f>
        <v>226.59199999999998</v>
      </c>
      <c r="N870" t="str">
        <f>IF(AND(COUNTIFS(OrderLines[OrderID],OrderLines[[#This Row],[OrderID]],OrderLines[Category],"Hot Meal"),COUNTIFS(OrderLines[OrderID],OrderLines[[#This Row],[OrderID]],OrderLines[Category],"Beverage")),"Combo","Single")</f>
        <v>Single</v>
      </c>
      <c r="O870" s="8" t="str" cm="1">
        <f t="array" ref="O870">IF(SUMPRODUCT(OrderLines[UnitPrice],OrderLines[Qty],OrderLines[DiscountPct],--(OrderLines[OrderID] = OrderLines[[#This Row],[OrderID]]))&gt;40,"High Discount","Ok")</f>
        <v>Ok</v>
      </c>
      <c r="P870">
        <f>OrderLines[[#This Row],[UnitCost]]*OrderLines[[#This Row],[Qty]]</f>
        <v>97.94</v>
      </c>
      <c r="Q870" s="8">
        <f>OrderLines[[#This Row],[LineNetAmount]]-OrderLines[[#This Row],[Food Cost]]</f>
        <v>128.65199999999999</v>
      </c>
    </row>
    <row r="871" spans="1:17" x14ac:dyDescent="0.3">
      <c r="A871" t="s">
        <v>376</v>
      </c>
      <c r="B871" t="s">
        <v>412</v>
      </c>
      <c r="C871">
        <v>3</v>
      </c>
      <c r="D871" cm="1">
        <f t="array" ref="D871">VLOOKUP(OrderLines[[#This Row],[SKU]:[SKU]],Menu[],MATCH(OrderLines[[#Headers],[UnitPrice]],Menu[#Headers],0),FALSE)</f>
        <v>57.07</v>
      </c>
      <c r="E871" cm="1">
        <f t="array" ref="E871">VLOOKUP(OrderLines[[#This Row],[SKU]:[SKU]],Menu[],MATCH(OrderLines[[#Headers],[UnitCost]],Menu[#Headers],0),FALSE)</f>
        <v>29.14</v>
      </c>
      <c r="F871" t="str" cm="1">
        <f t="array" ref="F871">VLOOKUP(OrderLines[[#This Row],[SKU]:[SKU]],Menu[],MATCH(OrderLines[[#Headers],[Category]],Menu[#Headers],0),FALSE)</f>
        <v>Dessert</v>
      </c>
      <c r="G871" t="str" cm="1">
        <f t="array" ref="G871">_xlfn.TEXTJOIN("+",TRUE,_xlfn._xlws.SORT(_xlfn.UNIQUE(_xlfn._xlws.FILTER(OrderLines[Category],OrderLines[OrderID]=OrderLines[[#This Row],[OrderID]]))))</f>
        <v>Dessert</v>
      </c>
      <c r="H871" s="2" cm="1">
        <f t="array" ref="H871">INT(VLOOKUP(OrderLines[[#This Row],[OrderID]:[OrderID]],Orders[],MATCH(OrderLines[[#Headers],[OrderDateTime]],Orders[#Headers],0),FALSE))</f>
        <v>45888</v>
      </c>
      <c r="I871" t="str" cm="1">
        <f t="array" ref="I871">VLOOKUP(OrderLines[[#This Row],[OrderID]:[OrderID]],Orders[],MATCH(OrderLines[[#Headers],[Branch]],Orders[#Headers],0),FALSE)</f>
        <v>Head Office Café</v>
      </c>
      <c r="J871" cm="1">
        <f t="array" ref="J871">VLOOKUP(OrderLines[[#This Row],[OrderID]:[OrderID]],Orders[],MATCH(OrderLines[[#Headers],[DiscountPct]],Orders[#Headers],0),FALSE)</f>
        <v>0.03</v>
      </c>
      <c r="K871" t="str" cm="1">
        <f t="array" ref="K871">VLOOKUP(OrderLines[[#This Row],[OrderID]:[OrderID]],Orders[],MATCH(OrderLines[[#Headers],[PaymentType]],Orders[#Headers],0),FALSE)</f>
        <v>Cash</v>
      </c>
      <c r="L871" t="str" cm="1">
        <f t="array" ref="L871">VLOOKUP(OrderLines[[#This Row],[OrderID]:[OrderID]],Orders[],MATCH(OrderLines[[#Headers],[Shift]],Orders[#Headers],0),FALSE)</f>
        <v>Lunch</v>
      </c>
      <c r="M871" s="8">
        <f>(OrderLines[[#This Row],[Qty]]*OrderLines[[#This Row],[UnitPrice]])*(1-OrderLines[[#This Row],[DiscountPct]])</f>
        <v>166.0737</v>
      </c>
      <c r="N871" t="str">
        <f>IF(AND(COUNTIFS(OrderLines[OrderID],OrderLines[[#This Row],[OrderID]],OrderLines[Category],"Hot Meal"),COUNTIFS(OrderLines[OrderID],OrderLines[[#This Row],[OrderID]],OrderLines[Category],"Beverage")),"Combo","Single")</f>
        <v>Single</v>
      </c>
      <c r="O871" s="8" t="str" cm="1">
        <f t="array" ref="O871">IF(SUMPRODUCT(OrderLines[UnitPrice],OrderLines[Qty],OrderLines[DiscountPct],--(OrderLines[OrderID] = OrderLines[[#This Row],[OrderID]]))&gt;40,"High Discount","Ok")</f>
        <v>Ok</v>
      </c>
      <c r="P871">
        <f>OrderLines[[#This Row],[UnitCost]]*OrderLines[[#This Row],[Qty]]</f>
        <v>87.42</v>
      </c>
      <c r="Q871" s="8">
        <f>OrderLines[[#This Row],[LineNetAmount]]-OrderLines[[#This Row],[Food Cost]]</f>
        <v>78.653700000000001</v>
      </c>
    </row>
    <row r="872" spans="1:17" x14ac:dyDescent="0.3">
      <c r="A872" t="s">
        <v>377</v>
      </c>
      <c r="B872" t="s">
        <v>401</v>
      </c>
      <c r="C872">
        <v>3</v>
      </c>
      <c r="D872" cm="1">
        <f t="array" ref="D872">VLOOKUP(OrderLines[[#This Row],[SKU]:[SKU]],Menu[],MATCH(OrderLines[[#Headers],[UnitPrice]],Menu[#Headers],0),FALSE)</f>
        <v>52.45</v>
      </c>
      <c r="E872" cm="1">
        <f t="array" ref="E872">VLOOKUP(OrderLines[[#This Row],[SKU]:[SKU]],Menu[],MATCH(OrderLines[[#Headers],[UnitCost]],Menu[#Headers],0),FALSE)</f>
        <v>25.8</v>
      </c>
      <c r="F872" t="str" cm="1">
        <f t="array" ref="F872">VLOOKUP(OrderLines[[#This Row],[SKU]:[SKU]],Menu[],MATCH(OrderLines[[#Headers],[Category]],Menu[#Headers],0),FALSE)</f>
        <v>Snack</v>
      </c>
      <c r="G872" t="str" cm="1">
        <f t="array" ref="G872">_xlfn.TEXTJOIN("+",TRUE,_xlfn._xlws.SORT(_xlfn.UNIQUE(_xlfn._xlws.FILTER(OrderLines[Category],OrderLines[OrderID]=OrderLines[[#This Row],[OrderID]]))))</f>
        <v>Beverage+Dessert+Snack</v>
      </c>
      <c r="H872" s="2" cm="1">
        <f t="array" ref="H872">INT(VLOOKUP(OrderLines[[#This Row],[OrderID]:[OrderID]],Orders[],MATCH(OrderLines[[#Headers],[OrderDateTime]],Orders[#Headers],0),FALSE))</f>
        <v>45884</v>
      </c>
      <c r="I872" t="str" cm="1">
        <f t="array" ref="I872">VLOOKUP(OrderLines[[#This Row],[OrderID]:[OrderID]],Orders[],MATCH(OrderLines[[#Headers],[Branch]],Orders[#Headers],0),FALSE)</f>
        <v>Plant 1 Canteen</v>
      </c>
      <c r="J872" cm="1">
        <f t="array" ref="J872">VLOOKUP(OrderLines[[#This Row],[OrderID]:[OrderID]],Orders[],MATCH(OrderLines[[#Headers],[DiscountPct]],Orders[#Headers],0),FALSE)</f>
        <v>0.04</v>
      </c>
      <c r="K872" t="str" cm="1">
        <f t="array" ref="K872">VLOOKUP(OrderLines[[#This Row],[OrderID]:[OrderID]],Orders[],MATCH(OrderLines[[#Headers],[PaymentType]],Orders[#Headers],0),FALSE)</f>
        <v>Card</v>
      </c>
      <c r="L872" t="str" cm="1">
        <f t="array" ref="L872">VLOOKUP(OrderLines[[#This Row],[OrderID]:[OrderID]],Orders[],MATCH(OrderLines[[#Headers],[Shift]],Orders[#Headers],0),FALSE)</f>
        <v>Dinner</v>
      </c>
      <c r="M872" s="8">
        <f>(OrderLines[[#This Row],[Qty]]*OrderLines[[#This Row],[UnitPrice]])*(1-OrderLines[[#This Row],[DiscountPct]])</f>
        <v>151.05600000000001</v>
      </c>
      <c r="N872" t="str">
        <f>IF(AND(COUNTIFS(OrderLines[OrderID],OrderLines[[#This Row],[OrderID]],OrderLines[Category],"Hot Meal"),COUNTIFS(OrderLines[OrderID],OrderLines[[#This Row],[OrderID]],OrderLines[Category],"Beverage")),"Combo","Single")</f>
        <v>Single</v>
      </c>
      <c r="O872" s="8" t="str" cm="1">
        <f t="array" ref="O872">IF(SUMPRODUCT(OrderLines[UnitPrice],OrderLines[Qty],OrderLines[DiscountPct],--(OrderLines[OrderID] = OrderLines[[#This Row],[OrderID]]))&gt;40,"High Discount","Ok")</f>
        <v>Ok</v>
      </c>
      <c r="P872">
        <f>OrderLines[[#This Row],[UnitCost]]*OrderLines[[#This Row],[Qty]]</f>
        <v>77.400000000000006</v>
      </c>
      <c r="Q872" s="8">
        <f>OrderLines[[#This Row],[LineNetAmount]]-OrderLines[[#This Row],[Food Cost]]</f>
        <v>73.656000000000006</v>
      </c>
    </row>
    <row r="873" spans="1:17" x14ac:dyDescent="0.3">
      <c r="A873" t="s">
        <v>377</v>
      </c>
      <c r="B873" t="s">
        <v>404</v>
      </c>
      <c r="C873">
        <v>1</v>
      </c>
      <c r="D873" cm="1">
        <f t="array" ref="D873">VLOOKUP(OrderLines[[#This Row],[SKU]:[SKU]],Menu[],MATCH(OrderLines[[#Headers],[UnitPrice]],Menu[#Headers],0),FALSE)</f>
        <v>32.979999999999997</v>
      </c>
      <c r="E873" cm="1">
        <f t="array" ref="E873">VLOOKUP(OrderLines[[#This Row],[SKU]:[SKU]],Menu[],MATCH(OrderLines[[#Headers],[UnitCost]],Menu[#Headers],0),FALSE)</f>
        <v>11.84</v>
      </c>
      <c r="F873" t="str" cm="1">
        <f t="array" ref="F873">VLOOKUP(OrderLines[[#This Row],[SKU]:[SKU]],Menu[],MATCH(OrderLines[[#Headers],[Category]],Menu[#Headers],0),FALSE)</f>
        <v>Beverage</v>
      </c>
      <c r="G873" t="str" cm="1">
        <f t="array" ref="G873">_xlfn.TEXTJOIN("+",TRUE,_xlfn._xlws.SORT(_xlfn.UNIQUE(_xlfn._xlws.FILTER(OrderLines[Category],OrderLines[OrderID]=OrderLines[[#This Row],[OrderID]]))))</f>
        <v>Beverage+Dessert+Snack</v>
      </c>
      <c r="H873" s="2" cm="1">
        <f t="array" ref="H873">INT(VLOOKUP(OrderLines[[#This Row],[OrderID]:[OrderID]],Orders[],MATCH(OrderLines[[#Headers],[OrderDateTime]],Orders[#Headers],0),FALSE))</f>
        <v>45884</v>
      </c>
      <c r="I873" t="str" cm="1">
        <f t="array" ref="I873">VLOOKUP(OrderLines[[#This Row],[OrderID]:[OrderID]],Orders[],MATCH(OrderLines[[#Headers],[Branch]],Orders[#Headers],0),FALSE)</f>
        <v>Plant 1 Canteen</v>
      </c>
      <c r="J873" cm="1">
        <f t="array" ref="J873">VLOOKUP(OrderLines[[#This Row],[OrderID]:[OrderID]],Orders[],MATCH(OrderLines[[#Headers],[DiscountPct]],Orders[#Headers],0),FALSE)</f>
        <v>0.04</v>
      </c>
      <c r="K873" t="str" cm="1">
        <f t="array" ref="K873">VLOOKUP(OrderLines[[#This Row],[OrderID]:[OrderID]],Orders[],MATCH(OrderLines[[#Headers],[PaymentType]],Orders[#Headers],0),FALSE)</f>
        <v>Card</v>
      </c>
      <c r="L873" t="str" cm="1">
        <f t="array" ref="L873">VLOOKUP(OrderLines[[#This Row],[OrderID]:[OrderID]],Orders[],MATCH(OrderLines[[#Headers],[Shift]],Orders[#Headers],0),FALSE)</f>
        <v>Dinner</v>
      </c>
      <c r="M873" s="8">
        <f>(OrderLines[[#This Row],[Qty]]*OrderLines[[#This Row],[UnitPrice]])*(1-OrderLines[[#This Row],[DiscountPct]])</f>
        <v>31.660799999999995</v>
      </c>
      <c r="N873" t="str">
        <f>IF(AND(COUNTIFS(OrderLines[OrderID],OrderLines[[#This Row],[OrderID]],OrderLines[Category],"Hot Meal"),COUNTIFS(OrderLines[OrderID],OrderLines[[#This Row],[OrderID]],OrderLines[Category],"Beverage")),"Combo","Single")</f>
        <v>Single</v>
      </c>
      <c r="O873" s="8" t="str" cm="1">
        <f t="array" ref="O873">IF(SUMPRODUCT(OrderLines[UnitPrice],OrderLines[Qty],OrderLines[DiscountPct],--(OrderLines[OrderID] = OrderLines[[#This Row],[OrderID]]))&gt;40,"High Discount","Ok")</f>
        <v>Ok</v>
      </c>
      <c r="P873">
        <f>OrderLines[[#This Row],[UnitCost]]*OrderLines[[#This Row],[Qty]]</f>
        <v>11.84</v>
      </c>
      <c r="Q873" s="8">
        <f>OrderLines[[#This Row],[LineNetAmount]]-OrderLines[[#This Row],[Food Cost]]</f>
        <v>19.820799999999995</v>
      </c>
    </row>
    <row r="874" spans="1:17" x14ac:dyDescent="0.3">
      <c r="A874" t="s">
        <v>377</v>
      </c>
      <c r="B874" t="s">
        <v>413</v>
      </c>
      <c r="C874">
        <v>1</v>
      </c>
      <c r="D874" cm="1">
        <f t="array" ref="D874">VLOOKUP(OrderLines[[#This Row],[SKU]:[SKU]],Menu[],MATCH(OrderLines[[#Headers],[UnitPrice]],Menu[#Headers],0),FALSE)</f>
        <v>54.2</v>
      </c>
      <c r="E874" cm="1">
        <f t="array" ref="E874">VLOOKUP(OrderLines[[#This Row],[SKU]:[SKU]],Menu[],MATCH(OrderLines[[#Headers],[UnitCost]],Menu[#Headers],0),FALSE)</f>
        <v>21.95</v>
      </c>
      <c r="F874" t="str" cm="1">
        <f t="array" ref="F874">VLOOKUP(OrderLines[[#This Row],[SKU]:[SKU]],Menu[],MATCH(OrderLines[[#Headers],[Category]],Menu[#Headers],0),FALSE)</f>
        <v>Dessert</v>
      </c>
      <c r="G874" t="str" cm="1">
        <f t="array" ref="G874">_xlfn.TEXTJOIN("+",TRUE,_xlfn._xlws.SORT(_xlfn.UNIQUE(_xlfn._xlws.FILTER(OrderLines[Category],OrderLines[OrderID]=OrderLines[[#This Row],[OrderID]]))))</f>
        <v>Beverage+Dessert+Snack</v>
      </c>
      <c r="H874" s="2" cm="1">
        <f t="array" ref="H874">INT(VLOOKUP(OrderLines[[#This Row],[OrderID]:[OrderID]],Orders[],MATCH(OrderLines[[#Headers],[OrderDateTime]],Orders[#Headers],0),FALSE))</f>
        <v>45884</v>
      </c>
      <c r="I874" t="str" cm="1">
        <f t="array" ref="I874">VLOOKUP(OrderLines[[#This Row],[OrderID]:[OrderID]],Orders[],MATCH(OrderLines[[#Headers],[Branch]],Orders[#Headers],0),FALSE)</f>
        <v>Plant 1 Canteen</v>
      </c>
      <c r="J874" cm="1">
        <f t="array" ref="J874">VLOOKUP(OrderLines[[#This Row],[OrderID]:[OrderID]],Orders[],MATCH(OrderLines[[#Headers],[DiscountPct]],Orders[#Headers],0),FALSE)</f>
        <v>0.04</v>
      </c>
      <c r="K874" t="str" cm="1">
        <f t="array" ref="K874">VLOOKUP(OrderLines[[#This Row],[OrderID]:[OrderID]],Orders[],MATCH(OrderLines[[#Headers],[PaymentType]],Orders[#Headers],0),FALSE)</f>
        <v>Card</v>
      </c>
      <c r="L874" t="str" cm="1">
        <f t="array" ref="L874">VLOOKUP(OrderLines[[#This Row],[OrderID]:[OrderID]],Orders[],MATCH(OrderLines[[#Headers],[Shift]],Orders[#Headers],0),FALSE)</f>
        <v>Dinner</v>
      </c>
      <c r="M874" s="8">
        <f>(OrderLines[[#This Row],[Qty]]*OrderLines[[#This Row],[UnitPrice]])*(1-OrderLines[[#This Row],[DiscountPct]])</f>
        <v>52.032000000000004</v>
      </c>
      <c r="N874" t="str">
        <f>IF(AND(COUNTIFS(OrderLines[OrderID],OrderLines[[#This Row],[OrderID]],OrderLines[Category],"Hot Meal"),COUNTIFS(OrderLines[OrderID],OrderLines[[#This Row],[OrderID]],OrderLines[Category],"Beverage")),"Combo","Single")</f>
        <v>Single</v>
      </c>
      <c r="O874" s="8" t="str" cm="1">
        <f t="array" ref="O874">IF(SUMPRODUCT(OrderLines[UnitPrice],OrderLines[Qty],OrderLines[DiscountPct],--(OrderLines[OrderID] = OrderLines[[#This Row],[OrderID]]))&gt;40,"High Discount","Ok")</f>
        <v>Ok</v>
      </c>
      <c r="P874">
        <f>OrderLines[[#This Row],[UnitCost]]*OrderLines[[#This Row],[Qty]]</f>
        <v>21.95</v>
      </c>
      <c r="Q874" s="8">
        <f>OrderLines[[#This Row],[LineNetAmount]]-OrderLines[[#This Row],[Food Cost]]</f>
        <v>30.082000000000004</v>
      </c>
    </row>
    <row r="875" spans="1:17" x14ac:dyDescent="0.3">
      <c r="A875" t="s">
        <v>377</v>
      </c>
      <c r="B875" t="s">
        <v>402</v>
      </c>
      <c r="C875">
        <v>1</v>
      </c>
      <c r="D875" cm="1">
        <f t="array" ref="D875">VLOOKUP(OrderLines[[#This Row],[SKU]:[SKU]],Menu[],MATCH(OrderLines[[#Headers],[UnitPrice]],Menu[#Headers],0),FALSE)</f>
        <v>30.34</v>
      </c>
      <c r="E875" cm="1">
        <f t="array" ref="E875">VLOOKUP(OrderLines[[#This Row],[SKU]:[SKU]],Menu[],MATCH(OrderLines[[#Headers],[UnitCost]],Menu[#Headers],0),FALSE)</f>
        <v>14.18</v>
      </c>
      <c r="F875" t="str" cm="1">
        <f t="array" ref="F875">VLOOKUP(OrderLines[[#This Row],[SKU]:[SKU]],Menu[],MATCH(OrderLines[[#Headers],[Category]],Menu[#Headers],0),FALSE)</f>
        <v>Beverage</v>
      </c>
      <c r="G875" t="str" cm="1">
        <f t="array" ref="G875">_xlfn.TEXTJOIN("+",TRUE,_xlfn._xlws.SORT(_xlfn.UNIQUE(_xlfn._xlws.FILTER(OrderLines[Category],OrderLines[OrderID]=OrderLines[[#This Row],[OrderID]]))))</f>
        <v>Beverage+Dessert+Snack</v>
      </c>
      <c r="H875" s="2" cm="1">
        <f t="array" ref="H875">INT(VLOOKUP(OrderLines[[#This Row],[OrderID]:[OrderID]],Orders[],MATCH(OrderLines[[#Headers],[OrderDateTime]],Orders[#Headers],0),FALSE))</f>
        <v>45884</v>
      </c>
      <c r="I875" t="str" cm="1">
        <f t="array" ref="I875">VLOOKUP(OrderLines[[#This Row],[OrderID]:[OrderID]],Orders[],MATCH(OrderLines[[#Headers],[Branch]],Orders[#Headers],0),FALSE)</f>
        <v>Plant 1 Canteen</v>
      </c>
      <c r="J875" cm="1">
        <f t="array" ref="J875">VLOOKUP(OrderLines[[#This Row],[OrderID]:[OrderID]],Orders[],MATCH(OrderLines[[#Headers],[DiscountPct]],Orders[#Headers],0),FALSE)</f>
        <v>0.04</v>
      </c>
      <c r="K875" t="str" cm="1">
        <f t="array" ref="K875">VLOOKUP(OrderLines[[#This Row],[OrderID]:[OrderID]],Orders[],MATCH(OrderLines[[#Headers],[PaymentType]],Orders[#Headers],0),FALSE)</f>
        <v>Card</v>
      </c>
      <c r="L875" t="str" cm="1">
        <f t="array" ref="L875">VLOOKUP(OrderLines[[#This Row],[OrderID]:[OrderID]],Orders[],MATCH(OrderLines[[#Headers],[Shift]],Orders[#Headers],0),FALSE)</f>
        <v>Dinner</v>
      </c>
      <c r="M875" s="8">
        <f>(OrderLines[[#This Row],[Qty]]*OrderLines[[#This Row],[UnitPrice]])*(1-OrderLines[[#This Row],[DiscountPct]])</f>
        <v>29.1264</v>
      </c>
      <c r="N875" t="str">
        <f>IF(AND(COUNTIFS(OrderLines[OrderID],OrderLines[[#This Row],[OrderID]],OrderLines[Category],"Hot Meal"),COUNTIFS(OrderLines[OrderID],OrderLines[[#This Row],[OrderID]],OrderLines[Category],"Beverage")),"Combo","Single")</f>
        <v>Single</v>
      </c>
      <c r="O875" s="8" t="str" cm="1">
        <f t="array" ref="O875">IF(SUMPRODUCT(OrderLines[UnitPrice],OrderLines[Qty],OrderLines[DiscountPct],--(OrderLines[OrderID] = OrderLines[[#This Row],[OrderID]]))&gt;40,"High Discount","Ok")</f>
        <v>Ok</v>
      </c>
      <c r="P875">
        <f>OrderLines[[#This Row],[UnitCost]]*OrderLines[[#This Row],[Qty]]</f>
        <v>14.18</v>
      </c>
      <c r="Q875" s="8">
        <f>OrderLines[[#This Row],[LineNetAmount]]-OrderLines[[#This Row],[Food Cost]]</f>
        <v>14.946400000000001</v>
      </c>
    </row>
    <row r="876" spans="1:17" x14ac:dyDescent="0.3">
      <c r="A876" t="s">
        <v>378</v>
      </c>
      <c r="B876" t="s">
        <v>418</v>
      </c>
      <c r="C876">
        <v>1</v>
      </c>
      <c r="D876" cm="1">
        <f t="array" ref="D876">VLOOKUP(OrderLines[[#This Row],[SKU]:[SKU]],Menu[],MATCH(OrderLines[[#Headers],[UnitPrice]],Menu[#Headers],0),FALSE)</f>
        <v>39.950000000000003</v>
      </c>
      <c r="E876" cm="1">
        <f t="array" ref="E876">VLOOKUP(OrderLines[[#This Row],[SKU]:[SKU]],Menu[],MATCH(OrderLines[[#Headers],[UnitCost]],Menu[#Headers],0),FALSE)</f>
        <v>15.51</v>
      </c>
      <c r="F876" t="str" cm="1">
        <f t="array" ref="F876">VLOOKUP(OrderLines[[#This Row],[SKU]:[SKU]],Menu[],MATCH(OrderLines[[#Headers],[Category]],Menu[#Headers],0),FALSE)</f>
        <v>Snack</v>
      </c>
      <c r="G876" t="str" cm="1">
        <f t="array" ref="G876">_xlfn.TEXTJOIN("+",TRUE,_xlfn._xlws.SORT(_xlfn.UNIQUE(_xlfn._xlws.FILTER(OrderLines[Category],OrderLines[OrderID]=OrderLines[[#This Row],[OrderID]]))))</f>
        <v>Dessert+Hot Meal+Snack</v>
      </c>
      <c r="H876" s="2" cm="1">
        <f t="array" ref="H876">INT(VLOOKUP(OrderLines[[#This Row],[OrderID]:[OrderID]],Orders[],MATCH(OrderLines[[#Headers],[OrderDateTime]],Orders[#Headers],0),FALSE))</f>
        <v>45863</v>
      </c>
      <c r="I876" t="str" cm="1">
        <f t="array" ref="I876">VLOOKUP(OrderLines[[#This Row],[OrderID]:[OrderID]],Orders[],MATCH(OrderLines[[#Headers],[Branch]],Orders[#Headers],0),FALSE)</f>
        <v>Head Office Café</v>
      </c>
      <c r="J876" cm="1">
        <f t="array" ref="J876">VLOOKUP(OrderLines[[#This Row],[OrderID]:[OrderID]],Orders[],MATCH(OrderLines[[#Headers],[DiscountPct]],Orders[#Headers],0),FALSE)</f>
        <v>0</v>
      </c>
      <c r="K876" t="str" cm="1">
        <f t="array" ref="K876">VLOOKUP(OrderLines[[#This Row],[OrderID]:[OrderID]],Orders[],MATCH(OrderLines[[#Headers],[PaymentType]],Orders[#Headers],0),FALSE)</f>
        <v>Card</v>
      </c>
      <c r="L876" t="str" cm="1">
        <f t="array" ref="L876">VLOOKUP(OrderLines[[#This Row],[OrderID]:[OrderID]],Orders[],MATCH(OrderLines[[#Headers],[Shift]],Orders[#Headers],0),FALSE)</f>
        <v>Dinner</v>
      </c>
      <c r="M876" s="8">
        <f>(OrderLines[[#This Row],[Qty]]*OrderLines[[#This Row],[UnitPrice]])*(1-OrderLines[[#This Row],[DiscountPct]])</f>
        <v>39.950000000000003</v>
      </c>
      <c r="N876" t="str">
        <f>IF(AND(COUNTIFS(OrderLines[OrderID],OrderLines[[#This Row],[OrderID]],OrderLines[Category],"Hot Meal"),COUNTIFS(OrderLines[OrderID],OrderLines[[#This Row],[OrderID]],OrderLines[Category],"Beverage")),"Combo","Single")</f>
        <v>Single</v>
      </c>
      <c r="O876" s="8" t="str" cm="1">
        <f t="array" ref="O876">IF(SUMPRODUCT(OrderLines[UnitPrice],OrderLines[Qty],OrderLines[DiscountPct],--(OrderLines[OrderID] = OrderLines[[#This Row],[OrderID]]))&gt;40,"High Discount","Ok")</f>
        <v>Ok</v>
      </c>
      <c r="P876">
        <f>OrderLines[[#This Row],[UnitCost]]*OrderLines[[#This Row],[Qty]]</f>
        <v>15.51</v>
      </c>
      <c r="Q876" s="8">
        <f>OrderLines[[#This Row],[LineNetAmount]]-OrderLines[[#This Row],[Food Cost]]</f>
        <v>24.440000000000005</v>
      </c>
    </row>
    <row r="877" spans="1:17" x14ac:dyDescent="0.3">
      <c r="A877" t="s">
        <v>378</v>
      </c>
      <c r="B877" t="s">
        <v>403</v>
      </c>
      <c r="C877">
        <v>3</v>
      </c>
      <c r="D877" cm="1">
        <f t="array" ref="D877">VLOOKUP(OrderLines[[#This Row],[SKU]:[SKU]],Menu[],MATCH(OrderLines[[#Headers],[UnitPrice]],Menu[#Headers],0),FALSE)</f>
        <v>76.55</v>
      </c>
      <c r="E877" cm="1">
        <f t="array" ref="E877">VLOOKUP(OrderLines[[#This Row],[SKU]:[SKU]],Menu[],MATCH(OrderLines[[#Headers],[UnitCost]],Menu[#Headers],0),FALSE)</f>
        <v>38.229999999999997</v>
      </c>
      <c r="F877" t="str" cm="1">
        <f t="array" ref="F877">VLOOKUP(OrderLines[[#This Row],[SKU]:[SKU]],Menu[],MATCH(OrderLines[[#Headers],[Category]],Menu[#Headers],0),FALSE)</f>
        <v>Dessert</v>
      </c>
      <c r="G877" t="str" cm="1">
        <f t="array" ref="G877">_xlfn.TEXTJOIN("+",TRUE,_xlfn._xlws.SORT(_xlfn.UNIQUE(_xlfn._xlws.FILTER(OrderLines[Category],OrderLines[OrderID]=OrderLines[[#This Row],[OrderID]]))))</f>
        <v>Dessert+Hot Meal+Snack</v>
      </c>
      <c r="H877" s="2" cm="1">
        <f t="array" ref="H877">INT(VLOOKUP(OrderLines[[#This Row],[OrderID]:[OrderID]],Orders[],MATCH(OrderLines[[#Headers],[OrderDateTime]],Orders[#Headers],0),FALSE))</f>
        <v>45863</v>
      </c>
      <c r="I877" t="str" cm="1">
        <f t="array" ref="I877">VLOOKUP(OrderLines[[#This Row],[OrderID]:[OrderID]],Orders[],MATCH(OrderLines[[#Headers],[Branch]],Orders[#Headers],0),FALSE)</f>
        <v>Head Office Café</v>
      </c>
      <c r="J877" cm="1">
        <f t="array" ref="J877">VLOOKUP(OrderLines[[#This Row],[OrderID]:[OrderID]],Orders[],MATCH(OrderLines[[#Headers],[DiscountPct]],Orders[#Headers],0),FALSE)</f>
        <v>0</v>
      </c>
      <c r="K877" t="str" cm="1">
        <f t="array" ref="K877">VLOOKUP(OrderLines[[#This Row],[OrderID]:[OrderID]],Orders[],MATCH(OrderLines[[#Headers],[PaymentType]],Orders[#Headers],0),FALSE)</f>
        <v>Card</v>
      </c>
      <c r="L877" t="str" cm="1">
        <f t="array" ref="L877">VLOOKUP(OrderLines[[#This Row],[OrderID]:[OrderID]],Orders[],MATCH(OrderLines[[#Headers],[Shift]],Orders[#Headers],0),FALSE)</f>
        <v>Dinner</v>
      </c>
      <c r="M877" s="8">
        <f>(OrderLines[[#This Row],[Qty]]*OrderLines[[#This Row],[UnitPrice]])*(1-OrderLines[[#This Row],[DiscountPct]])</f>
        <v>229.64999999999998</v>
      </c>
      <c r="N877" t="str">
        <f>IF(AND(COUNTIFS(OrderLines[OrderID],OrderLines[[#This Row],[OrderID]],OrderLines[Category],"Hot Meal"),COUNTIFS(OrderLines[OrderID],OrderLines[[#This Row],[OrderID]],OrderLines[Category],"Beverage")),"Combo","Single")</f>
        <v>Single</v>
      </c>
      <c r="O877" s="8" t="str" cm="1">
        <f t="array" ref="O877">IF(SUMPRODUCT(OrderLines[UnitPrice],OrderLines[Qty],OrderLines[DiscountPct],--(OrderLines[OrderID] = OrderLines[[#This Row],[OrderID]]))&gt;40,"High Discount","Ok")</f>
        <v>Ok</v>
      </c>
      <c r="P877">
        <f>OrderLines[[#This Row],[UnitCost]]*OrderLines[[#This Row],[Qty]]</f>
        <v>114.69</v>
      </c>
      <c r="Q877" s="8">
        <f>OrderLines[[#This Row],[LineNetAmount]]-OrderLines[[#This Row],[Food Cost]]</f>
        <v>114.95999999999998</v>
      </c>
    </row>
    <row r="878" spans="1:17" x14ac:dyDescent="0.3">
      <c r="A878" t="s">
        <v>378</v>
      </c>
      <c r="B878" t="s">
        <v>417</v>
      </c>
      <c r="C878">
        <v>1</v>
      </c>
      <c r="D878" cm="1">
        <f t="array" ref="D878">VLOOKUP(OrderLines[[#This Row],[SKU]:[SKU]],Menu[],MATCH(OrderLines[[#Headers],[UnitPrice]],Menu[#Headers],0),FALSE)</f>
        <v>146.4</v>
      </c>
      <c r="E878" cm="1">
        <f t="array" ref="E878">VLOOKUP(OrderLines[[#This Row],[SKU]:[SKU]],Menu[],MATCH(OrderLines[[#Headers],[UnitCost]],Menu[#Headers],0),FALSE)</f>
        <v>80.92</v>
      </c>
      <c r="F878" t="str" cm="1">
        <f t="array" ref="F878">VLOOKUP(OrderLines[[#This Row],[SKU]:[SKU]],Menu[],MATCH(OrderLines[[#Headers],[Category]],Menu[#Headers],0),FALSE)</f>
        <v>Hot Meal</v>
      </c>
      <c r="G878" t="str" cm="1">
        <f t="array" ref="G878">_xlfn.TEXTJOIN("+",TRUE,_xlfn._xlws.SORT(_xlfn.UNIQUE(_xlfn._xlws.FILTER(OrderLines[Category],OrderLines[OrderID]=OrderLines[[#This Row],[OrderID]]))))</f>
        <v>Dessert+Hot Meal+Snack</v>
      </c>
      <c r="H878" s="2" cm="1">
        <f t="array" ref="H878">INT(VLOOKUP(OrderLines[[#This Row],[OrderID]:[OrderID]],Orders[],MATCH(OrderLines[[#Headers],[OrderDateTime]],Orders[#Headers],0),FALSE))</f>
        <v>45863</v>
      </c>
      <c r="I878" t="str" cm="1">
        <f t="array" ref="I878">VLOOKUP(OrderLines[[#This Row],[OrderID]:[OrderID]],Orders[],MATCH(OrderLines[[#Headers],[Branch]],Orders[#Headers],0),FALSE)</f>
        <v>Head Office Café</v>
      </c>
      <c r="J878" cm="1">
        <f t="array" ref="J878">VLOOKUP(OrderLines[[#This Row],[OrderID]:[OrderID]],Orders[],MATCH(OrderLines[[#Headers],[DiscountPct]],Orders[#Headers],0),FALSE)</f>
        <v>0</v>
      </c>
      <c r="K878" t="str" cm="1">
        <f t="array" ref="K878">VLOOKUP(OrderLines[[#This Row],[OrderID]:[OrderID]],Orders[],MATCH(OrderLines[[#Headers],[PaymentType]],Orders[#Headers],0),FALSE)</f>
        <v>Card</v>
      </c>
      <c r="L878" t="str" cm="1">
        <f t="array" ref="L878">VLOOKUP(OrderLines[[#This Row],[OrderID]:[OrderID]],Orders[],MATCH(OrderLines[[#Headers],[Shift]],Orders[#Headers],0),FALSE)</f>
        <v>Dinner</v>
      </c>
      <c r="M878" s="8">
        <f>(OrderLines[[#This Row],[Qty]]*OrderLines[[#This Row],[UnitPrice]])*(1-OrderLines[[#This Row],[DiscountPct]])</f>
        <v>146.4</v>
      </c>
      <c r="N878" t="str">
        <f>IF(AND(COUNTIFS(OrderLines[OrderID],OrderLines[[#This Row],[OrderID]],OrderLines[Category],"Hot Meal"),COUNTIFS(OrderLines[OrderID],OrderLines[[#This Row],[OrderID]],OrderLines[Category],"Beverage")),"Combo","Single")</f>
        <v>Single</v>
      </c>
      <c r="O878" s="8" t="str" cm="1">
        <f t="array" ref="O878">IF(SUMPRODUCT(OrderLines[UnitPrice],OrderLines[Qty],OrderLines[DiscountPct],--(OrderLines[OrderID] = OrderLines[[#This Row],[OrderID]]))&gt;40,"High Discount","Ok")</f>
        <v>Ok</v>
      </c>
      <c r="P878">
        <f>OrderLines[[#This Row],[UnitCost]]*OrderLines[[#This Row],[Qty]]</f>
        <v>80.92</v>
      </c>
      <c r="Q878" s="8">
        <f>OrderLines[[#This Row],[LineNetAmount]]-OrderLines[[#This Row],[Food Cost]]</f>
        <v>65.48</v>
      </c>
    </row>
    <row r="879" spans="1:17" x14ac:dyDescent="0.3">
      <c r="A879" t="s">
        <v>379</v>
      </c>
      <c r="B879" t="s">
        <v>401</v>
      </c>
      <c r="C879">
        <v>1</v>
      </c>
      <c r="D879" cm="1">
        <f t="array" ref="D879">VLOOKUP(OrderLines[[#This Row],[SKU]:[SKU]],Menu[],MATCH(OrderLines[[#Headers],[UnitPrice]],Menu[#Headers],0),FALSE)</f>
        <v>52.45</v>
      </c>
      <c r="E879" cm="1">
        <f t="array" ref="E879">VLOOKUP(OrderLines[[#This Row],[SKU]:[SKU]],Menu[],MATCH(OrderLines[[#Headers],[UnitCost]],Menu[#Headers],0),FALSE)</f>
        <v>25.8</v>
      </c>
      <c r="F879" t="str" cm="1">
        <f t="array" ref="F879">VLOOKUP(OrderLines[[#This Row],[SKU]:[SKU]],Menu[],MATCH(OrderLines[[#Headers],[Category]],Menu[#Headers],0),FALSE)</f>
        <v>Snack</v>
      </c>
      <c r="G879" t="str" cm="1">
        <f t="array" ref="G879">_xlfn.TEXTJOIN("+",TRUE,_xlfn._xlws.SORT(_xlfn.UNIQUE(_xlfn._xlws.FILTER(OrderLines[Category],OrderLines[OrderID]=OrderLines[[#This Row],[OrderID]]))))</f>
        <v>Beverage+Snack</v>
      </c>
      <c r="H879" s="2" cm="1">
        <f t="array" ref="H879">INT(VLOOKUP(OrderLines[[#This Row],[OrderID]:[OrderID]],Orders[],MATCH(OrderLines[[#Headers],[OrderDateTime]],Orders[#Headers],0),FALSE))</f>
        <v>45872</v>
      </c>
      <c r="I879" t="str" cm="1">
        <f t="array" ref="I879">VLOOKUP(OrderLines[[#This Row],[OrderID]:[OrderID]],Orders[],MATCH(OrderLines[[#Headers],[Branch]],Orders[#Headers],0),FALSE)</f>
        <v>Plant 1 Canteen</v>
      </c>
      <c r="J879" cm="1">
        <f t="array" ref="J879">VLOOKUP(OrderLines[[#This Row],[OrderID]:[OrderID]],Orders[],MATCH(OrderLines[[#Headers],[DiscountPct]],Orders[#Headers],0),FALSE)</f>
        <v>0.04</v>
      </c>
      <c r="K879" t="str" cm="1">
        <f t="array" ref="K879">VLOOKUP(OrderLines[[#This Row],[OrderID]:[OrderID]],Orders[],MATCH(OrderLines[[#Headers],[PaymentType]],Orders[#Headers],0),FALSE)</f>
        <v>UPI</v>
      </c>
      <c r="L879" t="str" cm="1">
        <f t="array" ref="L879">VLOOKUP(OrderLines[[#This Row],[OrderID]:[OrderID]],Orders[],MATCH(OrderLines[[#Headers],[Shift]],Orders[#Headers],0),FALSE)</f>
        <v>Dinner</v>
      </c>
      <c r="M879" s="8">
        <f>(OrderLines[[#This Row],[Qty]]*OrderLines[[#This Row],[UnitPrice]])*(1-OrderLines[[#This Row],[DiscountPct]])</f>
        <v>50.352000000000004</v>
      </c>
      <c r="N879" t="str">
        <f>IF(AND(COUNTIFS(OrderLines[OrderID],OrderLines[[#This Row],[OrderID]],OrderLines[Category],"Hot Meal"),COUNTIFS(OrderLines[OrderID],OrderLines[[#This Row],[OrderID]],OrderLines[Category],"Beverage")),"Combo","Single")</f>
        <v>Single</v>
      </c>
      <c r="O879" s="8" t="str" cm="1">
        <f t="array" ref="O879">IF(SUMPRODUCT(OrderLines[UnitPrice],OrderLines[Qty],OrderLines[DiscountPct],--(OrderLines[OrderID] = OrderLines[[#This Row],[OrderID]]))&gt;40,"High Discount","Ok")</f>
        <v>Ok</v>
      </c>
      <c r="P879">
        <f>OrderLines[[#This Row],[UnitCost]]*OrderLines[[#This Row],[Qty]]</f>
        <v>25.8</v>
      </c>
      <c r="Q879" s="8">
        <f>OrderLines[[#This Row],[LineNetAmount]]-OrderLines[[#This Row],[Food Cost]]</f>
        <v>24.552000000000003</v>
      </c>
    </row>
    <row r="880" spans="1:17" x14ac:dyDescent="0.3">
      <c r="A880" t="s">
        <v>379</v>
      </c>
      <c r="B880" t="s">
        <v>409</v>
      </c>
      <c r="C880">
        <v>2</v>
      </c>
      <c r="D880" cm="1">
        <f t="array" ref="D880">VLOOKUP(OrderLines[[#This Row],[SKU]:[SKU]],Menu[],MATCH(OrderLines[[#Headers],[UnitPrice]],Menu[#Headers],0),FALSE)</f>
        <v>28.43</v>
      </c>
      <c r="E880" cm="1">
        <f t="array" ref="E880">VLOOKUP(OrderLines[[#This Row],[SKU]:[SKU]],Menu[],MATCH(OrderLines[[#Headers],[UnitCost]],Menu[#Headers],0),FALSE)</f>
        <v>13.89</v>
      </c>
      <c r="F880" t="str" cm="1">
        <f t="array" ref="F880">VLOOKUP(OrderLines[[#This Row],[SKU]:[SKU]],Menu[],MATCH(OrderLines[[#Headers],[Category]],Menu[#Headers],0),FALSE)</f>
        <v>Beverage</v>
      </c>
      <c r="G880" t="str" cm="1">
        <f t="array" ref="G880">_xlfn.TEXTJOIN("+",TRUE,_xlfn._xlws.SORT(_xlfn.UNIQUE(_xlfn._xlws.FILTER(OrderLines[Category],OrderLines[OrderID]=OrderLines[[#This Row],[OrderID]]))))</f>
        <v>Beverage+Snack</v>
      </c>
      <c r="H880" s="2" cm="1">
        <f t="array" ref="H880">INT(VLOOKUP(OrderLines[[#This Row],[OrderID]:[OrderID]],Orders[],MATCH(OrderLines[[#Headers],[OrderDateTime]],Orders[#Headers],0),FALSE))</f>
        <v>45872</v>
      </c>
      <c r="I880" t="str" cm="1">
        <f t="array" ref="I880">VLOOKUP(OrderLines[[#This Row],[OrderID]:[OrderID]],Orders[],MATCH(OrderLines[[#Headers],[Branch]],Orders[#Headers],0),FALSE)</f>
        <v>Plant 1 Canteen</v>
      </c>
      <c r="J880" cm="1">
        <f t="array" ref="J880">VLOOKUP(OrderLines[[#This Row],[OrderID]:[OrderID]],Orders[],MATCH(OrderLines[[#Headers],[DiscountPct]],Orders[#Headers],0),FALSE)</f>
        <v>0.04</v>
      </c>
      <c r="K880" t="str" cm="1">
        <f t="array" ref="K880">VLOOKUP(OrderLines[[#This Row],[OrderID]:[OrderID]],Orders[],MATCH(OrderLines[[#Headers],[PaymentType]],Orders[#Headers],0),FALSE)</f>
        <v>UPI</v>
      </c>
      <c r="L880" t="str" cm="1">
        <f t="array" ref="L880">VLOOKUP(OrderLines[[#This Row],[OrderID]:[OrderID]],Orders[],MATCH(OrderLines[[#Headers],[Shift]],Orders[#Headers],0),FALSE)</f>
        <v>Dinner</v>
      </c>
      <c r="M880" s="8">
        <f>(OrderLines[[#This Row],[Qty]]*OrderLines[[#This Row],[UnitPrice]])*(1-OrderLines[[#This Row],[DiscountPct]])</f>
        <v>54.585599999999999</v>
      </c>
      <c r="N880" t="str">
        <f>IF(AND(COUNTIFS(OrderLines[OrderID],OrderLines[[#This Row],[OrderID]],OrderLines[Category],"Hot Meal"),COUNTIFS(OrderLines[OrderID],OrderLines[[#This Row],[OrderID]],OrderLines[Category],"Beverage")),"Combo","Single")</f>
        <v>Single</v>
      </c>
      <c r="O880" s="8" t="str" cm="1">
        <f t="array" ref="O880">IF(SUMPRODUCT(OrderLines[UnitPrice],OrderLines[Qty],OrderLines[DiscountPct],--(OrderLines[OrderID] = OrderLines[[#This Row],[OrderID]]))&gt;40,"High Discount","Ok")</f>
        <v>Ok</v>
      </c>
      <c r="P880">
        <f>OrderLines[[#This Row],[UnitCost]]*OrderLines[[#This Row],[Qty]]</f>
        <v>27.78</v>
      </c>
      <c r="Q880" s="8">
        <f>OrderLines[[#This Row],[LineNetAmount]]-OrderLines[[#This Row],[Food Cost]]</f>
        <v>26.805599999999998</v>
      </c>
    </row>
    <row r="881" spans="1:17" x14ac:dyDescent="0.3">
      <c r="A881" t="s">
        <v>380</v>
      </c>
      <c r="B881" t="s">
        <v>413</v>
      </c>
      <c r="C881">
        <v>2</v>
      </c>
      <c r="D881" cm="1">
        <f t="array" ref="D881">VLOOKUP(OrderLines[[#This Row],[SKU]:[SKU]],Menu[],MATCH(OrderLines[[#Headers],[UnitPrice]],Menu[#Headers],0),FALSE)</f>
        <v>54.2</v>
      </c>
      <c r="E881" cm="1">
        <f t="array" ref="E881">VLOOKUP(OrderLines[[#This Row],[SKU]:[SKU]],Menu[],MATCH(OrderLines[[#Headers],[UnitCost]],Menu[#Headers],0),FALSE)</f>
        <v>21.95</v>
      </c>
      <c r="F881" t="str" cm="1">
        <f t="array" ref="F881">VLOOKUP(OrderLines[[#This Row],[SKU]:[SKU]],Menu[],MATCH(OrderLines[[#Headers],[Category]],Menu[#Headers],0),FALSE)</f>
        <v>Dessert</v>
      </c>
      <c r="G881" t="str" cm="1">
        <f t="array" ref="G881">_xlfn.TEXTJOIN("+",TRUE,_xlfn._xlws.SORT(_xlfn.UNIQUE(_xlfn._xlws.FILTER(OrderLines[Category],OrderLines[OrderID]=OrderLines[[#This Row],[OrderID]]))))</f>
        <v>Dessert</v>
      </c>
      <c r="H881" s="2" cm="1">
        <f t="array" ref="H881">INT(VLOOKUP(OrderLines[[#This Row],[OrderID]:[OrderID]],Orders[],MATCH(OrderLines[[#Headers],[OrderDateTime]],Orders[#Headers],0),FALSE))</f>
        <v>45895</v>
      </c>
      <c r="I881" t="str" cm="1">
        <f t="array" ref="I881">VLOOKUP(OrderLines[[#This Row],[OrderID]:[OrderID]],Orders[],MATCH(OrderLines[[#Headers],[Branch]],Orders[#Headers],0),FALSE)</f>
        <v>Head Office Café</v>
      </c>
      <c r="J881" cm="1">
        <f t="array" ref="J881">VLOOKUP(OrderLines[[#This Row],[OrderID]:[OrderID]],Orders[],MATCH(OrderLines[[#Headers],[DiscountPct]],Orders[#Headers],0),FALSE)</f>
        <v>0.03</v>
      </c>
      <c r="K881" t="str" cm="1">
        <f t="array" ref="K881">VLOOKUP(OrderLines[[#This Row],[OrderID]:[OrderID]],Orders[],MATCH(OrderLines[[#Headers],[PaymentType]],Orders[#Headers],0),FALSE)</f>
        <v>Cash</v>
      </c>
      <c r="L881" t="str" cm="1">
        <f t="array" ref="L881">VLOOKUP(OrderLines[[#This Row],[OrderID]:[OrderID]],Orders[],MATCH(OrderLines[[#Headers],[Shift]],Orders[#Headers],0),FALSE)</f>
        <v>Dinner</v>
      </c>
      <c r="M881" s="8">
        <f>(OrderLines[[#This Row],[Qty]]*OrderLines[[#This Row],[UnitPrice]])*(1-OrderLines[[#This Row],[DiscountPct]])</f>
        <v>105.148</v>
      </c>
      <c r="N881" t="str">
        <f>IF(AND(COUNTIFS(OrderLines[OrderID],OrderLines[[#This Row],[OrderID]],OrderLines[Category],"Hot Meal"),COUNTIFS(OrderLines[OrderID],OrderLines[[#This Row],[OrderID]],OrderLines[Category],"Beverage")),"Combo","Single")</f>
        <v>Single</v>
      </c>
      <c r="O881" s="8" t="str" cm="1">
        <f t="array" ref="O881">IF(SUMPRODUCT(OrderLines[UnitPrice],OrderLines[Qty],OrderLines[DiscountPct],--(OrderLines[OrderID] = OrderLines[[#This Row],[OrderID]]))&gt;40,"High Discount","Ok")</f>
        <v>Ok</v>
      </c>
      <c r="P881">
        <f>OrderLines[[#This Row],[UnitCost]]*OrderLines[[#This Row],[Qty]]</f>
        <v>43.9</v>
      </c>
      <c r="Q881" s="8">
        <f>OrderLines[[#This Row],[LineNetAmount]]-OrderLines[[#This Row],[Food Cost]]</f>
        <v>61.247999999999998</v>
      </c>
    </row>
    <row r="882" spans="1:17" x14ac:dyDescent="0.3">
      <c r="A882" t="s">
        <v>381</v>
      </c>
      <c r="B882" t="s">
        <v>406</v>
      </c>
      <c r="C882">
        <v>2</v>
      </c>
      <c r="D882" cm="1">
        <f t="array" ref="D882">VLOOKUP(OrderLines[[#This Row],[SKU]:[SKU]],Menu[],MATCH(OrderLines[[#Headers],[UnitPrice]],Menu[#Headers],0),FALSE)</f>
        <v>38.06</v>
      </c>
      <c r="E882" cm="1">
        <f t="array" ref="E882">VLOOKUP(OrderLines[[#This Row],[SKU]:[SKU]],Menu[],MATCH(OrderLines[[#Headers],[UnitCost]],Menu[#Headers],0),FALSE)</f>
        <v>19.55</v>
      </c>
      <c r="F882" t="str" cm="1">
        <f t="array" ref="F882">VLOOKUP(OrderLines[[#This Row],[SKU]:[SKU]],Menu[],MATCH(OrderLines[[#Headers],[Category]],Menu[#Headers],0),FALSE)</f>
        <v>Snack</v>
      </c>
      <c r="G882" t="str" cm="1">
        <f t="array" ref="G882">_xlfn.TEXTJOIN("+",TRUE,_xlfn._xlws.SORT(_xlfn.UNIQUE(_xlfn._xlws.FILTER(OrderLines[Category],OrderLines[OrderID]=OrderLines[[#This Row],[OrderID]]))))</f>
        <v>Dessert+Snack</v>
      </c>
      <c r="H882" s="2" cm="1">
        <f t="array" ref="H882">INT(VLOOKUP(OrderLines[[#This Row],[OrderID]:[OrderID]],Orders[],MATCH(OrderLines[[#Headers],[OrderDateTime]],Orders[#Headers],0),FALSE))</f>
        <v>45873</v>
      </c>
      <c r="I882" t="str" cm="1">
        <f t="array" ref="I882">VLOOKUP(OrderLines[[#This Row],[OrderID]:[OrderID]],Orders[],MATCH(OrderLines[[#Headers],[Branch]],Orders[#Headers],0),FALSE)</f>
        <v>Head Office Café</v>
      </c>
      <c r="J882" cm="1">
        <f t="array" ref="J882">VLOOKUP(OrderLines[[#This Row],[OrderID]:[OrderID]],Orders[],MATCH(OrderLines[[#Headers],[DiscountPct]],Orders[#Headers],0),FALSE)</f>
        <v>7.0000000000000007E-2</v>
      </c>
      <c r="K882" t="str" cm="1">
        <f t="array" ref="K882">VLOOKUP(OrderLines[[#This Row],[OrderID]:[OrderID]],Orders[],MATCH(OrderLines[[#Headers],[PaymentType]],Orders[#Headers],0),FALSE)</f>
        <v>UPI</v>
      </c>
      <c r="L882" t="str" cm="1">
        <f t="array" ref="L882">VLOOKUP(OrderLines[[#This Row],[OrderID]:[OrderID]],Orders[],MATCH(OrderLines[[#Headers],[Shift]],Orders[#Headers],0),FALSE)</f>
        <v>Breakfast</v>
      </c>
      <c r="M882" s="8">
        <f>(OrderLines[[#This Row],[Qty]]*OrderLines[[#This Row],[UnitPrice]])*(1-OrderLines[[#This Row],[DiscountPct]])</f>
        <v>70.791600000000003</v>
      </c>
      <c r="N882" t="str">
        <f>IF(AND(COUNTIFS(OrderLines[OrderID],OrderLines[[#This Row],[OrderID]],OrderLines[Category],"Hot Meal"),COUNTIFS(OrderLines[OrderID],OrderLines[[#This Row],[OrderID]],OrderLines[Category],"Beverage")),"Combo","Single")</f>
        <v>Single</v>
      </c>
      <c r="O882" s="8" t="str" cm="1">
        <f t="array" ref="O882">IF(SUMPRODUCT(OrderLines[UnitPrice],OrderLines[Qty],OrderLines[DiscountPct],--(OrderLines[OrderID] = OrderLines[[#This Row],[OrderID]]))&gt;40,"High Discount","Ok")</f>
        <v>Ok</v>
      </c>
      <c r="P882">
        <f>OrderLines[[#This Row],[UnitCost]]*OrderLines[[#This Row],[Qty]]</f>
        <v>39.1</v>
      </c>
      <c r="Q882" s="8">
        <f>OrderLines[[#This Row],[LineNetAmount]]-OrderLines[[#This Row],[Food Cost]]</f>
        <v>31.691600000000001</v>
      </c>
    </row>
    <row r="883" spans="1:17" x14ac:dyDescent="0.3">
      <c r="A883" t="s">
        <v>381</v>
      </c>
      <c r="B883" t="s">
        <v>413</v>
      </c>
      <c r="C883">
        <v>1</v>
      </c>
      <c r="D883" cm="1">
        <f t="array" ref="D883">VLOOKUP(OrderLines[[#This Row],[SKU]:[SKU]],Menu[],MATCH(OrderLines[[#Headers],[UnitPrice]],Menu[#Headers],0),FALSE)</f>
        <v>54.2</v>
      </c>
      <c r="E883" cm="1">
        <f t="array" ref="E883">VLOOKUP(OrderLines[[#This Row],[SKU]:[SKU]],Menu[],MATCH(OrderLines[[#Headers],[UnitCost]],Menu[#Headers],0),FALSE)</f>
        <v>21.95</v>
      </c>
      <c r="F883" t="str" cm="1">
        <f t="array" ref="F883">VLOOKUP(OrderLines[[#This Row],[SKU]:[SKU]],Menu[],MATCH(OrderLines[[#Headers],[Category]],Menu[#Headers],0),FALSE)</f>
        <v>Dessert</v>
      </c>
      <c r="G883" t="str" cm="1">
        <f t="array" ref="G883">_xlfn.TEXTJOIN("+",TRUE,_xlfn._xlws.SORT(_xlfn.UNIQUE(_xlfn._xlws.FILTER(OrderLines[Category],OrderLines[OrderID]=OrderLines[[#This Row],[OrderID]]))))</f>
        <v>Dessert+Snack</v>
      </c>
      <c r="H883" s="2" cm="1">
        <f t="array" ref="H883">INT(VLOOKUP(OrderLines[[#This Row],[OrderID]:[OrderID]],Orders[],MATCH(OrderLines[[#Headers],[OrderDateTime]],Orders[#Headers],0),FALSE))</f>
        <v>45873</v>
      </c>
      <c r="I883" t="str" cm="1">
        <f t="array" ref="I883">VLOOKUP(OrderLines[[#This Row],[OrderID]:[OrderID]],Orders[],MATCH(OrderLines[[#Headers],[Branch]],Orders[#Headers],0),FALSE)</f>
        <v>Head Office Café</v>
      </c>
      <c r="J883" cm="1">
        <f t="array" ref="J883">VLOOKUP(OrderLines[[#This Row],[OrderID]:[OrderID]],Orders[],MATCH(OrderLines[[#Headers],[DiscountPct]],Orders[#Headers],0),FALSE)</f>
        <v>7.0000000000000007E-2</v>
      </c>
      <c r="K883" t="str" cm="1">
        <f t="array" ref="K883">VLOOKUP(OrderLines[[#This Row],[OrderID]:[OrderID]],Orders[],MATCH(OrderLines[[#Headers],[PaymentType]],Orders[#Headers],0),FALSE)</f>
        <v>UPI</v>
      </c>
      <c r="L883" t="str" cm="1">
        <f t="array" ref="L883">VLOOKUP(OrderLines[[#This Row],[OrderID]:[OrderID]],Orders[],MATCH(OrderLines[[#Headers],[Shift]],Orders[#Headers],0),FALSE)</f>
        <v>Breakfast</v>
      </c>
      <c r="M883" s="8">
        <f>(OrderLines[[#This Row],[Qty]]*OrderLines[[#This Row],[UnitPrice]])*(1-OrderLines[[#This Row],[DiscountPct]])</f>
        <v>50.405999999999999</v>
      </c>
      <c r="N883" t="str">
        <f>IF(AND(COUNTIFS(OrderLines[OrderID],OrderLines[[#This Row],[OrderID]],OrderLines[Category],"Hot Meal"),COUNTIFS(OrderLines[OrderID],OrderLines[[#This Row],[OrderID]],OrderLines[Category],"Beverage")),"Combo","Single")</f>
        <v>Single</v>
      </c>
      <c r="O883" s="8" t="str" cm="1">
        <f t="array" ref="O883">IF(SUMPRODUCT(OrderLines[UnitPrice],OrderLines[Qty],OrderLines[DiscountPct],--(OrderLines[OrderID] = OrderLines[[#This Row],[OrderID]]))&gt;40,"High Discount","Ok")</f>
        <v>Ok</v>
      </c>
      <c r="P883">
        <f>OrderLines[[#This Row],[UnitCost]]*OrderLines[[#This Row],[Qty]]</f>
        <v>21.95</v>
      </c>
      <c r="Q883" s="8">
        <f>OrderLines[[#This Row],[LineNetAmount]]-OrderLines[[#This Row],[Food Cost]]</f>
        <v>28.456</v>
      </c>
    </row>
    <row r="884" spans="1:17" x14ac:dyDescent="0.3">
      <c r="A884" t="s">
        <v>381</v>
      </c>
      <c r="B884" t="s">
        <v>419</v>
      </c>
      <c r="C884">
        <v>2</v>
      </c>
      <c r="D884" cm="1">
        <f t="array" ref="D884">VLOOKUP(OrderLines[[#This Row],[SKU]:[SKU]],Menu[],MATCH(OrderLines[[#Headers],[UnitPrice]],Menu[#Headers],0),FALSE)</f>
        <v>50.19</v>
      </c>
      <c r="E884" cm="1">
        <f t="array" ref="E884">VLOOKUP(OrderLines[[#This Row],[SKU]:[SKU]],Menu[],MATCH(OrderLines[[#Headers],[UnitCost]],Menu[#Headers],0),FALSE)</f>
        <v>22.61</v>
      </c>
      <c r="F884" t="str" cm="1">
        <f t="array" ref="F884">VLOOKUP(OrderLines[[#This Row],[SKU]:[SKU]],Menu[],MATCH(OrderLines[[#Headers],[Category]],Menu[#Headers],0),FALSE)</f>
        <v>Snack</v>
      </c>
      <c r="G884" t="str" cm="1">
        <f t="array" ref="G884">_xlfn.TEXTJOIN("+",TRUE,_xlfn._xlws.SORT(_xlfn.UNIQUE(_xlfn._xlws.FILTER(OrderLines[Category],OrderLines[OrderID]=OrderLines[[#This Row],[OrderID]]))))</f>
        <v>Dessert+Snack</v>
      </c>
      <c r="H884" s="2" cm="1">
        <f t="array" ref="H884">INT(VLOOKUP(OrderLines[[#This Row],[OrderID]:[OrderID]],Orders[],MATCH(OrderLines[[#Headers],[OrderDateTime]],Orders[#Headers],0),FALSE))</f>
        <v>45873</v>
      </c>
      <c r="I884" t="str" cm="1">
        <f t="array" ref="I884">VLOOKUP(OrderLines[[#This Row],[OrderID]:[OrderID]],Orders[],MATCH(OrderLines[[#Headers],[Branch]],Orders[#Headers],0),FALSE)</f>
        <v>Head Office Café</v>
      </c>
      <c r="J884" cm="1">
        <f t="array" ref="J884">VLOOKUP(OrderLines[[#This Row],[OrderID]:[OrderID]],Orders[],MATCH(OrderLines[[#Headers],[DiscountPct]],Orders[#Headers],0),FALSE)</f>
        <v>7.0000000000000007E-2</v>
      </c>
      <c r="K884" t="str" cm="1">
        <f t="array" ref="K884">VLOOKUP(OrderLines[[#This Row],[OrderID]:[OrderID]],Orders[],MATCH(OrderLines[[#Headers],[PaymentType]],Orders[#Headers],0),FALSE)</f>
        <v>UPI</v>
      </c>
      <c r="L884" t="str" cm="1">
        <f t="array" ref="L884">VLOOKUP(OrderLines[[#This Row],[OrderID]:[OrderID]],Orders[],MATCH(OrderLines[[#Headers],[Shift]],Orders[#Headers],0),FALSE)</f>
        <v>Breakfast</v>
      </c>
      <c r="M884" s="8">
        <f>(OrderLines[[#This Row],[Qty]]*OrderLines[[#This Row],[UnitPrice]])*(1-OrderLines[[#This Row],[DiscountPct]])</f>
        <v>93.353399999999993</v>
      </c>
      <c r="N884" t="str">
        <f>IF(AND(COUNTIFS(OrderLines[OrderID],OrderLines[[#This Row],[OrderID]],OrderLines[Category],"Hot Meal"),COUNTIFS(OrderLines[OrderID],OrderLines[[#This Row],[OrderID]],OrderLines[Category],"Beverage")),"Combo","Single")</f>
        <v>Single</v>
      </c>
      <c r="O884" s="8" t="str" cm="1">
        <f t="array" ref="O884">IF(SUMPRODUCT(OrderLines[UnitPrice],OrderLines[Qty],OrderLines[DiscountPct],--(OrderLines[OrderID] = OrderLines[[#This Row],[OrderID]]))&gt;40,"High Discount","Ok")</f>
        <v>Ok</v>
      </c>
      <c r="P884">
        <f>OrderLines[[#This Row],[UnitCost]]*OrderLines[[#This Row],[Qty]]</f>
        <v>45.22</v>
      </c>
      <c r="Q884" s="8">
        <f>OrderLines[[#This Row],[LineNetAmount]]-OrderLines[[#This Row],[Food Cost]]</f>
        <v>48.133399999999995</v>
      </c>
    </row>
    <row r="885" spans="1:17" x14ac:dyDescent="0.3">
      <c r="A885" t="s">
        <v>382</v>
      </c>
      <c r="B885" t="s">
        <v>411</v>
      </c>
      <c r="C885">
        <v>1</v>
      </c>
      <c r="D885" cm="1">
        <f t="array" ref="D885">VLOOKUP(OrderLines[[#This Row],[SKU]:[SKU]],Menu[],MATCH(OrderLines[[#Headers],[UnitPrice]],Menu[#Headers],0),FALSE)</f>
        <v>22.2</v>
      </c>
      <c r="E885" cm="1">
        <f t="array" ref="E885">VLOOKUP(OrderLines[[#This Row],[SKU]:[SKU]],Menu[],MATCH(OrderLines[[#Headers],[UnitCost]],Menu[#Headers],0),FALSE)</f>
        <v>9.3800000000000008</v>
      </c>
      <c r="F885" t="str" cm="1">
        <f t="array" ref="F885">VLOOKUP(OrderLines[[#This Row],[SKU]:[SKU]],Menu[],MATCH(OrderLines[[#Headers],[Category]],Menu[#Headers],0),FALSE)</f>
        <v>Beverage</v>
      </c>
      <c r="G885" t="str" cm="1">
        <f t="array" ref="G885">_xlfn.TEXTJOIN("+",TRUE,_xlfn._xlws.SORT(_xlfn.UNIQUE(_xlfn._xlws.FILTER(OrderLines[Category],OrderLines[OrderID]=OrderLines[[#This Row],[OrderID]]))))</f>
        <v>Beverage+Dessert+Hot Meal</v>
      </c>
      <c r="H885" s="2" cm="1">
        <f t="array" ref="H885">INT(VLOOKUP(OrderLines[[#This Row],[OrderID]:[OrderID]],Orders[],MATCH(OrderLines[[#Headers],[OrderDateTime]],Orders[#Headers],0),FALSE))</f>
        <v>45884</v>
      </c>
      <c r="I885" t="str" cm="1">
        <f t="array" ref="I885">VLOOKUP(OrderLines[[#This Row],[OrderID]:[OrderID]],Orders[],MATCH(OrderLines[[#Headers],[Branch]],Orders[#Headers],0),FALSE)</f>
        <v>Head Office Café</v>
      </c>
      <c r="J885" cm="1">
        <f t="array" ref="J885">VLOOKUP(OrderLines[[#This Row],[OrderID]:[OrderID]],Orders[],MATCH(OrderLines[[#Headers],[DiscountPct]],Orders[#Headers],0),FALSE)</f>
        <v>7.0000000000000007E-2</v>
      </c>
      <c r="K885" t="str" cm="1">
        <f t="array" ref="K885">VLOOKUP(OrderLines[[#This Row],[OrderID]:[OrderID]],Orders[],MATCH(OrderLines[[#Headers],[PaymentType]],Orders[#Headers],0),FALSE)</f>
        <v>UPI</v>
      </c>
      <c r="L885" t="str" cm="1">
        <f t="array" ref="L885">VLOOKUP(OrderLines[[#This Row],[OrderID]:[OrderID]],Orders[],MATCH(OrderLines[[#Headers],[Shift]],Orders[#Headers],0),FALSE)</f>
        <v>Breakfast</v>
      </c>
      <c r="M885" s="8">
        <f>(OrderLines[[#This Row],[Qty]]*OrderLines[[#This Row],[UnitPrice]])*(1-OrderLines[[#This Row],[DiscountPct]])</f>
        <v>20.645999999999997</v>
      </c>
      <c r="N885" t="str">
        <f>IF(AND(COUNTIFS(OrderLines[OrderID],OrderLines[[#This Row],[OrderID]],OrderLines[Category],"Hot Meal"),COUNTIFS(OrderLines[OrderID],OrderLines[[#This Row],[OrderID]],OrderLines[Category],"Beverage")),"Combo","Single")</f>
        <v>Combo</v>
      </c>
      <c r="O885" s="8" t="str" cm="1">
        <f t="array" ref="O885">IF(SUMPRODUCT(OrderLines[UnitPrice],OrderLines[Qty],OrderLines[DiscountPct],--(OrderLines[OrderID] = OrderLines[[#This Row],[OrderID]]))&gt;40,"High Discount","Ok")</f>
        <v>High Discount</v>
      </c>
      <c r="P885">
        <f>OrderLines[[#This Row],[UnitCost]]*OrderLines[[#This Row],[Qty]]</f>
        <v>9.3800000000000008</v>
      </c>
      <c r="Q885" s="8">
        <f>OrderLines[[#This Row],[LineNetAmount]]-OrderLines[[#This Row],[Food Cost]]</f>
        <v>11.265999999999996</v>
      </c>
    </row>
    <row r="886" spans="1:17" x14ac:dyDescent="0.3">
      <c r="A886" t="s">
        <v>382</v>
      </c>
      <c r="B886" t="s">
        <v>413</v>
      </c>
      <c r="C886">
        <v>3</v>
      </c>
      <c r="D886" cm="1">
        <f t="array" ref="D886">VLOOKUP(OrderLines[[#This Row],[SKU]:[SKU]],Menu[],MATCH(OrderLines[[#Headers],[UnitPrice]],Menu[#Headers],0),FALSE)</f>
        <v>54.2</v>
      </c>
      <c r="E886" cm="1">
        <f t="array" ref="E886">VLOOKUP(OrderLines[[#This Row],[SKU]:[SKU]],Menu[],MATCH(OrderLines[[#Headers],[UnitCost]],Menu[#Headers],0),FALSE)</f>
        <v>21.95</v>
      </c>
      <c r="F886" t="str" cm="1">
        <f t="array" ref="F886">VLOOKUP(OrderLines[[#This Row],[SKU]:[SKU]],Menu[],MATCH(OrderLines[[#Headers],[Category]],Menu[#Headers],0),FALSE)</f>
        <v>Dessert</v>
      </c>
      <c r="G886" t="str" cm="1">
        <f t="array" ref="G886">_xlfn.TEXTJOIN("+",TRUE,_xlfn._xlws.SORT(_xlfn.UNIQUE(_xlfn._xlws.FILTER(OrderLines[Category],OrderLines[OrderID]=OrderLines[[#This Row],[OrderID]]))))</f>
        <v>Beverage+Dessert+Hot Meal</v>
      </c>
      <c r="H886" s="2" cm="1">
        <f t="array" ref="H886">INT(VLOOKUP(OrderLines[[#This Row],[OrderID]:[OrderID]],Orders[],MATCH(OrderLines[[#Headers],[OrderDateTime]],Orders[#Headers],0),FALSE))</f>
        <v>45884</v>
      </c>
      <c r="I886" t="str" cm="1">
        <f t="array" ref="I886">VLOOKUP(OrderLines[[#This Row],[OrderID]:[OrderID]],Orders[],MATCH(OrderLines[[#Headers],[Branch]],Orders[#Headers],0),FALSE)</f>
        <v>Head Office Café</v>
      </c>
      <c r="J886" cm="1">
        <f t="array" ref="J886">VLOOKUP(OrderLines[[#This Row],[OrderID]:[OrderID]],Orders[],MATCH(OrderLines[[#Headers],[DiscountPct]],Orders[#Headers],0),FALSE)</f>
        <v>7.0000000000000007E-2</v>
      </c>
      <c r="K886" t="str" cm="1">
        <f t="array" ref="K886">VLOOKUP(OrderLines[[#This Row],[OrderID]:[OrderID]],Orders[],MATCH(OrderLines[[#Headers],[PaymentType]],Orders[#Headers],0),FALSE)</f>
        <v>UPI</v>
      </c>
      <c r="L886" t="str" cm="1">
        <f t="array" ref="L886">VLOOKUP(OrderLines[[#This Row],[OrderID]:[OrderID]],Orders[],MATCH(OrderLines[[#Headers],[Shift]],Orders[#Headers],0),FALSE)</f>
        <v>Breakfast</v>
      </c>
      <c r="M886" s="8">
        <f>(OrderLines[[#This Row],[Qty]]*OrderLines[[#This Row],[UnitPrice]])*(1-OrderLines[[#This Row],[DiscountPct]])</f>
        <v>151.21800000000002</v>
      </c>
      <c r="N886" t="str">
        <f>IF(AND(COUNTIFS(OrderLines[OrderID],OrderLines[[#This Row],[OrderID]],OrderLines[Category],"Hot Meal"),COUNTIFS(OrderLines[OrderID],OrderLines[[#This Row],[OrderID]],OrderLines[Category],"Beverage")),"Combo","Single")</f>
        <v>Combo</v>
      </c>
      <c r="O886" s="8" t="str" cm="1">
        <f t="array" ref="O886">IF(SUMPRODUCT(OrderLines[UnitPrice],OrderLines[Qty],OrderLines[DiscountPct],--(OrderLines[OrderID] = OrderLines[[#This Row],[OrderID]]))&gt;40,"High Discount","Ok")</f>
        <v>High Discount</v>
      </c>
      <c r="P886">
        <f>OrderLines[[#This Row],[UnitCost]]*OrderLines[[#This Row],[Qty]]</f>
        <v>65.849999999999994</v>
      </c>
      <c r="Q886" s="8">
        <f>OrderLines[[#This Row],[LineNetAmount]]-OrderLines[[#This Row],[Food Cost]]</f>
        <v>85.368000000000023</v>
      </c>
    </row>
    <row r="887" spans="1:17" x14ac:dyDescent="0.3">
      <c r="A887" t="s">
        <v>382</v>
      </c>
      <c r="B887" t="s">
        <v>416</v>
      </c>
      <c r="C887">
        <v>2</v>
      </c>
      <c r="D887" cm="1">
        <f t="array" ref="D887">VLOOKUP(OrderLines[[#This Row],[SKU]:[SKU]],Menu[],MATCH(OrderLines[[#Headers],[UnitPrice]],Menu[#Headers],0),FALSE)</f>
        <v>227.61</v>
      </c>
      <c r="E887" cm="1">
        <f t="array" ref="E887">VLOOKUP(OrderLines[[#This Row],[SKU]:[SKU]],Menu[],MATCH(OrderLines[[#Headers],[UnitCost]],Menu[#Headers],0),FALSE)</f>
        <v>96.22</v>
      </c>
      <c r="F887" t="str" cm="1">
        <f t="array" ref="F887">VLOOKUP(OrderLines[[#This Row],[SKU]:[SKU]],Menu[],MATCH(OrderLines[[#Headers],[Category]],Menu[#Headers],0),FALSE)</f>
        <v>Hot Meal</v>
      </c>
      <c r="G887" t="str" cm="1">
        <f t="array" ref="G887">_xlfn.TEXTJOIN("+",TRUE,_xlfn._xlws.SORT(_xlfn.UNIQUE(_xlfn._xlws.FILTER(OrderLines[Category],OrderLines[OrderID]=OrderLines[[#This Row],[OrderID]]))))</f>
        <v>Beverage+Dessert+Hot Meal</v>
      </c>
      <c r="H887" s="2" cm="1">
        <f t="array" ref="H887">INT(VLOOKUP(OrderLines[[#This Row],[OrderID]:[OrderID]],Orders[],MATCH(OrderLines[[#Headers],[OrderDateTime]],Orders[#Headers],0),FALSE))</f>
        <v>45884</v>
      </c>
      <c r="I887" t="str" cm="1">
        <f t="array" ref="I887">VLOOKUP(OrderLines[[#This Row],[OrderID]:[OrderID]],Orders[],MATCH(OrderLines[[#Headers],[Branch]],Orders[#Headers],0),FALSE)</f>
        <v>Head Office Café</v>
      </c>
      <c r="J887" cm="1">
        <f t="array" ref="J887">VLOOKUP(OrderLines[[#This Row],[OrderID]:[OrderID]],Orders[],MATCH(OrderLines[[#Headers],[DiscountPct]],Orders[#Headers],0),FALSE)</f>
        <v>7.0000000000000007E-2</v>
      </c>
      <c r="K887" t="str" cm="1">
        <f t="array" ref="K887">VLOOKUP(OrderLines[[#This Row],[OrderID]:[OrderID]],Orders[],MATCH(OrderLines[[#Headers],[PaymentType]],Orders[#Headers],0),FALSE)</f>
        <v>UPI</v>
      </c>
      <c r="L887" t="str" cm="1">
        <f t="array" ref="L887">VLOOKUP(OrderLines[[#This Row],[OrderID]:[OrderID]],Orders[],MATCH(OrderLines[[#Headers],[Shift]],Orders[#Headers],0),FALSE)</f>
        <v>Breakfast</v>
      </c>
      <c r="M887" s="8">
        <f>(OrderLines[[#This Row],[Qty]]*OrderLines[[#This Row],[UnitPrice]])*(1-OrderLines[[#This Row],[DiscountPct]])</f>
        <v>423.3546</v>
      </c>
      <c r="N887" t="str">
        <f>IF(AND(COUNTIFS(OrderLines[OrderID],OrderLines[[#This Row],[OrderID]],OrderLines[Category],"Hot Meal"),COUNTIFS(OrderLines[OrderID],OrderLines[[#This Row],[OrderID]],OrderLines[Category],"Beverage")),"Combo","Single")</f>
        <v>Combo</v>
      </c>
      <c r="O887" s="8" t="str" cm="1">
        <f t="array" ref="O887">IF(SUMPRODUCT(OrderLines[UnitPrice],OrderLines[Qty],OrderLines[DiscountPct],--(OrderLines[OrderID] = OrderLines[[#This Row],[OrderID]]))&gt;40,"High Discount","Ok")</f>
        <v>High Discount</v>
      </c>
      <c r="P887">
        <f>OrderLines[[#This Row],[UnitCost]]*OrderLines[[#This Row],[Qty]]</f>
        <v>192.44</v>
      </c>
      <c r="Q887" s="8">
        <f>OrderLines[[#This Row],[LineNetAmount]]-OrderLines[[#This Row],[Food Cost]]</f>
        <v>230.91460000000001</v>
      </c>
    </row>
    <row r="888" spans="1:17" x14ac:dyDescent="0.3">
      <c r="A888" t="s">
        <v>383</v>
      </c>
      <c r="B888" t="s">
        <v>410</v>
      </c>
      <c r="C888">
        <v>1</v>
      </c>
      <c r="D888" cm="1">
        <f t="array" ref="D888">VLOOKUP(OrderLines[[#This Row],[SKU]:[SKU]],Menu[],MATCH(OrderLines[[#Headers],[UnitPrice]],Menu[#Headers],0),FALSE)</f>
        <v>20.11</v>
      </c>
      <c r="E888" cm="1">
        <f t="array" ref="E888">VLOOKUP(OrderLines[[#This Row],[SKU]:[SKU]],Menu[],MATCH(OrderLines[[#Headers],[UnitCost]],Menu[#Headers],0),FALSE)</f>
        <v>8</v>
      </c>
      <c r="F888" t="str" cm="1">
        <f t="array" ref="F888">VLOOKUP(OrderLines[[#This Row],[SKU]:[SKU]],Menu[],MATCH(OrderLines[[#Headers],[Category]],Menu[#Headers],0),FALSE)</f>
        <v>Beverage</v>
      </c>
      <c r="G888" t="str" cm="1">
        <f t="array" ref="G888">_xlfn.TEXTJOIN("+",TRUE,_xlfn._xlws.SORT(_xlfn.UNIQUE(_xlfn._xlws.FILTER(OrderLines[Category],OrderLines[OrderID]=OrderLines[[#This Row],[OrderID]]))))</f>
        <v>Beverage</v>
      </c>
      <c r="H888" s="2" cm="1">
        <f t="array" ref="H888">INT(VLOOKUP(OrderLines[[#This Row],[OrderID]:[OrderID]],Orders[],MATCH(OrderLines[[#Headers],[OrderDateTime]],Orders[#Headers],0),FALSE))</f>
        <v>45852</v>
      </c>
      <c r="I888" t="str" cm="1">
        <f t="array" ref="I888">VLOOKUP(OrderLines[[#This Row],[OrderID]:[OrderID]],Orders[],MATCH(OrderLines[[#Headers],[Branch]],Orders[#Headers],0),FALSE)</f>
        <v>Plant 1 Canteen</v>
      </c>
      <c r="J888" cm="1">
        <f t="array" ref="J888">VLOOKUP(OrderLines[[#This Row],[OrderID]:[OrderID]],Orders[],MATCH(OrderLines[[#Headers],[DiscountPct]],Orders[#Headers],0),FALSE)</f>
        <v>0.14000000000000001</v>
      </c>
      <c r="K888" t="str" cm="1">
        <f t="array" ref="K888">VLOOKUP(OrderLines[[#This Row],[OrderID]:[OrderID]],Orders[],MATCH(OrderLines[[#Headers],[PaymentType]],Orders[#Headers],0),FALSE)</f>
        <v>Card</v>
      </c>
      <c r="L888" t="str" cm="1">
        <f t="array" ref="L888">VLOOKUP(OrderLines[[#This Row],[OrderID]:[OrderID]],Orders[],MATCH(OrderLines[[#Headers],[Shift]],Orders[#Headers],0),FALSE)</f>
        <v>Breakfast</v>
      </c>
      <c r="M888" s="8">
        <f>(OrderLines[[#This Row],[Qty]]*OrderLines[[#This Row],[UnitPrice]])*(1-OrderLines[[#This Row],[DiscountPct]])</f>
        <v>17.294599999999999</v>
      </c>
      <c r="N888" t="str">
        <f>IF(AND(COUNTIFS(OrderLines[OrderID],OrderLines[[#This Row],[OrderID]],OrderLines[Category],"Hot Meal"),COUNTIFS(OrderLines[OrderID],OrderLines[[#This Row],[OrderID]],OrderLines[Category],"Beverage")),"Combo","Single")</f>
        <v>Single</v>
      </c>
      <c r="O888" s="8" t="str" cm="1">
        <f t="array" ref="O888">IF(SUMPRODUCT(OrderLines[UnitPrice],OrderLines[Qty],OrderLines[DiscountPct],--(OrderLines[OrderID] = OrderLines[[#This Row],[OrderID]]))&gt;40,"High Discount","Ok")</f>
        <v>Ok</v>
      </c>
      <c r="P888">
        <f>OrderLines[[#This Row],[UnitCost]]*OrderLines[[#This Row],[Qty]]</f>
        <v>8</v>
      </c>
      <c r="Q888" s="8">
        <f>OrderLines[[#This Row],[LineNetAmount]]-OrderLines[[#This Row],[Food Cost]]</f>
        <v>9.2945999999999991</v>
      </c>
    </row>
    <row r="889" spans="1:17" x14ac:dyDescent="0.3">
      <c r="A889" t="s">
        <v>383</v>
      </c>
      <c r="B889" t="s">
        <v>409</v>
      </c>
      <c r="C889">
        <v>2</v>
      </c>
      <c r="D889" cm="1">
        <f t="array" ref="D889">VLOOKUP(OrderLines[[#This Row],[SKU]:[SKU]],Menu[],MATCH(OrderLines[[#Headers],[UnitPrice]],Menu[#Headers],0),FALSE)</f>
        <v>28.43</v>
      </c>
      <c r="E889" cm="1">
        <f t="array" ref="E889">VLOOKUP(OrderLines[[#This Row],[SKU]:[SKU]],Menu[],MATCH(OrderLines[[#Headers],[UnitCost]],Menu[#Headers],0),FALSE)</f>
        <v>13.89</v>
      </c>
      <c r="F889" t="str" cm="1">
        <f t="array" ref="F889">VLOOKUP(OrderLines[[#This Row],[SKU]:[SKU]],Menu[],MATCH(OrderLines[[#Headers],[Category]],Menu[#Headers],0),FALSE)</f>
        <v>Beverage</v>
      </c>
      <c r="G889" t="str" cm="1">
        <f t="array" ref="G889">_xlfn.TEXTJOIN("+",TRUE,_xlfn._xlws.SORT(_xlfn.UNIQUE(_xlfn._xlws.FILTER(OrderLines[Category],OrderLines[OrderID]=OrderLines[[#This Row],[OrderID]]))))</f>
        <v>Beverage</v>
      </c>
      <c r="H889" s="2" cm="1">
        <f t="array" ref="H889">INT(VLOOKUP(OrderLines[[#This Row],[OrderID]:[OrderID]],Orders[],MATCH(OrderLines[[#Headers],[OrderDateTime]],Orders[#Headers],0),FALSE))</f>
        <v>45852</v>
      </c>
      <c r="I889" t="str" cm="1">
        <f t="array" ref="I889">VLOOKUP(OrderLines[[#This Row],[OrderID]:[OrderID]],Orders[],MATCH(OrderLines[[#Headers],[Branch]],Orders[#Headers],0),FALSE)</f>
        <v>Plant 1 Canteen</v>
      </c>
      <c r="J889" cm="1">
        <f t="array" ref="J889">VLOOKUP(OrderLines[[#This Row],[OrderID]:[OrderID]],Orders[],MATCH(OrderLines[[#Headers],[DiscountPct]],Orders[#Headers],0),FALSE)</f>
        <v>0.14000000000000001</v>
      </c>
      <c r="K889" t="str" cm="1">
        <f t="array" ref="K889">VLOOKUP(OrderLines[[#This Row],[OrderID]:[OrderID]],Orders[],MATCH(OrderLines[[#Headers],[PaymentType]],Orders[#Headers],0),FALSE)</f>
        <v>Card</v>
      </c>
      <c r="L889" t="str" cm="1">
        <f t="array" ref="L889">VLOOKUP(OrderLines[[#This Row],[OrderID]:[OrderID]],Orders[],MATCH(OrderLines[[#Headers],[Shift]],Orders[#Headers],0),FALSE)</f>
        <v>Breakfast</v>
      </c>
      <c r="M889" s="8">
        <f>(OrderLines[[#This Row],[Qty]]*OrderLines[[#This Row],[UnitPrice]])*(1-OrderLines[[#This Row],[DiscountPct]])</f>
        <v>48.8996</v>
      </c>
      <c r="N889" t="str">
        <f>IF(AND(COUNTIFS(OrderLines[OrderID],OrderLines[[#This Row],[OrderID]],OrderLines[Category],"Hot Meal"),COUNTIFS(OrderLines[OrderID],OrderLines[[#This Row],[OrderID]],OrderLines[Category],"Beverage")),"Combo","Single")</f>
        <v>Single</v>
      </c>
      <c r="O889" s="8" t="str" cm="1">
        <f t="array" ref="O889">IF(SUMPRODUCT(OrderLines[UnitPrice],OrderLines[Qty],OrderLines[DiscountPct],--(OrderLines[OrderID] = OrderLines[[#This Row],[OrderID]]))&gt;40,"High Discount","Ok")</f>
        <v>Ok</v>
      </c>
      <c r="P889">
        <f>OrderLines[[#This Row],[UnitCost]]*OrderLines[[#This Row],[Qty]]</f>
        <v>27.78</v>
      </c>
      <c r="Q889" s="8">
        <f>OrderLines[[#This Row],[LineNetAmount]]-OrderLines[[#This Row],[Food Cost]]</f>
        <v>21.119599999999998</v>
      </c>
    </row>
    <row r="890" spans="1:17" x14ac:dyDescent="0.3">
      <c r="A890" t="s">
        <v>384</v>
      </c>
      <c r="B890" t="s">
        <v>417</v>
      </c>
      <c r="C890">
        <v>2</v>
      </c>
      <c r="D890" cm="1">
        <f t="array" ref="D890">VLOOKUP(OrderLines[[#This Row],[SKU]:[SKU]],Menu[],MATCH(OrderLines[[#Headers],[UnitPrice]],Menu[#Headers],0),FALSE)</f>
        <v>146.4</v>
      </c>
      <c r="E890" cm="1">
        <f t="array" ref="E890">VLOOKUP(OrderLines[[#This Row],[SKU]:[SKU]],Menu[],MATCH(OrderLines[[#Headers],[UnitCost]],Menu[#Headers],0),FALSE)</f>
        <v>80.92</v>
      </c>
      <c r="F890" t="str" cm="1">
        <f t="array" ref="F890">VLOOKUP(OrderLines[[#This Row],[SKU]:[SKU]],Menu[],MATCH(OrderLines[[#Headers],[Category]],Menu[#Headers],0),FALSE)</f>
        <v>Hot Meal</v>
      </c>
      <c r="G890" t="str" cm="1">
        <f t="array" ref="G890">_xlfn.TEXTJOIN("+",TRUE,_xlfn._xlws.SORT(_xlfn.UNIQUE(_xlfn._xlws.FILTER(OrderLines[Category],OrderLines[OrderID]=OrderLines[[#This Row],[OrderID]]))))</f>
        <v>Hot Meal</v>
      </c>
      <c r="H890" s="2" cm="1">
        <f t="array" ref="H890">INT(VLOOKUP(OrderLines[[#This Row],[OrderID]:[OrderID]],Orders[],MATCH(OrderLines[[#Headers],[OrderDateTime]],Orders[#Headers],0),FALSE))</f>
        <v>45867</v>
      </c>
      <c r="I890" t="str" cm="1">
        <f t="array" ref="I890">VLOOKUP(OrderLines[[#This Row],[OrderID]:[OrderID]],Orders[],MATCH(OrderLines[[#Headers],[Branch]],Orders[#Headers],0),FALSE)</f>
        <v>Plant 1 Canteen</v>
      </c>
      <c r="J890" cm="1">
        <f t="array" ref="J890">VLOOKUP(OrderLines[[#This Row],[OrderID]:[OrderID]],Orders[],MATCH(OrderLines[[#Headers],[DiscountPct]],Orders[#Headers],0),FALSE)</f>
        <v>0.1</v>
      </c>
      <c r="K890" t="str" cm="1">
        <f t="array" ref="K890">VLOOKUP(OrderLines[[#This Row],[OrderID]:[OrderID]],Orders[],MATCH(OrderLines[[#Headers],[PaymentType]],Orders[#Headers],0),FALSE)</f>
        <v>Cash</v>
      </c>
      <c r="L890" t="str" cm="1">
        <f t="array" ref="L890">VLOOKUP(OrderLines[[#This Row],[OrderID]:[OrderID]],Orders[],MATCH(OrderLines[[#Headers],[Shift]],Orders[#Headers],0),FALSE)</f>
        <v>Dinner</v>
      </c>
      <c r="M890" s="8">
        <f>(OrderLines[[#This Row],[Qty]]*OrderLines[[#This Row],[UnitPrice]])*(1-OrderLines[[#This Row],[DiscountPct]])</f>
        <v>263.52000000000004</v>
      </c>
      <c r="N890" t="str">
        <f>IF(AND(COUNTIFS(OrderLines[OrderID],OrderLines[[#This Row],[OrderID]],OrderLines[Category],"Hot Meal"),COUNTIFS(OrderLines[OrderID],OrderLines[[#This Row],[OrderID]],OrderLines[Category],"Beverage")),"Combo","Single")</f>
        <v>Single</v>
      </c>
      <c r="O890" s="8" t="str" cm="1">
        <f t="array" ref="O890">IF(SUMPRODUCT(OrderLines[UnitPrice],OrderLines[Qty],OrderLines[DiscountPct],--(OrderLines[OrderID] = OrderLines[[#This Row],[OrderID]]))&gt;40,"High Discount","Ok")</f>
        <v>High Discount</v>
      </c>
      <c r="P890">
        <f>OrderLines[[#This Row],[UnitCost]]*OrderLines[[#This Row],[Qty]]</f>
        <v>161.84</v>
      </c>
      <c r="Q890" s="8">
        <f>OrderLines[[#This Row],[LineNetAmount]]-OrderLines[[#This Row],[Food Cost]]</f>
        <v>101.68000000000004</v>
      </c>
    </row>
    <row r="891" spans="1:17" x14ac:dyDescent="0.3">
      <c r="A891" t="s">
        <v>384</v>
      </c>
      <c r="B891" t="s">
        <v>415</v>
      </c>
      <c r="C891">
        <v>1</v>
      </c>
      <c r="D891" cm="1">
        <f t="array" ref="D891">VLOOKUP(OrderLines[[#This Row],[SKU]:[SKU]],Menu[],MATCH(OrderLines[[#Headers],[UnitPrice]],Menu[#Headers],0),FALSE)</f>
        <v>256.91000000000003</v>
      </c>
      <c r="E891" cm="1">
        <f t="array" ref="E891">VLOOKUP(OrderLines[[#This Row],[SKU]:[SKU]],Menu[],MATCH(OrderLines[[#Headers],[UnitCost]],Menu[#Headers],0),FALSE)</f>
        <v>121.24</v>
      </c>
      <c r="F891" t="str" cm="1">
        <f t="array" ref="F891">VLOOKUP(OrderLines[[#This Row],[SKU]:[SKU]],Menu[],MATCH(OrderLines[[#Headers],[Category]],Menu[#Headers],0),FALSE)</f>
        <v>Hot Meal</v>
      </c>
      <c r="G891" t="str" cm="1">
        <f t="array" ref="G891">_xlfn.TEXTJOIN("+",TRUE,_xlfn._xlws.SORT(_xlfn.UNIQUE(_xlfn._xlws.FILTER(OrderLines[Category],OrderLines[OrderID]=OrderLines[[#This Row],[OrderID]]))))</f>
        <v>Hot Meal</v>
      </c>
      <c r="H891" s="2" cm="1">
        <f t="array" ref="H891">INT(VLOOKUP(OrderLines[[#This Row],[OrderID]:[OrderID]],Orders[],MATCH(OrderLines[[#Headers],[OrderDateTime]],Orders[#Headers],0),FALSE))</f>
        <v>45867</v>
      </c>
      <c r="I891" t="str" cm="1">
        <f t="array" ref="I891">VLOOKUP(OrderLines[[#This Row],[OrderID]:[OrderID]],Orders[],MATCH(OrderLines[[#Headers],[Branch]],Orders[#Headers],0),FALSE)</f>
        <v>Plant 1 Canteen</v>
      </c>
      <c r="J891" cm="1">
        <f t="array" ref="J891">VLOOKUP(OrderLines[[#This Row],[OrderID]:[OrderID]],Orders[],MATCH(OrderLines[[#Headers],[DiscountPct]],Orders[#Headers],0),FALSE)</f>
        <v>0.1</v>
      </c>
      <c r="K891" t="str" cm="1">
        <f t="array" ref="K891">VLOOKUP(OrderLines[[#This Row],[OrderID]:[OrderID]],Orders[],MATCH(OrderLines[[#Headers],[PaymentType]],Orders[#Headers],0),FALSE)</f>
        <v>Cash</v>
      </c>
      <c r="L891" t="str" cm="1">
        <f t="array" ref="L891">VLOOKUP(OrderLines[[#This Row],[OrderID]:[OrderID]],Orders[],MATCH(OrderLines[[#Headers],[Shift]],Orders[#Headers],0),FALSE)</f>
        <v>Dinner</v>
      </c>
      <c r="M891" s="8">
        <f>(OrderLines[[#This Row],[Qty]]*OrderLines[[#This Row],[UnitPrice]])*(1-OrderLines[[#This Row],[DiscountPct]])</f>
        <v>231.21900000000002</v>
      </c>
      <c r="N891" t="str">
        <f>IF(AND(COUNTIFS(OrderLines[OrderID],OrderLines[[#This Row],[OrderID]],OrderLines[Category],"Hot Meal"),COUNTIFS(OrderLines[OrderID],OrderLines[[#This Row],[OrderID]],OrderLines[Category],"Beverage")),"Combo","Single")</f>
        <v>Single</v>
      </c>
      <c r="O891" s="8" t="str" cm="1">
        <f t="array" ref="O891">IF(SUMPRODUCT(OrderLines[UnitPrice],OrderLines[Qty],OrderLines[DiscountPct],--(OrderLines[OrderID] = OrderLines[[#This Row],[OrderID]]))&gt;40,"High Discount","Ok")</f>
        <v>High Discount</v>
      </c>
      <c r="P891">
        <f>OrderLines[[#This Row],[UnitCost]]*OrderLines[[#This Row],[Qty]]</f>
        <v>121.24</v>
      </c>
      <c r="Q891" s="8">
        <f>OrderLines[[#This Row],[LineNetAmount]]-OrderLines[[#This Row],[Food Cost]]</f>
        <v>109.97900000000003</v>
      </c>
    </row>
    <row r="892" spans="1:17" x14ac:dyDescent="0.3">
      <c r="A892" t="s">
        <v>385</v>
      </c>
      <c r="B892" t="s">
        <v>405</v>
      </c>
      <c r="C892">
        <v>2</v>
      </c>
      <c r="D892" cm="1">
        <f t="array" ref="D892">VLOOKUP(OrderLines[[#This Row],[SKU]:[SKU]],Menu[],MATCH(OrderLines[[#Headers],[UnitPrice]],Menu[#Headers],0),FALSE)</f>
        <v>170.83</v>
      </c>
      <c r="E892" cm="1">
        <f t="array" ref="E892">VLOOKUP(OrderLines[[#This Row],[SKU]:[SKU]],Menu[],MATCH(OrderLines[[#Headers],[UnitCost]],Menu[#Headers],0),FALSE)</f>
        <v>74.069999999999993</v>
      </c>
      <c r="F892" t="str" cm="1">
        <f t="array" ref="F892">VLOOKUP(OrderLines[[#This Row],[SKU]:[SKU]],Menu[],MATCH(OrderLines[[#Headers],[Category]],Menu[#Headers],0),FALSE)</f>
        <v>Hot Meal</v>
      </c>
      <c r="G892" t="str" cm="1">
        <f t="array" ref="G892">_xlfn.TEXTJOIN("+",TRUE,_xlfn._xlws.SORT(_xlfn.UNIQUE(_xlfn._xlws.FILTER(OrderLines[Category],OrderLines[OrderID]=OrderLines[[#This Row],[OrderID]]))))</f>
        <v>Dessert+Hot Meal+Snack</v>
      </c>
      <c r="H892" s="2" cm="1">
        <f t="array" ref="H892">INT(VLOOKUP(OrderLines[[#This Row],[OrderID]:[OrderID]],Orders[],MATCH(OrderLines[[#Headers],[OrderDateTime]],Orders[#Headers],0),FALSE))</f>
        <v>45869</v>
      </c>
      <c r="I892" t="str" cm="1">
        <f t="array" ref="I892">VLOOKUP(OrderLines[[#This Row],[OrderID]:[OrderID]],Orders[],MATCH(OrderLines[[#Headers],[Branch]],Orders[#Headers],0),FALSE)</f>
        <v>Plant 2 Canteen</v>
      </c>
      <c r="J892" cm="1">
        <f t="array" ref="J892">VLOOKUP(OrderLines[[#This Row],[OrderID]:[OrderID]],Orders[],MATCH(OrderLines[[#Headers],[DiscountPct]],Orders[#Headers],0),FALSE)</f>
        <v>0.04</v>
      </c>
      <c r="K892" t="str" cm="1">
        <f t="array" ref="K892">VLOOKUP(OrderLines[[#This Row],[OrderID]:[OrderID]],Orders[],MATCH(OrderLines[[#Headers],[PaymentType]],Orders[#Headers],0),FALSE)</f>
        <v>Card</v>
      </c>
      <c r="L892" t="str" cm="1">
        <f t="array" ref="L892">VLOOKUP(OrderLines[[#This Row],[OrderID]:[OrderID]],Orders[],MATCH(OrderLines[[#Headers],[Shift]],Orders[#Headers],0),FALSE)</f>
        <v>Dinner</v>
      </c>
      <c r="M892" s="8">
        <f>(OrderLines[[#This Row],[Qty]]*OrderLines[[#This Row],[UnitPrice]])*(1-OrderLines[[#This Row],[DiscountPct]])</f>
        <v>327.99360000000001</v>
      </c>
      <c r="N892" t="str">
        <f>IF(AND(COUNTIFS(OrderLines[OrderID],OrderLines[[#This Row],[OrderID]],OrderLines[Category],"Hot Meal"),COUNTIFS(OrderLines[OrderID],OrderLines[[#This Row],[OrderID]],OrderLines[Category],"Beverage")),"Combo","Single")</f>
        <v>Single</v>
      </c>
      <c r="O892" s="8" t="str" cm="1">
        <f t="array" ref="O892">IF(SUMPRODUCT(OrderLines[UnitPrice],OrderLines[Qty],OrderLines[DiscountPct],--(OrderLines[OrderID] = OrderLines[[#This Row],[OrderID]]))&gt;40,"High Discount","Ok")</f>
        <v>High Discount</v>
      </c>
      <c r="P892">
        <f>OrderLines[[#This Row],[UnitCost]]*OrderLines[[#This Row],[Qty]]</f>
        <v>148.13999999999999</v>
      </c>
      <c r="Q892" s="8">
        <f>OrderLines[[#This Row],[LineNetAmount]]-OrderLines[[#This Row],[Food Cost]]</f>
        <v>179.85360000000003</v>
      </c>
    </row>
    <row r="893" spans="1:17" x14ac:dyDescent="0.3">
      <c r="A893" t="s">
        <v>385</v>
      </c>
      <c r="B893" t="s">
        <v>415</v>
      </c>
      <c r="C893">
        <v>3</v>
      </c>
      <c r="D893" cm="1">
        <f t="array" ref="D893">VLOOKUP(OrderLines[[#This Row],[SKU]:[SKU]],Menu[],MATCH(OrderLines[[#Headers],[UnitPrice]],Menu[#Headers],0),FALSE)</f>
        <v>256.91000000000003</v>
      </c>
      <c r="E893" cm="1">
        <f t="array" ref="E893">VLOOKUP(OrderLines[[#This Row],[SKU]:[SKU]],Menu[],MATCH(OrderLines[[#Headers],[UnitCost]],Menu[#Headers],0),FALSE)</f>
        <v>121.24</v>
      </c>
      <c r="F893" t="str" cm="1">
        <f t="array" ref="F893">VLOOKUP(OrderLines[[#This Row],[SKU]:[SKU]],Menu[],MATCH(OrderLines[[#Headers],[Category]],Menu[#Headers],0),FALSE)</f>
        <v>Hot Meal</v>
      </c>
      <c r="G893" t="str" cm="1">
        <f t="array" ref="G893">_xlfn.TEXTJOIN("+",TRUE,_xlfn._xlws.SORT(_xlfn.UNIQUE(_xlfn._xlws.FILTER(OrderLines[Category],OrderLines[OrderID]=OrderLines[[#This Row],[OrderID]]))))</f>
        <v>Dessert+Hot Meal+Snack</v>
      </c>
      <c r="H893" s="2" cm="1">
        <f t="array" ref="H893">INT(VLOOKUP(OrderLines[[#This Row],[OrderID]:[OrderID]],Orders[],MATCH(OrderLines[[#Headers],[OrderDateTime]],Orders[#Headers],0),FALSE))</f>
        <v>45869</v>
      </c>
      <c r="I893" t="str" cm="1">
        <f t="array" ref="I893">VLOOKUP(OrderLines[[#This Row],[OrderID]:[OrderID]],Orders[],MATCH(OrderLines[[#Headers],[Branch]],Orders[#Headers],0),FALSE)</f>
        <v>Plant 2 Canteen</v>
      </c>
      <c r="J893" cm="1">
        <f t="array" ref="J893">VLOOKUP(OrderLines[[#This Row],[OrderID]:[OrderID]],Orders[],MATCH(OrderLines[[#Headers],[DiscountPct]],Orders[#Headers],0),FALSE)</f>
        <v>0.04</v>
      </c>
      <c r="K893" t="str" cm="1">
        <f t="array" ref="K893">VLOOKUP(OrderLines[[#This Row],[OrderID]:[OrderID]],Orders[],MATCH(OrderLines[[#Headers],[PaymentType]],Orders[#Headers],0),FALSE)</f>
        <v>Card</v>
      </c>
      <c r="L893" t="str" cm="1">
        <f t="array" ref="L893">VLOOKUP(OrderLines[[#This Row],[OrderID]:[OrderID]],Orders[],MATCH(OrderLines[[#Headers],[Shift]],Orders[#Headers],0),FALSE)</f>
        <v>Dinner</v>
      </c>
      <c r="M893" s="8">
        <f>(OrderLines[[#This Row],[Qty]]*OrderLines[[#This Row],[UnitPrice]])*(1-OrderLines[[#This Row],[DiscountPct]])</f>
        <v>739.9008</v>
      </c>
      <c r="N893" t="str">
        <f>IF(AND(COUNTIFS(OrderLines[OrderID],OrderLines[[#This Row],[OrderID]],OrderLines[Category],"Hot Meal"),COUNTIFS(OrderLines[OrderID],OrderLines[[#This Row],[OrderID]],OrderLines[Category],"Beverage")),"Combo","Single")</f>
        <v>Single</v>
      </c>
      <c r="O893" s="8" t="str" cm="1">
        <f t="array" ref="O893">IF(SUMPRODUCT(OrderLines[UnitPrice],OrderLines[Qty],OrderLines[DiscountPct],--(OrderLines[OrderID] = OrderLines[[#This Row],[OrderID]]))&gt;40,"High Discount","Ok")</f>
        <v>High Discount</v>
      </c>
      <c r="P893">
        <f>OrderLines[[#This Row],[UnitCost]]*OrderLines[[#This Row],[Qty]]</f>
        <v>363.71999999999997</v>
      </c>
      <c r="Q893" s="8">
        <f>OrderLines[[#This Row],[LineNetAmount]]-OrderLines[[#This Row],[Food Cost]]</f>
        <v>376.18080000000003</v>
      </c>
    </row>
    <row r="894" spans="1:17" x14ac:dyDescent="0.3">
      <c r="A894" t="s">
        <v>385</v>
      </c>
      <c r="B894" t="s">
        <v>408</v>
      </c>
      <c r="C894">
        <v>1</v>
      </c>
      <c r="D894" cm="1">
        <f t="array" ref="D894">VLOOKUP(OrderLines[[#This Row],[SKU]:[SKU]],Menu[],MATCH(OrderLines[[#Headers],[UnitPrice]],Menu[#Headers],0),FALSE)</f>
        <v>70.540000000000006</v>
      </c>
      <c r="E894" cm="1">
        <f t="array" ref="E894">VLOOKUP(OrderLines[[#This Row],[SKU]:[SKU]],Menu[],MATCH(OrderLines[[#Headers],[UnitCost]],Menu[#Headers],0),FALSE)</f>
        <v>35.81</v>
      </c>
      <c r="F894" t="str" cm="1">
        <f t="array" ref="F894">VLOOKUP(OrderLines[[#This Row],[SKU]:[SKU]],Menu[],MATCH(OrderLines[[#Headers],[Category]],Menu[#Headers],0),FALSE)</f>
        <v>Snack</v>
      </c>
      <c r="G894" t="str" cm="1">
        <f t="array" ref="G894">_xlfn.TEXTJOIN("+",TRUE,_xlfn._xlws.SORT(_xlfn.UNIQUE(_xlfn._xlws.FILTER(OrderLines[Category],OrderLines[OrderID]=OrderLines[[#This Row],[OrderID]]))))</f>
        <v>Dessert+Hot Meal+Snack</v>
      </c>
      <c r="H894" s="2" cm="1">
        <f t="array" ref="H894">INT(VLOOKUP(OrderLines[[#This Row],[OrderID]:[OrderID]],Orders[],MATCH(OrderLines[[#Headers],[OrderDateTime]],Orders[#Headers],0),FALSE))</f>
        <v>45869</v>
      </c>
      <c r="I894" t="str" cm="1">
        <f t="array" ref="I894">VLOOKUP(OrderLines[[#This Row],[OrderID]:[OrderID]],Orders[],MATCH(OrderLines[[#Headers],[Branch]],Orders[#Headers],0),FALSE)</f>
        <v>Plant 2 Canteen</v>
      </c>
      <c r="J894" cm="1">
        <f t="array" ref="J894">VLOOKUP(OrderLines[[#This Row],[OrderID]:[OrderID]],Orders[],MATCH(OrderLines[[#Headers],[DiscountPct]],Orders[#Headers],0),FALSE)</f>
        <v>0.04</v>
      </c>
      <c r="K894" t="str" cm="1">
        <f t="array" ref="K894">VLOOKUP(OrderLines[[#This Row],[OrderID]:[OrderID]],Orders[],MATCH(OrderLines[[#Headers],[PaymentType]],Orders[#Headers],0),FALSE)</f>
        <v>Card</v>
      </c>
      <c r="L894" t="str" cm="1">
        <f t="array" ref="L894">VLOOKUP(OrderLines[[#This Row],[OrderID]:[OrderID]],Orders[],MATCH(OrderLines[[#Headers],[Shift]],Orders[#Headers],0),FALSE)</f>
        <v>Dinner</v>
      </c>
      <c r="M894" s="8">
        <f>(OrderLines[[#This Row],[Qty]]*OrderLines[[#This Row],[UnitPrice]])*(1-OrderLines[[#This Row],[DiscountPct]])</f>
        <v>67.718400000000003</v>
      </c>
      <c r="N894" t="str">
        <f>IF(AND(COUNTIFS(OrderLines[OrderID],OrderLines[[#This Row],[OrderID]],OrderLines[Category],"Hot Meal"),COUNTIFS(OrderLines[OrderID],OrderLines[[#This Row],[OrderID]],OrderLines[Category],"Beverage")),"Combo","Single")</f>
        <v>Single</v>
      </c>
      <c r="O894" s="8" t="str" cm="1">
        <f t="array" ref="O894">IF(SUMPRODUCT(OrderLines[UnitPrice],OrderLines[Qty],OrderLines[DiscountPct],--(OrderLines[OrderID] = OrderLines[[#This Row],[OrderID]]))&gt;40,"High Discount","Ok")</f>
        <v>High Discount</v>
      </c>
      <c r="P894">
        <f>OrderLines[[#This Row],[UnitCost]]*OrderLines[[#This Row],[Qty]]</f>
        <v>35.81</v>
      </c>
      <c r="Q894" s="8">
        <f>OrderLines[[#This Row],[LineNetAmount]]-OrderLines[[#This Row],[Food Cost]]</f>
        <v>31.9084</v>
      </c>
    </row>
    <row r="895" spans="1:17" x14ac:dyDescent="0.3">
      <c r="A895" t="s">
        <v>385</v>
      </c>
      <c r="B895" t="s">
        <v>412</v>
      </c>
      <c r="C895">
        <v>2</v>
      </c>
      <c r="D895" cm="1">
        <f t="array" ref="D895">VLOOKUP(OrderLines[[#This Row],[SKU]:[SKU]],Menu[],MATCH(OrderLines[[#Headers],[UnitPrice]],Menu[#Headers],0),FALSE)</f>
        <v>57.07</v>
      </c>
      <c r="E895" cm="1">
        <f t="array" ref="E895">VLOOKUP(OrderLines[[#This Row],[SKU]:[SKU]],Menu[],MATCH(OrderLines[[#Headers],[UnitCost]],Menu[#Headers],0),FALSE)</f>
        <v>29.14</v>
      </c>
      <c r="F895" t="str" cm="1">
        <f t="array" ref="F895">VLOOKUP(OrderLines[[#This Row],[SKU]:[SKU]],Menu[],MATCH(OrderLines[[#Headers],[Category]],Menu[#Headers],0),FALSE)</f>
        <v>Dessert</v>
      </c>
      <c r="G895" t="str" cm="1">
        <f t="array" ref="G895">_xlfn.TEXTJOIN("+",TRUE,_xlfn._xlws.SORT(_xlfn.UNIQUE(_xlfn._xlws.FILTER(OrderLines[Category],OrderLines[OrderID]=OrderLines[[#This Row],[OrderID]]))))</f>
        <v>Dessert+Hot Meal+Snack</v>
      </c>
      <c r="H895" s="2" cm="1">
        <f t="array" ref="H895">INT(VLOOKUP(OrderLines[[#This Row],[OrderID]:[OrderID]],Orders[],MATCH(OrderLines[[#Headers],[OrderDateTime]],Orders[#Headers],0),FALSE))</f>
        <v>45869</v>
      </c>
      <c r="I895" t="str" cm="1">
        <f t="array" ref="I895">VLOOKUP(OrderLines[[#This Row],[OrderID]:[OrderID]],Orders[],MATCH(OrderLines[[#Headers],[Branch]],Orders[#Headers],0),FALSE)</f>
        <v>Plant 2 Canteen</v>
      </c>
      <c r="J895" cm="1">
        <f t="array" ref="J895">VLOOKUP(OrderLines[[#This Row],[OrderID]:[OrderID]],Orders[],MATCH(OrderLines[[#Headers],[DiscountPct]],Orders[#Headers],0),FALSE)</f>
        <v>0.04</v>
      </c>
      <c r="K895" t="str" cm="1">
        <f t="array" ref="K895">VLOOKUP(OrderLines[[#This Row],[OrderID]:[OrderID]],Orders[],MATCH(OrderLines[[#Headers],[PaymentType]],Orders[#Headers],0),FALSE)</f>
        <v>Card</v>
      </c>
      <c r="L895" t="str" cm="1">
        <f t="array" ref="L895">VLOOKUP(OrderLines[[#This Row],[OrderID]:[OrderID]],Orders[],MATCH(OrderLines[[#Headers],[Shift]],Orders[#Headers],0),FALSE)</f>
        <v>Dinner</v>
      </c>
      <c r="M895" s="8">
        <f>(OrderLines[[#This Row],[Qty]]*OrderLines[[#This Row],[UnitPrice]])*(1-OrderLines[[#This Row],[DiscountPct]])</f>
        <v>109.5744</v>
      </c>
      <c r="N895" t="str">
        <f>IF(AND(COUNTIFS(OrderLines[OrderID],OrderLines[[#This Row],[OrderID]],OrderLines[Category],"Hot Meal"),COUNTIFS(OrderLines[OrderID],OrderLines[[#This Row],[OrderID]],OrderLines[Category],"Beverage")),"Combo","Single")</f>
        <v>Single</v>
      </c>
      <c r="O895" s="8" t="str" cm="1">
        <f t="array" ref="O895">IF(SUMPRODUCT(OrderLines[UnitPrice],OrderLines[Qty],OrderLines[DiscountPct],--(OrderLines[OrderID] = OrderLines[[#This Row],[OrderID]]))&gt;40,"High Discount","Ok")</f>
        <v>High Discount</v>
      </c>
      <c r="P895">
        <f>OrderLines[[#This Row],[UnitCost]]*OrderLines[[#This Row],[Qty]]</f>
        <v>58.28</v>
      </c>
      <c r="Q895" s="8">
        <f>OrderLines[[#This Row],[LineNetAmount]]-OrderLines[[#This Row],[Food Cost]]</f>
        <v>51.294399999999996</v>
      </c>
    </row>
    <row r="896" spans="1:17" x14ac:dyDescent="0.3">
      <c r="A896" t="s">
        <v>386</v>
      </c>
      <c r="B896" t="s">
        <v>414</v>
      </c>
      <c r="C896">
        <v>1</v>
      </c>
      <c r="D896" cm="1">
        <f t="array" ref="D896">VLOOKUP(OrderLines[[#This Row],[SKU]:[SKU]],Menu[],MATCH(OrderLines[[#Headers],[UnitPrice]],Menu[#Headers],0),FALSE)</f>
        <v>116.8</v>
      </c>
      <c r="E896" cm="1">
        <f t="array" ref="E896">VLOOKUP(OrderLines[[#This Row],[SKU]:[SKU]],Menu[],MATCH(OrderLines[[#Headers],[UnitCost]],Menu[#Headers],0),FALSE)</f>
        <v>48.97</v>
      </c>
      <c r="F896" t="str" cm="1">
        <f t="array" ref="F896">VLOOKUP(OrderLines[[#This Row],[SKU]:[SKU]],Menu[],MATCH(OrderLines[[#Headers],[Category]],Menu[#Headers],0),FALSE)</f>
        <v>Dessert</v>
      </c>
      <c r="G896" t="str" cm="1">
        <f t="array" ref="G896">_xlfn.TEXTJOIN("+",TRUE,_xlfn._xlws.SORT(_xlfn.UNIQUE(_xlfn._xlws.FILTER(OrderLines[Category],OrderLines[OrderID]=OrderLines[[#This Row],[OrderID]]))))</f>
        <v>Dessert+Hot Meal</v>
      </c>
      <c r="H896" s="2" cm="1">
        <f t="array" ref="H896">INT(VLOOKUP(OrderLines[[#This Row],[OrderID]:[OrderID]],Orders[],MATCH(OrderLines[[#Headers],[OrderDateTime]],Orders[#Headers],0),FALSE))</f>
        <v>45885</v>
      </c>
      <c r="I896" t="str" cm="1">
        <f t="array" ref="I896">VLOOKUP(OrderLines[[#This Row],[OrderID]:[OrderID]],Orders[],MATCH(OrderLines[[#Headers],[Branch]],Orders[#Headers],0),FALSE)</f>
        <v>Plant 2 Canteen</v>
      </c>
      <c r="J896" cm="1">
        <f t="array" ref="J896">VLOOKUP(OrderLines[[#This Row],[OrderID]:[OrderID]],Orders[],MATCH(OrderLines[[#Headers],[DiscountPct]],Orders[#Headers],0),FALSE)</f>
        <v>0.02</v>
      </c>
      <c r="K896" t="str" cm="1">
        <f t="array" ref="K896">VLOOKUP(OrderLines[[#This Row],[OrderID]:[OrderID]],Orders[],MATCH(OrderLines[[#Headers],[PaymentType]],Orders[#Headers],0),FALSE)</f>
        <v>UPI</v>
      </c>
      <c r="L896" t="str" cm="1">
        <f t="array" ref="L896">VLOOKUP(OrderLines[[#This Row],[OrderID]:[OrderID]],Orders[],MATCH(OrderLines[[#Headers],[Shift]],Orders[#Headers],0),FALSE)</f>
        <v>Breakfast</v>
      </c>
      <c r="M896" s="8">
        <f>(OrderLines[[#This Row],[Qty]]*OrderLines[[#This Row],[UnitPrice]])*(1-OrderLines[[#This Row],[DiscountPct]])</f>
        <v>114.464</v>
      </c>
      <c r="N896" t="str">
        <f>IF(AND(COUNTIFS(OrderLines[OrderID],OrderLines[[#This Row],[OrderID]],OrderLines[Category],"Hot Meal"),COUNTIFS(OrderLines[OrderID],OrderLines[[#This Row],[OrderID]],OrderLines[Category],"Beverage")),"Combo","Single")</f>
        <v>Single</v>
      </c>
      <c r="O896" s="8" t="str" cm="1">
        <f t="array" ref="O896">IF(SUMPRODUCT(OrderLines[UnitPrice],OrderLines[Qty],OrderLines[DiscountPct],--(OrderLines[OrderID] = OrderLines[[#This Row],[OrderID]]))&gt;40,"High Discount","Ok")</f>
        <v>Ok</v>
      </c>
      <c r="P896">
        <f>OrderLines[[#This Row],[UnitCost]]*OrderLines[[#This Row],[Qty]]</f>
        <v>48.97</v>
      </c>
      <c r="Q896" s="8">
        <f>OrderLines[[#This Row],[LineNetAmount]]-OrderLines[[#This Row],[Food Cost]]</f>
        <v>65.494</v>
      </c>
    </row>
    <row r="897" spans="1:17" x14ac:dyDescent="0.3">
      <c r="A897" t="s">
        <v>386</v>
      </c>
      <c r="B897" t="s">
        <v>407</v>
      </c>
      <c r="C897">
        <v>1</v>
      </c>
      <c r="D897" cm="1">
        <f t="array" ref="D897">VLOOKUP(OrderLines[[#This Row],[SKU]:[SKU]],Menu[],MATCH(OrderLines[[#Headers],[UnitPrice]],Menu[#Headers],0),FALSE)</f>
        <v>246.09</v>
      </c>
      <c r="E897" cm="1">
        <f t="array" ref="E897">VLOOKUP(OrderLines[[#This Row],[SKU]:[SKU]],Menu[],MATCH(OrderLines[[#Headers],[UnitCost]],Menu[#Headers],0),FALSE)</f>
        <v>112.08</v>
      </c>
      <c r="F897" t="str" cm="1">
        <f t="array" ref="F897">VLOOKUP(OrderLines[[#This Row],[SKU]:[SKU]],Menu[],MATCH(OrderLines[[#Headers],[Category]],Menu[#Headers],0),FALSE)</f>
        <v>Hot Meal</v>
      </c>
      <c r="G897" t="str" cm="1">
        <f t="array" ref="G897">_xlfn.TEXTJOIN("+",TRUE,_xlfn._xlws.SORT(_xlfn.UNIQUE(_xlfn._xlws.FILTER(OrderLines[Category],OrderLines[OrderID]=OrderLines[[#This Row],[OrderID]]))))</f>
        <v>Dessert+Hot Meal</v>
      </c>
      <c r="H897" s="2" cm="1">
        <f t="array" ref="H897">INT(VLOOKUP(OrderLines[[#This Row],[OrderID]:[OrderID]],Orders[],MATCH(OrderLines[[#Headers],[OrderDateTime]],Orders[#Headers],0),FALSE))</f>
        <v>45885</v>
      </c>
      <c r="I897" t="str" cm="1">
        <f t="array" ref="I897">VLOOKUP(OrderLines[[#This Row],[OrderID]:[OrderID]],Orders[],MATCH(OrderLines[[#Headers],[Branch]],Orders[#Headers],0),FALSE)</f>
        <v>Plant 2 Canteen</v>
      </c>
      <c r="J897" cm="1">
        <f t="array" ref="J897">VLOOKUP(OrderLines[[#This Row],[OrderID]:[OrderID]],Orders[],MATCH(OrderLines[[#Headers],[DiscountPct]],Orders[#Headers],0),FALSE)</f>
        <v>0.02</v>
      </c>
      <c r="K897" t="str" cm="1">
        <f t="array" ref="K897">VLOOKUP(OrderLines[[#This Row],[OrderID]:[OrderID]],Orders[],MATCH(OrderLines[[#Headers],[PaymentType]],Orders[#Headers],0),FALSE)</f>
        <v>UPI</v>
      </c>
      <c r="L897" t="str" cm="1">
        <f t="array" ref="L897">VLOOKUP(OrderLines[[#This Row],[OrderID]:[OrderID]],Orders[],MATCH(OrderLines[[#Headers],[Shift]],Orders[#Headers],0),FALSE)</f>
        <v>Breakfast</v>
      </c>
      <c r="M897" s="8">
        <f>(OrderLines[[#This Row],[Qty]]*OrderLines[[#This Row],[UnitPrice]])*(1-OrderLines[[#This Row],[DiscountPct]])</f>
        <v>241.16820000000001</v>
      </c>
      <c r="N897" t="str">
        <f>IF(AND(COUNTIFS(OrderLines[OrderID],OrderLines[[#This Row],[OrderID]],OrderLines[Category],"Hot Meal"),COUNTIFS(OrderLines[OrderID],OrderLines[[#This Row],[OrderID]],OrderLines[Category],"Beverage")),"Combo","Single")</f>
        <v>Single</v>
      </c>
      <c r="O897" s="8" t="str" cm="1">
        <f t="array" ref="O897">IF(SUMPRODUCT(OrderLines[UnitPrice],OrderLines[Qty],OrderLines[DiscountPct],--(OrderLines[OrderID] = OrderLines[[#This Row],[OrderID]]))&gt;40,"High Discount","Ok")</f>
        <v>Ok</v>
      </c>
      <c r="P897">
        <f>OrderLines[[#This Row],[UnitCost]]*OrderLines[[#This Row],[Qty]]</f>
        <v>112.08</v>
      </c>
      <c r="Q897" s="8">
        <f>OrderLines[[#This Row],[LineNetAmount]]-OrderLines[[#This Row],[Food Cost]]</f>
        <v>129.08820000000003</v>
      </c>
    </row>
    <row r="898" spans="1:17" x14ac:dyDescent="0.3">
      <c r="A898" t="s">
        <v>386</v>
      </c>
      <c r="B898" t="s">
        <v>403</v>
      </c>
      <c r="C898">
        <v>3</v>
      </c>
      <c r="D898" cm="1">
        <f t="array" ref="D898">VLOOKUP(OrderLines[[#This Row],[SKU]:[SKU]],Menu[],MATCH(OrderLines[[#Headers],[UnitPrice]],Menu[#Headers],0),FALSE)</f>
        <v>76.55</v>
      </c>
      <c r="E898" cm="1">
        <f t="array" ref="E898">VLOOKUP(OrderLines[[#This Row],[SKU]:[SKU]],Menu[],MATCH(OrderLines[[#Headers],[UnitCost]],Menu[#Headers],0),FALSE)</f>
        <v>38.229999999999997</v>
      </c>
      <c r="F898" t="str" cm="1">
        <f t="array" ref="F898">VLOOKUP(OrderLines[[#This Row],[SKU]:[SKU]],Menu[],MATCH(OrderLines[[#Headers],[Category]],Menu[#Headers],0),FALSE)</f>
        <v>Dessert</v>
      </c>
      <c r="G898" t="str" cm="1">
        <f t="array" ref="G898">_xlfn.TEXTJOIN("+",TRUE,_xlfn._xlws.SORT(_xlfn.UNIQUE(_xlfn._xlws.FILTER(OrderLines[Category],OrderLines[OrderID]=OrderLines[[#This Row],[OrderID]]))))</f>
        <v>Dessert+Hot Meal</v>
      </c>
      <c r="H898" s="2" cm="1">
        <f t="array" ref="H898">INT(VLOOKUP(OrderLines[[#This Row],[OrderID]:[OrderID]],Orders[],MATCH(OrderLines[[#Headers],[OrderDateTime]],Orders[#Headers],0),FALSE))</f>
        <v>45885</v>
      </c>
      <c r="I898" t="str" cm="1">
        <f t="array" ref="I898">VLOOKUP(OrderLines[[#This Row],[OrderID]:[OrderID]],Orders[],MATCH(OrderLines[[#Headers],[Branch]],Orders[#Headers],0),FALSE)</f>
        <v>Plant 2 Canteen</v>
      </c>
      <c r="J898" cm="1">
        <f t="array" ref="J898">VLOOKUP(OrderLines[[#This Row],[OrderID]:[OrderID]],Orders[],MATCH(OrderLines[[#Headers],[DiscountPct]],Orders[#Headers],0),FALSE)</f>
        <v>0.02</v>
      </c>
      <c r="K898" t="str" cm="1">
        <f t="array" ref="K898">VLOOKUP(OrderLines[[#This Row],[OrderID]:[OrderID]],Orders[],MATCH(OrderLines[[#Headers],[PaymentType]],Orders[#Headers],0),FALSE)</f>
        <v>UPI</v>
      </c>
      <c r="L898" t="str" cm="1">
        <f t="array" ref="L898">VLOOKUP(OrderLines[[#This Row],[OrderID]:[OrderID]],Orders[],MATCH(OrderLines[[#Headers],[Shift]],Orders[#Headers],0),FALSE)</f>
        <v>Breakfast</v>
      </c>
      <c r="M898" s="8">
        <f>(OrderLines[[#This Row],[Qty]]*OrderLines[[#This Row],[UnitPrice]])*(1-OrderLines[[#This Row],[DiscountPct]])</f>
        <v>225.05699999999996</v>
      </c>
      <c r="N898" t="str">
        <f>IF(AND(COUNTIFS(OrderLines[OrderID],OrderLines[[#This Row],[OrderID]],OrderLines[Category],"Hot Meal"),COUNTIFS(OrderLines[OrderID],OrderLines[[#This Row],[OrderID]],OrderLines[Category],"Beverage")),"Combo","Single")</f>
        <v>Single</v>
      </c>
      <c r="O898" s="8" t="str" cm="1">
        <f t="array" ref="O898">IF(SUMPRODUCT(OrderLines[UnitPrice],OrderLines[Qty],OrderLines[DiscountPct],--(OrderLines[OrderID] = OrderLines[[#This Row],[OrderID]]))&gt;40,"High Discount","Ok")</f>
        <v>Ok</v>
      </c>
      <c r="P898">
        <f>OrderLines[[#This Row],[UnitCost]]*OrderLines[[#This Row],[Qty]]</f>
        <v>114.69</v>
      </c>
      <c r="Q898" s="8">
        <f>OrderLines[[#This Row],[LineNetAmount]]-OrderLines[[#This Row],[Food Cost]]</f>
        <v>110.36699999999996</v>
      </c>
    </row>
    <row r="899" spans="1:17" x14ac:dyDescent="0.3">
      <c r="A899" t="s">
        <v>386</v>
      </c>
      <c r="B899" t="s">
        <v>405</v>
      </c>
      <c r="C899">
        <v>2</v>
      </c>
      <c r="D899" cm="1">
        <f t="array" ref="D899">VLOOKUP(OrderLines[[#This Row],[SKU]:[SKU]],Menu[],MATCH(OrderLines[[#Headers],[UnitPrice]],Menu[#Headers],0),FALSE)</f>
        <v>170.83</v>
      </c>
      <c r="E899" cm="1">
        <f t="array" ref="E899">VLOOKUP(OrderLines[[#This Row],[SKU]:[SKU]],Menu[],MATCH(OrderLines[[#Headers],[UnitCost]],Menu[#Headers],0),FALSE)</f>
        <v>74.069999999999993</v>
      </c>
      <c r="F899" t="str" cm="1">
        <f t="array" ref="F899">VLOOKUP(OrderLines[[#This Row],[SKU]:[SKU]],Menu[],MATCH(OrderLines[[#Headers],[Category]],Menu[#Headers],0),FALSE)</f>
        <v>Hot Meal</v>
      </c>
      <c r="G899" t="str" cm="1">
        <f t="array" ref="G899">_xlfn.TEXTJOIN("+",TRUE,_xlfn._xlws.SORT(_xlfn.UNIQUE(_xlfn._xlws.FILTER(OrderLines[Category],OrderLines[OrderID]=OrderLines[[#This Row],[OrderID]]))))</f>
        <v>Dessert+Hot Meal</v>
      </c>
      <c r="H899" s="2" cm="1">
        <f t="array" ref="H899">INT(VLOOKUP(OrderLines[[#This Row],[OrderID]:[OrderID]],Orders[],MATCH(OrderLines[[#Headers],[OrderDateTime]],Orders[#Headers],0),FALSE))</f>
        <v>45885</v>
      </c>
      <c r="I899" t="str" cm="1">
        <f t="array" ref="I899">VLOOKUP(OrderLines[[#This Row],[OrderID]:[OrderID]],Orders[],MATCH(OrderLines[[#Headers],[Branch]],Orders[#Headers],0),FALSE)</f>
        <v>Plant 2 Canteen</v>
      </c>
      <c r="J899" cm="1">
        <f t="array" ref="J899">VLOOKUP(OrderLines[[#This Row],[OrderID]:[OrderID]],Orders[],MATCH(OrderLines[[#Headers],[DiscountPct]],Orders[#Headers],0),FALSE)</f>
        <v>0.02</v>
      </c>
      <c r="K899" t="str" cm="1">
        <f t="array" ref="K899">VLOOKUP(OrderLines[[#This Row],[OrderID]:[OrderID]],Orders[],MATCH(OrderLines[[#Headers],[PaymentType]],Orders[#Headers],0),FALSE)</f>
        <v>UPI</v>
      </c>
      <c r="L899" t="str" cm="1">
        <f t="array" ref="L899">VLOOKUP(OrderLines[[#This Row],[OrderID]:[OrderID]],Orders[],MATCH(OrderLines[[#Headers],[Shift]],Orders[#Headers],0),FALSE)</f>
        <v>Breakfast</v>
      </c>
      <c r="M899" s="8">
        <f>(OrderLines[[#This Row],[Qty]]*OrderLines[[#This Row],[UnitPrice]])*(1-OrderLines[[#This Row],[DiscountPct]])</f>
        <v>334.82679999999999</v>
      </c>
      <c r="N899" t="str">
        <f>IF(AND(COUNTIFS(OrderLines[OrderID],OrderLines[[#This Row],[OrderID]],OrderLines[Category],"Hot Meal"),COUNTIFS(OrderLines[OrderID],OrderLines[[#This Row],[OrderID]],OrderLines[Category],"Beverage")),"Combo","Single")</f>
        <v>Single</v>
      </c>
      <c r="O899" s="8" t="str" cm="1">
        <f t="array" ref="O899">IF(SUMPRODUCT(OrderLines[UnitPrice],OrderLines[Qty],OrderLines[DiscountPct],--(OrderLines[OrderID] = OrderLines[[#This Row],[OrderID]]))&gt;40,"High Discount","Ok")</f>
        <v>Ok</v>
      </c>
      <c r="P899">
        <f>OrderLines[[#This Row],[UnitCost]]*OrderLines[[#This Row],[Qty]]</f>
        <v>148.13999999999999</v>
      </c>
      <c r="Q899" s="8">
        <f>OrderLines[[#This Row],[LineNetAmount]]-OrderLines[[#This Row],[Food Cost]]</f>
        <v>186.68680000000001</v>
      </c>
    </row>
    <row r="900" spans="1:17" x14ac:dyDescent="0.3">
      <c r="A900" t="s">
        <v>387</v>
      </c>
      <c r="B900" t="s">
        <v>404</v>
      </c>
      <c r="C900">
        <v>2</v>
      </c>
      <c r="D900" cm="1">
        <f t="array" ref="D900">VLOOKUP(OrderLines[[#This Row],[SKU]:[SKU]],Menu[],MATCH(OrderLines[[#Headers],[UnitPrice]],Menu[#Headers],0),FALSE)</f>
        <v>32.979999999999997</v>
      </c>
      <c r="E900" cm="1">
        <f t="array" ref="E900">VLOOKUP(OrderLines[[#This Row],[SKU]:[SKU]],Menu[],MATCH(OrderLines[[#Headers],[UnitCost]],Menu[#Headers],0),FALSE)</f>
        <v>11.84</v>
      </c>
      <c r="F900" t="str" cm="1">
        <f t="array" ref="F900">VLOOKUP(OrderLines[[#This Row],[SKU]:[SKU]],Menu[],MATCH(OrderLines[[#Headers],[Category]],Menu[#Headers],0),FALSE)</f>
        <v>Beverage</v>
      </c>
      <c r="G900" t="str" cm="1">
        <f t="array" ref="G900">_xlfn.TEXTJOIN("+",TRUE,_xlfn._xlws.SORT(_xlfn.UNIQUE(_xlfn._xlws.FILTER(OrderLines[Category],OrderLines[OrderID]=OrderLines[[#This Row],[OrderID]]))))</f>
        <v>Beverage+Hot Meal</v>
      </c>
      <c r="H900" s="2" cm="1">
        <f t="array" ref="H900">INT(VLOOKUP(OrderLines[[#This Row],[OrderID]:[OrderID]],Orders[],MATCH(OrderLines[[#Headers],[OrderDateTime]],Orders[#Headers],0),FALSE))</f>
        <v>45867</v>
      </c>
      <c r="I900" t="str" cm="1">
        <f t="array" ref="I900">VLOOKUP(OrderLines[[#This Row],[OrderID]:[OrderID]],Orders[],MATCH(OrderLines[[#Headers],[Branch]],Orders[#Headers],0),FALSE)</f>
        <v>Plant 2 Canteen</v>
      </c>
      <c r="J900" cm="1">
        <f t="array" ref="J900">VLOOKUP(OrderLines[[#This Row],[OrderID]:[OrderID]],Orders[],MATCH(OrderLines[[#Headers],[DiscountPct]],Orders[#Headers],0),FALSE)</f>
        <v>0.08</v>
      </c>
      <c r="K900" t="str" cm="1">
        <f t="array" ref="K900">VLOOKUP(OrderLines[[#This Row],[OrderID]:[OrderID]],Orders[],MATCH(OrderLines[[#Headers],[PaymentType]],Orders[#Headers],0),FALSE)</f>
        <v>UPI</v>
      </c>
      <c r="L900" t="str" cm="1">
        <f t="array" ref="L900">VLOOKUP(OrderLines[[#This Row],[OrderID]:[OrderID]],Orders[],MATCH(OrderLines[[#Headers],[Shift]],Orders[#Headers],0),FALSE)</f>
        <v>Breakfast</v>
      </c>
      <c r="M900" s="8">
        <f>(OrderLines[[#This Row],[Qty]]*OrderLines[[#This Row],[UnitPrice]])*(1-OrderLines[[#This Row],[DiscountPct]])</f>
        <v>60.683199999999999</v>
      </c>
      <c r="N900" t="str">
        <f>IF(AND(COUNTIFS(OrderLines[OrderID],OrderLines[[#This Row],[OrderID]],OrderLines[Category],"Hot Meal"),COUNTIFS(OrderLines[OrderID],OrderLines[[#This Row],[OrderID]],OrderLines[Category],"Beverage")),"Combo","Single")</f>
        <v>Combo</v>
      </c>
      <c r="O900" s="8" t="str" cm="1">
        <f t="array" ref="O900">IF(SUMPRODUCT(OrderLines[UnitPrice],OrderLines[Qty],OrderLines[DiscountPct],--(OrderLines[OrderID] = OrderLines[[#This Row],[OrderID]]))&gt;40,"High Discount","Ok")</f>
        <v>Ok</v>
      </c>
      <c r="P900">
        <f>OrderLines[[#This Row],[UnitCost]]*OrderLines[[#This Row],[Qty]]</f>
        <v>23.68</v>
      </c>
      <c r="Q900" s="8">
        <f>OrderLines[[#This Row],[LineNetAmount]]-OrderLines[[#This Row],[Food Cost]]</f>
        <v>37.0032</v>
      </c>
    </row>
    <row r="901" spans="1:17" x14ac:dyDescent="0.3">
      <c r="A901" t="s">
        <v>387</v>
      </c>
      <c r="B901" t="s">
        <v>417</v>
      </c>
      <c r="C901">
        <v>2</v>
      </c>
      <c r="D901" cm="1">
        <f t="array" ref="D901">VLOOKUP(OrderLines[[#This Row],[SKU]:[SKU]],Menu[],MATCH(OrderLines[[#Headers],[UnitPrice]],Menu[#Headers],0),FALSE)</f>
        <v>146.4</v>
      </c>
      <c r="E901" cm="1">
        <f t="array" ref="E901">VLOOKUP(OrderLines[[#This Row],[SKU]:[SKU]],Menu[],MATCH(OrderLines[[#Headers],[UnitCost]],Menu[#Headers],0),FALSE)</f>
        <v>80.92</v>
      </c>
      <c r="F901" t="str" cm="1">
        <f t="array" ref="F901">VLOOKUP(OrderLines[[#This Row],[SKU]:[SKU]],Menu[],MATCH(OrderLines[[#Headers],[Category]],Menu[#Headers],0),FALSE)</f>
        <v>Hot Meal</v>
      </c>
      <c r="G901" t="str" cm="1">
        <f t="array" ref="G901">_xlfn.TEXTJOIN("+",TRUE,_xlfn._xlws.SORT(_xlfn.UNIQUE(_xlfn._xlws.FILTER(OrderLines[Category],OrderLines[OrderID]=OrderLines[[#This Row],[OrderID]]))))</f>
        <v>Beverage+Hot Meal</v>
      </c>
      <c r="H901" s="2" cm="1">
        <f t="array" ref="H901">INT(VLOOKUP(OrderLines[[#This Row],[OrderID]:[OrderID]],Orders[],MATCH(OrderLines[[#Headers],[OrderDateTime]],Orders[#Headers],0),FALSE))</f>
        <v>45867</v>
      </c>
      <c r="I901" t="str" cm="1">
        <f t="array" ref="I901">VLOOKUP(OrderLines[[#This Row],[OrderID]:[OrderID]],Orders[],MATCH(OrderLines[[#Headers],[Branch]],Orders[#Headers],0),FALSE)</f>
        <v>Plant 2 Canteen</v>
      </c>
      <c r="J901" cm="1">
        <f t="array" ref="J901">VLOOKUP(OrderLines[[#This Row],[OrderID]:[OrderID]],Orders[],MATCH(OrderLines[[#Headers],[DiscountPct]],Orders[#Headers],0),FALSE)</f>
        <v>0.08</v>
      </c>
      <c r="K901" t="str" cm="1">
        <f t="array" ref="K901">VLOOKUP(OrderLines[[#This Row],[OrderID]:[OrderID]],Orders[],MATCH(OrderLines[[#Headers],[PaymentType]],Orders[#Headers],0),FALSE)</f>
        <v>UPI</v>
      </c>
      <c r="L901" t="str" cm="1">
        <f t="array" ref="L901">VLOOKUP(OrderLines[[#This Row],[OrderID]:[OrderID]],Orders[],MATCH(OrderLines[[#Headers],[Shift]],Orders[#Headers],0),FALSE)</f>
        <v>Breakfast</v>
      </c>
      <c r="M901" s="8">
        <f>(OrderLines[[#This Row],[Qty]]*OrderLines[[#This Row],[UnitPrice]])*(1-OrderLines[[#This Row],[DiscountPct]])</f>
        <v>269.37600000000003</v>
      </c>
      <c r="N901" t="str">
        <f>IF(AND(COUNTIFS(OrderLines[OrderID],OrderLines[[#This Row],[OrderID]],OrderLines[Category],"Hot Meal"),COUNTIFS(OrderLines[OrderID],OrderLines[[#This Row],[OrderID]],OrderLines[Category],"Beverage")),"Combo","Single")</f>
        <v>Combo</v>
      </c>
      <c r="O901" s="8" t="str" cm="1">
        <f t="array" ref="O901">IF(SUMPRODUCT(OrderLines[UnitPrice],OrderLines[Qty],OrderLines[DiscountPct],--(OrderLines[OrderID] = OrderLines[[#This Row],[OrderID]]))&gt;40,"High Discount","Ok")</f>
        <v>Ok</v>
      </c>
      <c r="P901">
        <f>OrderLines[[#This Row],[UnitCost]]*OrderLines[[#This Row],[Qty]]</f>
        <v>161.84</v>
      </c>
      <c r="Q901" s="8">
        <f>OrderLines[[#This Row],[LineNetAmount]]-OrderLines[[#This Row],[Food Cost]]</f>
        <v>107.53600000000003</v>
      </c>
    </row>
    <row r="902" spans="1:17" x14ac:dyDescent="0.3">
      <c r="A902" t="s">
        <v>387</v>
      </c>
      <c r="B902" t="s">
        <v>409</v>
      </c>
      <c r="C902">
        <v>1</v>
      </c>
      <c r="D902" cm="1">
        <f t="array" ref="D902">VLOOKUP(OrderLines[[#This Row],[SKU]:[SKU]],Menu[],MATCH(OrderLines[[#Headers],[UnitPrice]],Menu[#Headers],0),FALSE)</f>
        <v>28.43</v>
      </c>
      <c r="E902" cm="1">
        <f t="array" ref="E902">VLOOKUP(OrderLines[[#This Row],[SKU]:[SKU]],Menu[],MATCH(OrderLines[[#Headers],[UnitCost]],Menu[#Headers],0),FALSE)</f>
        <v>13.89</v>
      </c>
      <c r="F902" t="str" cm="1">
        <f t="array" ref="F902">VLOOKUP(OrderLines[[#This Row],[SKU]:[SKU]],Menu[],MATCH(OrderLines[[#Headers],[Category]],Menu[#Headers],0),FALSE)</f>
        <v>Beverage</v>
      </c>
      <c r="G902" t="str" cm="1">
        <f t="array" ref="G902">_xlfn.TEXTJOIN("+",TRUE,_xlfn._xlws.SORT(_xlfn.UNIQUE(_xlfn._xlws.FILTER(OrderLines[Category],OrderLines[OrderID]=OrderLines[[#This Row],[OrderID]]))))</f>
        <v>Beverage+Hot Meal</v>
      </c>
      <c r="H902" s="2" cm="1">
        <f t="array" ref="H902">INT(VLOOKUP(OrderLines[[#This Row],[OrderID]:[OrderID]],Orders[],MATCH(OrderLines[[#Headers],[OrderDateTime]],Orders[#Headers],0),FALSE))</f>
        <v>45867</v>
      </c>
      <c r="I902" t="str" cm="1">
        <f t="array" ref="I902">VLOOKUP(OrderLines[[#This Row],[OrderID]:[OrderID]],Orders[],MATCH(OrderLines[[#Headers],[Branch]],Orders[#Headers],0),FALSE)</f>
        <v>Plant 2 Canteen</v>
      </c>
      <c r="J902" cm="1">
        <f t="array" ref="J902">VLOOKUP(OrderLines[[#This Row],[OrderID]:[OrderID]],Orders[],MATCH(OrderLines[[#Headers],[DiscountPct]],Orders[#Headers],0),FALSE)</f>
        <v>0.08</v>
      </c>
      <c r="K902" t="str" cm="1">
        <f t="array" ref="K902">VLOOKUP(OrderLines[[#This Row],[OrderID]:[OrderID]],Orders[],MATCH(OrderLines[[#Headers],[PaymentType]],Orders[#Headers],0),FALSE)</f>
        <v>UPI</v>
      </c>
      <c r="L902" t="str" cm="1">
        <f t="array" ref="L902">VLOOKUP(OrderLines[[#This Row],[OrderID]:[OrderID]],Orders[],MATCH(OrderLines[[#Headers],[Shift]],Orders[#Headers],0),FALSE)</f>
        <v>Breakfast</v>
      </c>
      <c r="M902" s="8">
        <f>(OrderLines[[#This Row],[Qty]]*OrderLines[[#This Row],[UnitPrice]])*(1-OrderLines[[#This Row],[DiscountPct]])</f>
        <v>26.1556</v>
      </c>
      <c r="N902" t="str">
        <f>IF(AND(COUNTIFS(OrderLines[OrderID],OrderLines[[#This Row],[OrderID]],OrderLines[Category],"Hot Meal"),COUNTIFS(OrderLines[OrderID],OrderLines[[#This Row],[OrderID]],OrderLines[Category],"Beverage")),"Combo","Single")</f>
        <v>Combo</v>
      </c>
      <c r="O902" s="8" t="str" cm="1">
        <f t="array" ref="O902">IF(SUMPRODUCT(OrderLines[UnitPrice],OrderLines[Qty],OrderLines[DiscountPct],--(OrderLines[OrderID] = OrderLines[[#This Row],[OrderID]]))&gt;40,"High Discount","Ok")</f>
        <v>Ok</v>
      </c>
      <c r="P902">
        <f>OrderLines[[#This Row],[UnitCost]]*OrderLines[[#This Row],[Qty]]</f>
        <v>13.89</v>
      </c>
      <c r="Q902" s="8">
        <f>OrderLines[[#This Row],[LineNetAmount]]-OrderLines[[#This Row],[Food Cost]]</f>
        <v>12.265599999999999</v>
      </c>
    </row>
    <row r="903" spans="1:17" x14ac:dyDescent="0.3">
      <c r="A903" t="s">
        <v>388</v>
      </c>
      <c r="B903" t="s">
        <v>402</v>
      </c>
      <c r="C903">
        <v>2</v>
      </c>
      <c r="D903" cm="1">
        <f t="array" ref="D903">VLOOKUP(OrderLines[[#This Row],[SKU]:[SKU]],Menu[],MATCH(OrderLines[[#Headers],[UnitPrice]],Menu[#Headers],0),FALSE)</f>
        <v>30.34</v>
      </c>
      <c r="E903" cm="1">
        <f t="array" ref="E903">VLOOKUP(OrderLines[[#This Row],[SKU]:[SKU]],Menu[],MATCH(OrderLines[[#Headers],[UnitCost]],Menu[#Headers],0),FALSE)</f>
        <v>14.18</v>
      </c>
      <c r="F903" t="str" cm="1">
        <f t="array" ref="F903">VLOOKUP(OrderLines[[#This Row],[SKU]:[SKU]],Menu[],MATCH(OrderLines[[#Headers],[Category]],Menu[#Headers],0),FALSE)</f>
        <v>Beverage</v>
      </c>
      <c r="G903" t="str" cm="1">
        <f t="array" ref="G903">_xlfn.TEXTJOIN("+",TRUE,_xlfn._xlws.SORT(_xlfn.UNIQUE(_xlfn._xlws.FILTER(OrderLines[Category],OrderLines[OrderID]=OrderLines[[#This Row],[OrderID]]))))</f>
        <v>Beverage</v>
      </c>
      <c r="H903" s="2" cm="1">
        <f t="array" ref="H903">INT(VLOOKUP(OrderLines[[#This Row],[OrderID]:[OrderID]],Orders[],MATCH(OrderLines[[#Headers],[OrderDateTime]],Orders[#Headers],0),FALSE))</f>
        <v>45865</v>
      </c>
      <c r="I903" t="str" cm="1">
        <f t="array" ref="I903">VLOOKUP(OrderLines[[#This Row],[OrderID]:[OrderID]],Orders[],MATCH(OrderLines[[#Headers],[Branch]],Orders[#Headers],0),FALSE)</f>
        <v>Plant 1 Canteen</v>
      </c>
      <c r="J903" cm="1">
        <f t="array" ref="J903">VLOOKUP(OrderLines[[#This Row],[OrderID]:[OrderID]],Orders[],MATCH(OrderLines[[#Headers],[DiscountPct]],Orders[#Headers],0),FALSE)</f>
        <v>0.01</v>
      </c>
      <c r="K903" t="str" cm="1">
        <f t="array" ref="K903">VLOOKUP(OrderLines[[#This Row],[OrderID]:[OrderID]],Orders[],MATCH(OrderLines[[#Headers],[PaymentType]],Orders[#Headers],0),FALSE)</f>
        <v>Card</v>
      </c>
      <c r="L903" t="str" cm="1">
        <f t="array" ref="L903">VLOOKUP(OrderLines[[#This Row],[OrderID]:[OrderID]],Orders[],MATCH(OrderLines[[#Headers],[Shift]],Orders[#Headers],0),FALSE)</f>
        <v>Dinner</v>
      </c>
      <c r="M903" s="8">
        <f>(OrderLines[[#This Row],[Qty]]*OrderLines[[#This Row],[UnitPrice]])*(1-OrderLines[[#This Row],[DiscountPct]])</f>
        <v>60.0732</v>
      </c>
      <c r="N903" t="str">
        <f>IF(AND(COUNTIFS(OrderLines[OrderID],OrderLines[[#This Row],[OrderID]],OrderLines[Category],"Hot Meal"),COUNTIFS(OrderLines[OrderID],OrderLines[[#This Row],[OrderID]],OrderLines[Category],"Beverage")),"Combo","Single")</f>
        <v>Single</v>
      </c>
      <c r="O903" s="8" t="str" cm="1">
        <f t="array" ref="O903">IF(SUMPRODUCT(OrderLines[UnitPrice],OrderLines[Qty],OrderLines[DiscountPct],--(OrderLines[OrderID] = OrderLines[[#This Row],[OrderID]]))&gt;40,"High Discount","Ok")</f>
        <v>Ok</v>
      </c>
      <c r="P903">
        <f>OrderLines[[#This Row],[UnitCost]]*OrderLines[[#This Row],[Qty]]</f>
        <v>28.36</v>
      </c>
      <c r="Q903" s="8">
        <f>OrderLines[[#This Row],[LineNetAmount]]-OrderLines[[#This Row],[Food Cost]]</f>
        <v>31.713200000000001</v>
      </c>
    </row>
    <row r="904" spans="1:17" x14ac:dyDescent="0.3">
      <c r="A904" t="s">
        <v>389</v>
      </c>
      <c r="B904" t="s">
        <v>410</v>
      </c>
      <c r="C904">
        <v>1</v>
      </c>
      <c r="D904" cm="1">
        <f t="array" ref="D904">VLOOKUP(OrderLines[[#This Row],[SKU]:[SKU]],Menu[],MATCH(OrderLines[[#Headers],[UnitPrice]],Menu[#Headers],0),FALSE)</f>
        <v>20.11</v>
      </c>
      <c r="E904" cm="1">
        <f t="array" ref="E904">VLOOKUP(OrderLines[[#This Row],[SKU]:[SKU]],Menu[],MATCH(OrderLines[[#Headers],[UnitCost]],Menu[#Headers],0),FALSE)</f>
        <v>8</v>
      </c>
      <c r="F904" t="str" cm="1">
        <f t="array" ref="F904">VLOOKUP(OrderLines[[#This Row],[SKU]:[SKU]],Menu[],MATCH(OrderLines[[#Headers],[Category]],Menu[#Headers],0),FALSE)</f>
        <v>Beverage</v>
      </c>
      <c r="G904" t="str" cm="1">
        <f t="array" ref="G904">_xlfn.TEXTJOIN("+",TRUE,_xlfn._xlws.SORT(_xlfn.UNIQUE(_xlfn._xlws.FILTER(OrderLines[Category],OrderLines[OrderID]=OrderLines[[#This Row],[OrderID]]))))</f>
        <v>Beverage+Dessert+Snack</v>
      </c>
      <c r="H904" s="2" cm="1">
        <f t="array" ref="H904">INT(VLOOKUP(OrderLines[[#This Row],[OrderID]:[OrderID]],Orders[],MATCH(OrderLines[[#Headers],[OrderDateTime]],Orders[#Headers],0),FALSE))</f>
        <v>45881</v>
      </c>
      <c r="I904" t="str" cm="1">
        <f t="array" ref="I904">VLOOKUP(OrderLines[[#This Row],[OrderID]:[OrderID]],Orders[],MATCH(OrderLines[[#Headers],[Branch]],Orders[#Headers],0),FALSE)</f>
        <v>Plant 2 Canteen</v>
      </c>
      <c r="J904" cm="1">
        <f t="array" ref="J904">VLOOKUP(OrderLines[[#This Row],[OrderID]:[OrderID]],Orders[],MATCH(OrderLines[[#Headers],[DiscountPct]],Orders[#Headers],0),FALSE)</f>
        <v>0.13</v>
      </c>
      <c r="K904" t="str" cm="1">
        <f t="array" ref="K904">VLOOKUP(OrderLines[[#This Row],[OrderID]:[OrderID]],Orders[],MATCH(OrderLines[[#Headers],[PaymentType]],Orders[#Headers],0),FALSE)</f>
        <v>Cash</v>
      </c>
      <c r="L904" t="str" cm="1">
        <f t="array" ref="L904">VLOOKUP(OrderLines[[#This Row],[OrderID]:[OrderID]],Orders[],MATCH(OrderLines[[#Headers],[Shift]],Orders[#Headers],0),FALSE)</f>
        <v>Dinner</v>
      </c>
      <c r="M904" s="8">
        <f>(OrderLines[[#This Row],[Qty]]*OrderLines[[#This Row],[UnitPrice]])*(1-OrderLines[[#This Row],[DiscountPct]])</f>
        <v>17.495699999999999</v>
      </c>
      <c r="N904" t="str">
        <f>IF(AND(COUNTIFS(OrderLines[OrderID],OrderLines[[#This Row],[OrderID]],OrderLines[Category],"Hot Meal"),COUNTIFS(OrderLines[OrderID],OrderLines[[#This Row],[OrderID]],OrderLines[Category],"Beverage")),"Combo","Single")</f>
        <v>Single</v>
      </c>
      <c r="O904" s="8" t="str" cm="1">
        <f t="array" ref="O904">IF(SUMPRODUCT(OrderLines[UnitPrice],OrderLines[Qty],OrderLines[DiscountPct],--(OrderLines[OrderID] = OrderLines[[#This Row],[OrderID]]))&gt;40,"High Discount","Ok")</f>
        <v>Ok</v>
      </c>
      <c r="P904">
        <f>OrderLines[[#This Row],[UnitCost]]*OrderLines[[#This Row],[Qty]]</f>
        <v>8</v>
      </c>
      <c r="Q904" s="8">
        <f>OrderLines[[#This Row],[LineNetAmount]]-OrderLines[[#This Row],[Food Cost]]</f>
        <v>9.4956999999999994</v>
      </c>
    </row>
    <row r="905" spans="1:17" x14ac:dyDescent="0.3">
      <c r="A905" t="s">
        <v>389</v>
      </c>
      <c r="B905" t="s">
        <v>413</v>
      </c>
      <c r="C905">
        <v>2</v>
      </c>
      <c r="D905" cm="1">
        <f t="array" ref="D905">VLOOKUP(OrderLines[[#This Row],[SKU]:[SKU]],Menu[],MATCH(OrderLines[[#Headers],[UnitPrice]],Menu[#Headers],0),FALSE)</f>
        <v>54.2</v>
      </c>
      <c r="E905" cm="1">
        <f t="array" ref="E905">VLOOKUP(OrderLines[[#This Row],[SKU]:[SKU]],Menu[],MATCH(OrderLines[[#Headers],[UnitCost]],Menu[#Headers],0),FALSE)</f>
        <v>21.95</v>
      </c>
      <c r="F905" t="str" cm="1">
        <f t="array" ref="F905">VLOOKUP(OrderLines[[#This Row],[SKU]:[SKU]],Menu[],MATCH(OrderLines[[#Headers],[Category]],Menu[#Headers],0),FALSE)</f>
        <v>Dessert</v>
      </c>
      <c r="G905" t="str" cm="1">
        <f t="array" ref="G905">_xlfn.TEXTJOIN("+",TRUE,_xlfn._xlws.SORT(_xlfn.UNIQUE(_xlfn._xlws.FILTER(OrderLines[Category],OrderLines[OrderID]=OrderLines[[#This Row],[OrderID]]))))</f>
        <v>Beverage+Dessert+Snack</v>
      </c>
      <c r="H905" s="2" cm="1">
        <f t="array" ref="H905">INT(VLOOKUP(OrderLines[[#This Row],[OrderID]:[OrderID]],Orders[],MATCH(OrderLines[[#Headers],[OrderDateTime]],Orders[#Headers],0),FALSE))</f>
        <v>45881</v>
      </c>
      <c r="I905" t="str" cm="1">
        <f t="array" ref="I905">VLOOKUP(OrderLines[[#This Row],[OrderID]:[OrderID]],Orders[],MATCH(OrderLines[[#Headers],[Branch]],Orders[#Headers],0),FALSE)</f>
        <v>Plant 2 Canteen</v>
      </c>
      <c r="J905" cm="1">
        <f t="array" ref="J905">VLOOKUP(OrderLines[[#This Row],[OrderID]:[OrderID]],Orders[],MATCH(OrderLines[[#Headers],[DiscountPct]],Orders[#Headers],0),FALSE)</f>
        <v>0.13</v>
      </c>
      <c r="K905" t="str" cm="1">
        <f t="array" ref="K905">VLOOKUP(OrderLines[[#This Row],[OrderID]:[OrderID]],Orders[],MATCH(OrderLines[[#Headers],[PaymentType]],Orders[#Headers],0),FALSE)</f>
        <v>Cash</v>
      </c>
      <c r="L905" t="str" cm="1">
        <f t="array" ref="L905">VLOOKUP(OrderLines[[#This Row],[OrderID]:[OrderID]],Orders[],MATCH(OrderLines[[#Headers],[Shift]],Orders[#Headers],0),FALSE)</f>
        <v>Dinner</v>
      </c>
      <c r="M905" s="8">
        <f>(OrderLines[[#This Row],[Qty]]*OrderLines[[#This Row],[UnitPrice]])*(1-OrderLines[[#This Row],[DiscountPct]])</f>
        <v>94.308000000000007</v>
      </c>
      <c r="N905" t="str">
        <f>IF(AND(COUNTIFS(OrderLines[OrderID],OrderLines[[#This Row],[OrderID]],OrderLines[Category],"Hot Meal"),COUNTIFS(OrderLines[OrderID],OrderLines[[#This Row],[OrderID]],OrderLines[Category],"Beverage")),"Combo","Single")</f>
        <v>Single</v>
      </c>
      <c r="O905" s="8" t="str" cm="1">
        <f t="array" ref="O905">IF(SUMPRODUCT(OrderLines[UnitPrice],OrderLines[Qty],OrderLines[DiscountPct],--(OrderLines[OrderID] = OrderLines[[#This Row],[OrderID]]))&gt;40,"High Discount","Ok")</f>
        <v>Ok</v>
      </c>
      <c r="P905">
        <f>OrderLines[[#This Row],[UnitCost]]*OrderLines[[#This Row],[Qty]]</f>
        <v>43.9</v>
      </c>
      <c r="Q905" s="8">
        <f>OrderLines[[#This Row],[LineNetAmount]]-OrderLines[[#This Row],[Food Cost]]</f>
        <v>50.408000000000008</v>
      </c>
    </row>
    <row r="906" spans="1:17" x14ac:dyDescent="0.3">
      <c r="A906" t="s">
        <v>389</v>
      </c>
      <c r="B906" t="s">
        <v>402</v>
      </c>
      <c r="C906">
        <v>1</v>
      </c>
      <c r="D906" cm="1">
        <f t="array" ref="D906">VLOOKUP(OrderLines[[#This Row],[SKU]:[SKU]],Menu[],MATCH(OrderLines[[#Headers],[UnitPrice]],Menu[#Headers],0),FALSE)</f>
        <v>30.34</v>
      </c>
      <c r="E906" cm="1">
        <f t="array" ref="E906">VLOOKUP(OrderLines[[#This Row],[SKU]:[SKU]],Menu[],MATCH(OrderLines[[#Headers],[UnitCost]],Menu[#Headers],0),FALSE)</f>
        <v>14.18</v>
      </c>
      <c r="F906" t="str" cm="1">
        <f t="array" ref="F906">VLOOKUP(OrderLines[[#This Row],[SKU]:[SKU]],Menu[],MATCH(OrderLines[[#Headers],[Category]],Menu[#Headers],0),FALSE)</f>
        <v>Beverage</v>
      </c>
      <c r="G906" t="str" cm="1">
        <f t="array" ref="G906">_xlfn.TEXTJOIN("+",TRUE,_xlfn._xlws.SORT(_xlfn.UNIQUE(_xlfn._xlws.FILTER(OrderLines[Category],OrderLines[OrderID]=OrderLines[[#This Row],[OrderID]]))))</f>
        <v>Beverage+Dessert+Snack</v>
      </c>
      <c r="H906" s="2" cm="1">
        <f t="array" ref="H906">INT(VLOOKUP(OrderLines[[#This Row],[OrderID]:[OrderID]],Orders[],MATCH(OrderLines[[#Headers],[OrderDateTime]],Orders[#Headers],0),FALSE))</f>
        <v>45881</v>
      </c>
      <c r="I906" t="str" cm="1">
        <f t="array" ref="I906">VLOOKUP(OrderLines[[#This Row],[OrderID]:[OrderID]],Orders[],MATCH(OrderLines[[#Headers],[Branch]],Orders[#Headers],0),FALSE)</f>
        <v>Plant 2 Canteen</v>
      </c>
      <c r="J906" cm="1">
        <f t="array" ref="J906">VLOOKUP(OrderLines[[#This Row],[OrderID]:[OrderID]],Orders[],MATCH(OrderLines[[#Headers],[DiscountPct]],Orders[#Headers],0),FALSE)</f>
        <v>0.13</v>
      </c>
      <c r="K906" t="str" cm="1">
        <f t="array" ref="K906">VLOOKUP(OrderLines[[#This Row],[OrderID]:[OrderID]],Orders[],MATCH(OrderLines[[#Headers],[PaymentType]],Orders[#Headers],0),FALSE)</f>
        <v>Cash</v>
      </c>
      <c r="L906" t="str" cm="1">
        <f t="array" ref="L906">VLOOKUP(OrderLines[[#This Row],[OrderID]:[OrderID]],Orders[],MATCH(OrderLines[[#Headers],[Shift]],Orders[#Headers],0),FALSE)</f>
        <v>Dinner</v>
      </c>
      <c r="M906" s="8">
        <f>(OrderLines[[#This Row],[Qty]]*OrderLines[[#This Row],[UnitPrice]])*(1-OrderLines[[#This Row],[DiscountPct]])</f>
        <v>26.395800000000001</v>
      </c>
      <c r="N906" t="str">
        <f>IF(AND(COUNTIFS(OrderLines[OrderID],OrderLines[[#This Row],[OrderID]],OrderLines[Category],"Hot Meal"),COUNTIFS(OrderLines[OrderID],OrderLines[[#This Row],[OrderID]],OrderLines[Category],"Beverage")),"Combo","Single")</f>
        <v>Single</v>
      </c>
      <c r="O906" s="8" t="str" cm="1">
        <f t="array" ref="O906">IF(SUMPRODUCT(OrderLines[UnitPrice],OrderLines[Qty],OrderLines[DiscountPct],--(OrderLines[OrderID] = OrderLines[[#This Row],[OrderID]]))&gt;40,"High Discount","Ok")</f>
        <v>Ok</v>
      </c>
      <c r="P906">
        <f>OrderLines[[#This Row],[UnitCost]]*OrderLines[[#This Row],[Qty]]</f>
        <v>14.18</v>
      </c>
      <c r="Q906" s="8">
        <f>OrderLines[[#This Row],[LineNetAmount]]-OrderLines[[#This Row],[Food Cost]]</f>
        <v>12.215800000000002</v>
      </c>
    </row>
    <row r="907" spans="1:17" x14ac:dyDescent="0.3">
      <c r="A907" t="s">
        <v>389</v>
      </c>
      <c r="B907" t="s">
        <v>406</v>
      </c>
      <c r="C907">
        <v>2</v>
      </c>
      <c r="D907" cm="1">
        <f t="array" ref="D907">VLOOKUP(OrderLines[[#This Row],[SKU]:[SKU]],Menu[],MATCH(OrderLines[[#Headers],[UnitPrice]],Menu[#Headers],0),FALSE)</f>
        <v>38.06</v>
      </c>
      <c r="E907" cm="1">
        <f t="array" ref="E907">VLOOKUP(OrderLines[[#This Row],[SKU]:[SKU]],Menu[],MATCH(OrderLines[[#Headers],[UnitCost]],Menu[#Headers],0),FALSE)</f>
        <v>19.55</v>
      </c>
      <c r="F907" t="str" cm="1">
        <f t="array" ref="F907">VLOOKUP(OrderLines[[#This Row],[SKU]:[SKU]],Menu[],MATCH(OrderLines[[#Headers],[Category]],Menu[#Headers],0),FALSE)</f>
        <v>Snack</v>
      </c>
      <c r="G907" t="str" cm="1">
        <f t="array" ref="G907">_xlfn.TEXTJOIN("+",TRUE,_xlfn._xlws.SORT(_xlfn.UNIQUE(_xlfn._xlws.FILTER(OrderLines[Category],OrderLines[OrderID]=OrderLines[[#This Row],[OrderID]]))))</f>
        <v>Beverage+Dessert+Snack</v>
      </c>
      <c r="H907" s="2" cm="1">
        <f t="array" ref="H907">INT(VLOOKUP(OrderLines[[#This Row],[OrderID]:[OrderID]],Orders[],MATCH(OrderLines[[#Headers],[OrderDateTime]],Orders[#Headers],0),FALSE))</f>
        <v>45881</v>
      </c>
      <c r="I907" t="str" cm="1">
        <f t="array" ref="I907">VLOOKUP(OrderLines[[#This Row],[OrderID]:[OrderID]],Orders[],MATCH(OrderLines[[#Headers],[Branch]],Orders[#Headers],0),FALSE)</f>
        <v>Plant 2 Canteen</v>
      </c>
      <c r="J907" cm="1">
        <f t="array" ref="J907">VLOOKUP(OrderLines[[#This Row],[OrderID]:[OrderID]],Orders[],MATCH(OrderLines[[#Headers],[DiscountPct]],Orders[#Headers],0),FALSE)</f>
        <v>0.13</v>
      </c>
      <c r="K907" t="str" cm="1">
        <f t="array" ref="K907">VLOOKUP(OrderLines[[#This Row],[OrderID]:[OrderID]],Orders[],MATCH(OrderLines[[#Headers],[PaymentType]],Orders[#Headers],0),FALSE)</f>
        <v>Cash</v>
      </c>
      <c r="L907" t="str" cm="1">
        <f t="array" ref="L907">VLOOKUP(OrderLines[[#This Row],[OrderID]:[OrderID]],Orders[],MATCH(OrderLines[[#Headers],[Shift]],Orders[#Headers],0),FALSE)</f>
        <v>Dinner</v>
      </c>
      <c r="M907" s="8">
        <f>(OrderLines[[#This Row],[Qty]]*OrderLines[[#This Row],[UnitPrice]])*(1-OrderLines[[#This Row],[DiscountPct]])</f>
        <v>66.224400000000003</v>
      </c>
      <c r="N907" t="str">
        <f>IF(AND(COUNTIFS(OrderLines[OrderID],OrderLines[[#This Row],[OrderID]],OrderLines[Category],"Hot Meal"),COUNTIFS(OrderLines[OrderID],OrderLines[[#This Row],[OrderID]],OrderLines[Category],"Beverage")),"Combo","Single")</f>
        <v>Single</v>
      </c>
      <c r="O907" s="8" t="str" cm="1">
        <f t="array" ref="O907">IF(SUMPRODUCT(OrderLines[UnitPrice],OrderLines[Qty],OrderLines[DiscountPct],--(OrderLines[OrderID] = OrderLines[[#This Row],[OrderID]]))&gt;40,"High Discount","Ok")</f>
        <v>Ok</v>
      </c>
      <c r="P907">
        <f>OrderLines[[#This Row],[UnitCost]]*OrderLines[[#This Row],[Qty]]</f>
        <v>39.1</v>
      </c>
      <c r="Q907" s="8">
        <f>OrderLines[[#This Row],[LineNetAmount]]-OrderLines[[#This Row],[Food Cost]]</f>
        <v>27.124400000000001</v>
      </c>
    </row>
    <row r="908" spans="1:17" x14ac:dyDescent="0.3">
      <c r="A908" t="s">
        <v>390</v>
      </c>
      <c r="B908" t="s">
        <v>403</v>
      </c>
      <c r="C908">
        <v>3</v>
      </c>
      <c r="D908" cm="1">
        <f t="array" ref="D908">VLOOKUP(OrderLines[[#This Row],[SKU]:[SKU]],Menu[],MATCH(OrderLines[[#Headers],[UnitPrice]],Menu[#Headers],0),FALSE)</f>
        <v>76.55</v>
      </c>
      <c r="E908" cm="1">
        <f t="array" ref="E908">VLOOKUP(OrderLines[[#This Row],[SKU]:[SKU]],Menu[],MATCH(OrderLines[[#Headers],[UnitCost]],Menu[#Headers],0),FALSE)</f>
        <v>38.229999999999997</v>
      </c>
      <c r="F908" t="str" cm="1">
        <f t="array" ref="F908">VLOOKUP(OrderLines[[#This Row],[SKU]:[SKU]],Menu[],MATCH(OrderLines[[#Headers],[Category]],Menu[#Headers],0),FALSE)</f>
        <v>Dessert</v>
      </c>
      <c r="G908" t="str" cm="1">
        <f t="array" ref="G908">_xlfn.TEXTJOIN("+",TRUE,_xlfn._xlws.SORT(_xlfn.UNIQUE(_xlfn._xlws.FILTER(OrderLines[Category],OrderLines[OrderID]=OrderLines[[#This Row],[OrderID]]))))</f>
        <v>Dessert</v>
      </c>
      <c r="H908" s="2" cm="1">
        <f t="array" ref="H908">INT(VLOOKUP(OrderLines[[#This Row],[OrderID]:[OrderID]],Orders[],MATCH(OrderLines[[#Headers],[OrderDateTime]],Orders[#Headers],0),FALSE))</f>
        <v>45887</v>
      </c>
      <c r="I908" t="str" cm="1">
        <f t="array" ref="I908">VLOOKUP(OrderLines[[#This Row],[OrderID]:[OrderID]],Orders[],MATCH(OrderLines[[#Headers],[Branch]],Orders[#Headers],0),FALSE)</f>
        <v>Plant 2 Canteen</v>
      </c>
      <c r="J908" cm="1">
        <f t="array" ref="J908">VLOOKUP(OrderLines[[#This Row],[OrderID]:[OrderID]],Orders[],MATCH(OrderLines[[#Headers],[DiscountPct]],Orders[#Headers],0),FALSE)</f>
        <v>0.11</v>
      </c>
      <c r="K908" t="str" cm="1">
        <f t="array" ref="K908">VLOOKUP(OrderLines[[#This Row],[OrderID]:[OrderID]],Orders[],MATCH(OrderLines[[#Headers],[PaymentType]],Orders[#Headers],0),FALSE)</f>
        <v>Card</v>
      </c>
      <c r="L908" t="str" cm="1">
        <f t="array" ref="L908">VLOOKUP(OrderLines[[#This Row],[OrderID]:[OrderID]],Orders[],MATCH(OrderLines[[#Headers],[Shift]],Orders[#Headers],0),FALSE)</f>
        <v>Lunch</v>
      </c>
      <c r="M908" s="8">
        <f>(OrderLines[[#This Row],[Qty]]*OrderLines[[#This Row],[UnitPrice]])*(1-OrderLines[[#This Row],[DiscountPct]])</f>
        <v>204.38849999999999</v>
      </c>
      <c r="N908" t="str">
        <f>IF(AND(COUNTIFS(OrderLines[OrderID],OrderLines[[#This Row],[OrderID]],OrderLines[Category],"Hot Meal"),COUNTIFS(OrderLines[OrderID],OrderLines[[#This Row],[OrderID]],OrderLines[Category],"Beverage")),"Combo","Single")</f>
        <v>Single</v>
      </c>
      <c r="O908" s="8" t="str" cm="1">
        <f t="array" ref="O908">IF(SUMPRODUCT(OrderLines[UnitPrice],OrderLines[Qty],OrderLines[DiscountPct],--(OrderLines[OrderID] = OrderLines[[#This Row],[OrderID]]))&gt;40,"High Discount","Ok")</f>
        <v>Ok</v>
      </c>
      <c r="P908">
        <f>OrderLines[[#This Row],[UnitCost]]*OrderLines[[#This Row],[Qty]]</f>
        <v>114.69</v>
      </c>
      <c r="Q908" s="8">
        <f>OrderLines[[#This Row],[LineNetAmount]]-OrderLines[[#This Row],[Food Cost]]</f>
        <v>89.698499999999996</v>
      </c>
    </row>
    <row r="909" spans="1:17" x14ac:dyDescent="0.3">
      <c r="A909" t="s">
        <v>391</v>
      </c>
      <c r="B909" t="s">
        <v>403</v>
      </c>
      <c r="C909">
        <v>2</v>
      </c>
      <c r="D909" cm="1">
        <f t="array" ref="D909">VLOOKUP(OrderLines[[#This Row],[SKU]:[SKU]],Menu[],MATCH(OrderLines[[#Headers],[UnitPrice]],Menu[#Headers],0),FALSE)</f>
        <v>76.55</v>
      </c>
      <c r="E909" cm="1">
        <f t="array" ref="E909">VLOOKUP(OrderLines[[#This Row],[SKU]:[SKU]],Menu[],MATCH(OrderLines[[#Headers],[UnitCost]],Menu[#Headers],0),FALSE)</f>
        <v>38.229999999999997</v>
      </c>
      <c r="F909" t="str" cm="1">
        <f t="array" ref="F909">VLOOKUP(OrderLines[[#This Row],[SKU]:[SKU]],Menu[],MATCH(OrderLines[[#Headers],[Category]],Menu[#Headers],0),FALSE)</f>
        <v>Dessert</v>
      </c>
      <c r="G909" t="str" cm="1">
        <f t="array" ref="G909">_xlfn.TEXTJOIN("+",TRUE,_xlfn._xlws.SORT(_xlfn.UNIQUE(_xlfn._xlws.FILTER(OrderLines[Category],OrderLines[OrderID]=OrderLines[[#This Row],[OrderID]]))))</f>
        <v>Dessert+Snack</v>
      </c>
      <c r="H909" s="2" cm="1">
        <f t="array" ref="H909">INT(VLOOKUP(OrderLines[[#This Row],[OrderID]:[OrderID]],Orders[],MATCH(OrderLines[[#Headers],[OrderDateTime]],Orders[#Headers],0),FALSE))</f>
        <v>45880</v>
      </c>
      <c r="I909" t="str" cm="1">
        <f t="array" ref="I909">VLOOKUP(OrderLines[[#This Row],[OrderID]:[OrderID]],Orders[],MATCH(OrderLines[[#Headers],[Branch]],Orders[#Headers],0),FALSE)</f>
        <v>Plant 1 Canteen</v>
      </c>
      <c r="J909" cm="1">
        <f t="array" ref="J909">VLOOKUP(OrderLines[[#This Row],[OrderID]:[OrderID]],Orders[],MATCH(OrderLines[[#Headers],[DiscountPct]],Orders[#Headers],0),FALSE)</f>
        <v>0.04</v>
      </c>
      <c r="K909" t="str" cm="1">
        <f t="array" ref="K909">VLOOKUP(OrderLines[[#This Row],[OrderID]:[OrderID]],Orders[],MATCH(OrderLines[[#Headers],[PaymentType]],Orders[#Headers],0),FALSE)</f>
        <v>UPI</v>
      </c>
      <c r="L909" t="str" cm="1">
        <f t="array" ref="L909">VLOOKUP(OrderLines[[#This Row],[OrderID]:[OrderID]],Orders[],MATCH(OrderLines[[#Headers],[Shift]],Orders[#Headers],0),FALSE)</f>
        <v>Lunch</v>
      </c>
      <c r="M909" s="8">
        <f>(OrderLines[[#This Row],[Qty]]*OrderLines[[#This Row],[UnitPrice]])*(1-OrderLines[[#This Row],[DiscountPct]])</f>
        <v>146.976</v>
      </c>
      <c r="N909" t="str">
        <f>IF(AND(COUNTIFS(OrderLines[OrderID],OrderLines[[#This Row],[OrderID]],OrderLines[Category],"Hot Meal"),COUNTIFS(OrderLines[OrderID],OrderLines[[#This Row],[OrderID]],OrderLines[Category],"Beverage")),"Combo","Single")</f>
        <v>Single</v>
      </c>
      <c r="O909" s="8" t="str" cm="1">
        <f t="array" ref="O909">IF(SUMPRODUCT(OrderLines[UnitPrice],OrderLines[Qty],OrderLines[DiscountPct],--(OrderLines[OrderID] = OrderLines[[#This Row],[OrderID]]))&gt;40,"High Discount","Ok")</f>
        <v>Ok</v>
      </c>
      <c r="P909">
        <f>OrderLines[[#This Row],[UnitCost]]*OrderLines[[#This Row],[Qty]]</f>
        <v>76.459999999999994</v>
      </c>
      <c r="Q909" s="8">
        <f>OrderLines[[#This Row],[LineNetAmount]]-OrderLines[[#This Row],[Food Cost]]</f>
        <v>70.516000000000005</v>
      </c>
    </row>
    <row r="910" spans="1:17" x14ac:dyDescent="0.3">
      <c r="A910" t="s">
        <v>391</v>
      </c>
      <c r="B910" t="s">
        <v>406</v>
      </c>
      <c r="C910">
        <v>1</v>
      </c>
      <c r="D910" cm="1">
        <f t="array" ref="D910">VLOOKUP(OrderLines[[#This Row],[SKU]:[SKU]],Menu[],MATCH(OrderLines[[#Headers],[UnitPrice]],Menu[#Headers],0),FALSE)</f>
        <v>38.06</v>
      </c>
      <c r="E910" cm="1">
        <f t="array" ref="E910">VLOOKUP(OrderLines[[#This Row],[SKU]:[SKU]],Menu[],MATCH(OrderLines[[#Headers],[UnitCost]],Menu[#Headers],0),FALSE)</f>
        <v>19.55</v>
      </c>
      <c r="F910" t="str" cm="1">
        <f t="array" ref="F910">VLOOKUP(OrderLines[[#This Row],[SKU]:[SKU]],Menu[],MATCH(OrderLines[[#Headers],[Category]],Menu[#Headers],0),FALSE)</f>
        <v>Snack</v>
      </c>
      <c r="G910" t="str" cm="1">
        <f t="array" ref="G910">_xlfn.TEXTJOIN("+",TRUE,_xlfn._xlws.SORT(_xlfn.UNIQUE(_xlfn._xlws.FILTER(OrderLines[Category],OrderLines[OrderID]=OrderLines[[#This Row],[OrderID]]))))</f>
        <v>Dessert+Snack</v>
      </c>
      <c r="H910" s="2" cm="1">
        <f t="array" ref="H910">INT(VLOOKUP(OrderLines[[#This Row],[OrderID]:[OrderID]],Orders[],MATCH(OrderLines[[#Headers],[OrderDateTime]],Orders[#Headers],0),FALSE))</f>
        <v>45880</v>
      </c>
      <c r="I910" t="str" cm="1">
        <f t="array" ref="I910">VLOOKUP(OrderLines[[#This Row],[OrderID]:[OrderID]],Orders[],MATCH(OrderLines[[#Headers],[Branch]],Orders[#Headers],0),FALSE)</f>
        <v>Plant 1 Canteen</v>
      </c>
      <c r="J910" cm="1">
        <f t="array" ref="J910">VLOOKUP(OrderLines[[#This Row],[OrderID]:[OrderID]],Orders[],MATCH(OrderLines[[#Headers],[DiscountPct]],Orders[#Headers],0),FALSE)</f>
        <v>0.04</v>
      </c>
      <c r="K910" t="str" cm="1">
        <f t="array" ref="K910">VLOOKUP(OrderLines[[#This Row],[OrderID]:[OrderID]],Orders[],MATCH(OrderLines[[#Headers],[PaymentType]],Orders[#Headers],0),FALSE)</f>
        <v>UPI</v>
      </c>
      <c r="L910" t="str" cm="1">
        <f t="array" ref="L910">VLOOKUP(OrderLines[[#This Row],[OrderID]:[OrderID]],Orders[],MATCH(OrderLines[[#Headers],[Shift]],Orders[#Headers],0),FALSE)</f>
        <v>Lunch</v>
      </c>
      <c r="M910" s="8">
        <f>(OrderLines[[#This Row],[Qty]]*OrderLines[[#This Row],[UnitPrice]])*(1-OrderLines[[#This Row],[DiscountPct]])</f>
        <v>36.537599999999998</v>
      </c>
      <c r="N910" t="str">
        <f>IF(AND(COUNTIFS(OrderLines[OrderID],OrderLines[[#This Row],[OrderID]],OrderLines[Category],"Hot Meal"),COUNTIFS(OrderLines[OrderID],OrderLines[[#This Row],[OrderID]],OrderLines[Category],"Beverage")),"Combo","Single")</f>
        <v>Single</v>
      </c>
      <c r="O910" s="8" t="str" cm="1">
        <f t="array" ref="O910">IF(SUMPRODUCT(OrderLines[UnitPrice],OrderLines[Qty],OrderLines[DiscountPct],--(OrderLines[OrderID] = OrderLines[[#This Row],[OrderID]]))&gt;40,"High Discount","Ok")</f>
        <v>Ok</v>
      </c>
      <c r="P910">
        <f>OrderLines[[#This Row],[UnitCost]]*OrderLines[[#This Row],[Qty]]</f>
        <v>19.55</v>
      </c>
      <c r="Q910" s="8">
        <f>OrderLines[[#This Row],[LineNetAmount]]-OrderLines[[#This Row],[Food Cost]]</f>
        <v>16.987599999999997</v>
      </c>
    </row>
    <row r="911" spans="1:17" x14ac:dyDescent="0.3">
      <c r="A911" t="s">
        <v>392</v>
      </c>
      <c r="B911" t="s">
        <v>412</v>
      </c>
      <c r="C911">
        <v>1</v>
      </c>
      <c r="D911" cm="1">
        <f t="array" ref="D911">VLOOKUP(OrderLines[[#This Row],[SKU]:[SKU]],Menu[],MATCH(OrderLines[[#Headers],[UnitPrice]],Menu[#Headers],0),FALSE)</f>
        <v>57.07</v>
      </c>
      <c r="E911" cm="1">
        <f t="array" ref="E911">VLOOKUP(OrderLines[[#This Row],[SKU]:[SKU]],Menu[],MATCH(OrderLines[[#Headers],[UnitCost]],Menu[#Headers],0),FALSE)</f>
        <v>29.14</v>
      </c>
      <c r="F911" t="str" cm="1">
        <f t="array" ref="F911">VLOOKUP(OrderLines[[#This Row],[SKU]:[SKU]],Menu[],MATCH(OrderLines[[#Headers],[Category]],Menu[#Headers],0),FALSE)</f>
        <v>Dessert</v>
      </c>
      <c r="G911" t="str" cm="1">
        <f t="array" ref="G911">_xlfn.TEXTJOIN("+",TRUE,_xlfn._xlws.SORT(_xlfn.UNIQUE(_xlfn._xlws.FILTER(OrderLines[Category],OrderLines[OrderID]=OrderLines[[#This Row],[OrderID]]))))</f>
        <v>Beverage+Dessert</v>
      </c>
      <c r="H911" s="2" cm="1">
        <f t="array" ref="H911">INT(VLOOKUP(OrderLines[[#This Row],[OrderID]:[OrderID]],Orders[],MATCH(OrderLines[[#Headers],[OrderDateTime]],Orders[#Headers],0),FALSE))</f>
        <v>45892</v>
      </c>
      <c r="I911" t="str" cm="1">
        <f t="array" ref="I911">VLOOKUP(OrderLines[[#This Row],[OrderID]:[OrderID]],Orders[],MATCH(OrderLines[[#Headers],[Branch]],Orders[#Headers],0),FALSE)</f>
        <v>Plant 2 Canteen</v>
      </c>
      <c r="J911" cm="1">
        <f t="array" ref="J911">VLOOKUP(OrderLines[[#This Row],[OrderID]:[OrderID]],Orders[],MATCH(OrderLines[[#Headers],[DiscountPct]],Orders[#Headers],0),FALSE)</f>
        <v>0</v>
      </c>
      <c r="K911" t="str" cm="1">
        <f t="array" ref="K911">VLOOKUP(OrderLines[[#This Row],[OrderID]:[OrderID]],Orders[],MATCH(OrderLines[[#Headers],[PaymentType]],Orders[#Headers],0),FALSE)</f>
        <v>Cash</v>
      </c>
      <c r="L911" t="str" cm="1">
        <f t="array" ref="L911">VLOOKUP(OrderLines[[#This Row],[OrderID]:[OrderID]],Orders[],MATCH(OrderLines[[#Headers],[Shift]],Orders[#Headers],0),FALSE)</f>
        <v>Breakfast</v>
      </c>
      <c r="M911" s="8">
        <f>(OrderLines[[#This Row],[Qty]]*OrderLines[[#This Row],[UnitPrice]])*(1-OrderLines[[#This Row],[DiscountPct]])</f>
        <v>57.07</v>
      </c>
      <c r="N911" t="str">
        <f>IF(AND(COUNTIFS(OrderLines[OrderID],OrderLines[[#This Row],[OrderID]],OrderLines[Category],"Hot Meal"),COUNTIFS(OrderLines[OrderID],OrderLines[[#This Row],[OrderID]],OrderLines[Category],"Beverage")),"Combo","Single")</f>
        <v>Single</v>
      </c>
      <c r="O911" s="8" t="str" cm="1">
        <f t="array" ref="O911">IF(SUMPRODUCT(OrderLines[UnitPrice],OrderLines[Qty],OrderLines[DiscountPct],--(OrderLines[OrderID] = OrderLines[[#This Row],[OrderID]]))&gt;40,"High Discount","Ok")</f>
        <v>Ok</v>
      </c>
      <c r="P911">
        <f>OrderLines[[#This Row],[UnitCost]]*OrderLines[[#This Row],[Qty]]</f>
        <v>29.14</v>
      </c>
      <c r="Q911" s="8">
        <f>OrderLines[[#This Row],[LineNetAmount]]-OrderLines[[#This Row],[Food Cost]]</f>
        <v>27.93</v>
      </c>
    </row>
    <row r="912" spans="1:17" x14ac:dyDescent="0.3">
      <c r="A912" t="s">
        <v>392</v>
      </c>
      <c r="B912" t="s">
        <v>402</v>
      </c>
      <c r="C912">
        <v>1</v>
      </c>
      <c r="D912" cm="1">
        <f t="array" ref="D912">VLOOKUP(OrderLines[[#This Row],[SKU]:[SKU]],Menu[],MATCH(OrderLines[[#Headers],[UnitPrice]],Menu[#Headers],0),FALSE)</f>
        <v>30.34</v>
      </c>
      <c r="E912" cm="1">
        <f t="array" ref="E912">VLOOKUP(OrderLines[[#This Row],[SKU]:[SKU]],Menu[],MATCH(OrderLines[[#Headers],[UnitCost]],Menu[#Headers],0),FALSE)</f>
        <v>14.18</v>
      </c>
      <c r="F912" t="str" cm="1">
        <f t="array" ref="F912">VLOOKUP(OrderLines[[#This Row],[SKU]:[SKU]],Menu[],MATCH(OrderLines[[#Headers],[Category]],Menu[#Headers],0),FALSE)</f>
        <v>Beverage</v>
      </c>
      <c r="G912" t="str" cm="1">
        <f t="array" ref="G912">_xlfn.TEXTJOIN("+",TRUE,_xlfn._xlws.SORT(_xlfn.UNIQUE(_xlfn._xlws.FILTER(OrderLines[Category],OrderLines[OrderID]=OrderLines[[#This Row],[OrderID]]))))</f>
        <v>Beverage+Dessert</v>
      </c>
      <c r="H912" s="2" cm="1">
        <f t="array" ref="H912">INT(VLOOKUP(OrderLines[[#This Row],[OrderID]:[OrderID]],Orders[],MATCH(OrderLines[[#Headers],[OrderDateTime]],Orders[#Headers],0),FALSE))</f>
        <v>45892</v>
      </c>
      <c r="I912" t="str" cm="1">
        <f t="array" ref="I912">VLOOKUP(OrderLines[[#This Row],[OrderID]:[OrderID]],Orders[],MATCH(OrderLines[[#Headers],[Branch]],Orders[#Headers],0),FALSE)</f>
        <v>Plant 2 Canteen</v>
      </c>
      <c r="J912" cm="1">
        <f t="array" ref="J912">VLOOKUP(OrderLines[[#This Row],[OrderID]:[OrderID]],Orders[],MATCH(OrderLines[[#Headers],[DiscountPct]],Orders[#Headers],0),FALSE)</f>
        <v>0</v>
      </c>
      <c r="K912" t="str" cm="1">
        <f t="array" ref="K912">VLOOKUP(OrderLines[[#This Row],[OrderID]:[OrderID]],Orders[],MATCH(OrderLines[[#Headers],[PaymentType]],Orders[#Headers],0),FALSE)</f>
        <v>Cash</v>
      </c>
      <c r="L912" t="str" cm="1">
        <f t="array" ref="L912">VLOOKUP(OrderLines[[#This Row],[OrderID]:[OrderID]],Orders[],MATCH(OrderLines[[#Headers],[Shift]],Orders[#Headers],0),FALSE)</f>
        <v>Breakfast</v>
      </c>
      <c r="M912" s="8">
        <f>(OrderLines[[#This Row],[Qty]]*OrderLines[[#This Row],[UnitPrice]])*(1-OrderLines[[#This Row],[DiscountPct]])</f>
        <v>30.34</v>
      </c>
      <c r="N912" t="str">
        <f>IF(AND(COUNTIFS(OrderLines[OrderID],OrderLines[[#This Row],[OrderID]],OrderLines[Category],"Hot Meal"),COUNTIFS(OrderLines[OrderID],OrderLines[[#This Row],[OrderID]],OrderLines[Category],"Beverage")),"Combo","Single")</f>
        <v>Single</v>
      </c>
      <c r="O912" s="8" t="str" cm="1">
        <f t="array" ref="O912">IF(SUMPRODUCT(OrderLines[UnitPrice],OrderLines[Qty],OrderLines[DiscountPct],--(OrderLines[OrderID] = OrderLines[[#This Row],[OrderID]]))&gt;40,"High Discount","Ok")</f>
        <v>Ok</v>
      </c>
      <c r="P912">
        <f>OrderLines[[#This Row],[UnitCost]]*OrderLines[[#This Row],[Qty]]</f>
        <v>14.18</v>
      </c>
      <c r="Q912" s="8">
        <f>OrderLines[[#This Row],[LineNetAmount]]-OrderLines[[#This Row],[Food Cost]]</f>
        <v>16.16</v>
      </c>
    </row>
    <row r="913" spans="1:17" x14ac:dyDescent="0.3">
      <c r="A913" t="s">
        <v>393</v>
      </c>
      <c r="B913" t="s">
        <v>419</v>
      </c>
      <c r="C913">
        <v>2</v>
      </c>
      <c r="D913" cm="1">
        <f t="array" ref="D913">VLOOKUP(OrderLines[[#This Row],[SKU]:[SKU]],Menu[],MATCH(OrderLines[[#Headers],[UnitPrice]],Menu[#Headers],0),FALSE)</f>
        <v>50.19</v>
      </c>
      <c r="E913" cm="1">
        <f t="array" ref="E913">VLOOKUP(OrderLines[[#This Row],[SKU]:[SKU]],Menu[],MATCH(OrderLines[[#Headers],[UnitCost]],Menu[#Headers],0),FALSE)</f>
        <v>22.61</v>
      </c>
      <c r="F913" t="str" cm="1">
        <f t="array" ref="F913">VLOOKUP(OrderLines[[#This Row],[SKU]:[SKU]],Menu[],MATCH(OrderLines[[#Headers],[Category]],Menu[#Headers],0),FALSE)</f>
        <v>Snack</v>
      </c>
      <c r="G913" t="str" cm="1">
        <f t="array" ref="G913">_xlfn.TEXTJOIN("+",TRUE,_xlfn._xlws.SORT(_xlfn.UNIQUE(_xlfn._xlws.FILTER(OrderLines[Category],OrderLines[OrderID]=OrderLines[[#This Row],[OrderID]]))))</f>
        <v>Beverage+Hot Meal+Snack</v>
      </c>
      <c r="H913" s="2" cm="1">
        <f t="array" ref="H913">INT(VLOOKUP(OrderLines[[#This Row],[OrderID]:[OrderID]],Orders[],MATCH(OrderLines[[#Headers],[OrderDateTime]],Orders[#Headers],0),FALSE))</f>
        <v>45871</v>
      </c>
      <c r="I913" t="str" cm="1">
        <f t="array" ref="I913">VLOOKUP(OrderLines[[#This Row],[OrderID]:[OrderID]],Orders[],MATCH(OrderLines[[#Headers],[Branch]],Orders[#Headers],0),FALSE)</f>
        <v>Head Office Café</v>
      </c>
      <c r="J913" cm="1">
        <f t="array" ref="J913">VLOOKUP(OrderLines[[#This Row],[OrderID]:[OrderID]],Orders[],MATCH(OrderLines[[#Headers],[DiscountPct]],Orders[#Headers],0),FALSE)</f>
        <v>0.11</v>
      </c>
      <c r="K913" t="str" cm="1">
        <f t="array" ref="K913">VLOOKUP(OrderLines[[#This Row],[OrderID]:[OrderID]],Orders[],MATCH(OrderLines[[#Headers],[PaymentType]],Orders[#Headers],0),FALSE)</f>
        <v>Card</v>
      </c>
      <c r="L913" t="str" cm="1">
        <f t="array" ref="L913">VLOOKUP(OrderLines[[#This Row],[OrderID]:[OrderID]],Orders[],MATCH(OrderLines[[#Headers],[Shift]],Orders[#Headers],0),FALSE)</f>
        <v>Breakfast</v>
      </c>
      <c r="M913" s="8">
        <f>(OrderLines[[#This Row],[Qty]]*OrderLines[[#This Row],[UnitPrice]])*(1-OrderLines[[#This Row],[DiscountPct]])</f>
        <v>89.338200000000001</v>
      </c>
      <c r="N913" t="str">
        <f>IF(AND(COUNTIFS(OrderLines[OrderID],OrderLines[[#This Row],[OrderID]],OrderLines[Category],"Hot Meal"),COUNTIFS(OrderLines[OrderID],OrderLines[[#This Row],[OrderID]],OrderLines[Category],"Beverage")),"Combo","Single")</f>
        <v>Combo</v>
      </c>
      <c r="O913" s="8" t="str" cm="1">
        <f t="array" ref="O913">IF(SUMPRODUCT(OrderLines[UnitPrice],OrderLines[Qty],OrderLines[DiscountPct],--(OrderLines[OrderID] = OrderLines[[#This Row],[OrderID]]))&gt;40,"High Discount","Ok")</f>
        <v>High Discount</v>
      </c>
      <c r="P913">
        <f>OrderLines[[#This Row],[UnitCost]]*OrderLines[[#This Row],[Qty]]</f>
        <v>45.22</v>
      </c>
      <c r="Q913" s="8">
        <f>OrderLines[[#This Row],[LineNetAmount]]-OrderLines[[#This Row],[Food Cost]]</f>
        <v>44.118200000000002</v>
      </c>
    </row>
    <row r="914" spans="1:17" x14ac:dyDescent="0.3">
      <c r="A914" t="s">
        <v>393</v>
      </c>
      <c r="B914" t="s">
        <v>416</v>
      </c>
      <c r="C914">
        <v>2</v>
      </c>
      <c r="D914" cm="1">
        <f t="array" ref="D914">VLOOKUP(OrderLines[[#This Row],[SKU]:[SKU]],Menu[],MATCH(OrderLines[[#Headers],[UnitPrice]],Menu[#Headers],0),FALSE)</f>
        <v>227.61</v>
      </c>
      <c r="E914" cm="1">
        <f t="array" ref="E914">VLOOKUP(OrderLines[[#This Row],[SKU]:[SKU]],Menu[],MATCH(OrderLines[[#Headers],[UnitCost]],Menu[#Headers],0),FALSE)</f>
        <v>96.22</v>
      </c>
      <c r="F914" t="str" cm="1">
        <f t="array" ref="F914">VLOOKUP(OrderLines[[#This Row],[SKU]:[SKU]],Menu[],MATCH(OrderLines[[#Headers],[Category]],Menu[#Headers],0),FALSE)</f>
        <v>Hot Meal</v>
      </c>
      <c r="G914" t="str" cm="1">
        <f t="array" ref="G914">_xlfn.TEXTJOIN("+",TRUE,_xlfn._xlws.SORT(_xlfn.UNIQUE(_xlfn._xlws.FILTER(OrderLines[Category],OrderLines[OrderID]=OrderLines[[#This Row],[OrderID]]))))</f>
        <v>Beverage+Hot Meal+Snack</v>
      </c>
      <c r="H914" s="2" cm="1">
        <f t="array" ref="H914">INT(VLOOKUP(OrderLines[[#This Row],[OrderID]:[OrderID]],Orders[],MATCH(OrderLines[[#Headers],[OrderDateTime]],Orders[#Headers],0),FALSE))</f>
        <v>45871</v>
      </c>
      <c r="I914" t="str" cm="1">
        <f t="array" ref="I914">VLOOKUP(OrderLines[[#This Row],[OrderID]:[OrderID]],Orders[],MATCH(OrderLines[[#Headers],[Branch]],Orders[#Headers],0),FALSE)</f>
        <v>Head Office Café</v>
      </c>
      <c r="J914" cm="1">
        <f t="array" ref="J914">VLOOKUP(OrderLines[[#This Row],[OrderID]:[OrderID]],Orders[],MATCH(OrderLines[[#Headers],[DiscountPct]],Orders[#Headers],0),FALSE)</f>
        <v>0.11</v>
      </c>
      <c r="K914" t="str" cm="1">
        <f t="array" ref="K914">VLOOKUP(OrderLines[[#This Row],[OrderID]:[OrderID]],Orders[],MATCH(OrderLines[[#Headers],[PaymentType]],Orders[#Headers],0),FALSE)</f>
        <v>Card</v>
      </c>
      <c r="L914" t="str" cm="1">
        <f t="array" ref="L914">VLOOKUP(OrderLines[[#This Row],[OrderID]:[OrderID]],Orders[],MATCH(OrderLines[[#Headers],[Shift]],Orders[#Headers],0),FALSE)</f>
        <v>Breakfast</v>
      </c>
      <c r="M914" s="8">
        <f>(OrderLines[[#This Row],[Qty]]*OrderLines[[#This Row],[UnitPrice]])*(1-OrderLines[[#This Row],[DiscountPct]])</f>
        <v>405.14580000000001</v>
      </c>
      <c r="N914" t="str">
        <f>IF(AND(COUNTIFS(OrderLines[OrderID],OrderLines[[#This Row],[OrderID]],OrderLines[Category],"Hot Meal"),COUNTIFS(OrderLines[OrderID],OrderLines[[#This Row],[OrderID]],OrderLines[Category],"Beverage")),"Combo","Single")</f>
        <v>Combo</v>
      </c>
      <c r="O914" s="8" t="str" cm="1">
        <f t="array" ref="O914">IF(SUMPRODUCT(OrderLines[UnitPrice],OrderLines[Qty],OrderLines[DiscountPct],--(OrderLines[OrderID] = OrderLines[[#This Row],[OrderID]]))&gt;40,"High Discount","Ok")</f>
        <v>High Discount</v>
      </c>
      <c r="P914">
        <f>OrderLines[[#This Row],[UnitCost]]*OrderLines[[#This Row],[Qty]]</f>
        <v>192.44</v>
      </c>
      <c r="Q914" s="8">
        <f>OrderLines[[#This Row],[LineNetAmount]]-OrderLines[[#This Row],[Food Cost]]</f>
        <v>212.70580000000001</v>
      </c>
    </row>
    <row r="915" spans="1:17" x14ac:dyDescent="0.3">
      <c r="A915" t="s">
        <v>393</v>
      </c>
      <c r="B915" t="s">
        <v>405</v>
      </c>
      <c r="C915">
        <v>1</v>
      </c>
      <c r="D915" cm="1">
        <f t="array" ref="D915">VLOOKUP(OrderLines[[#This Row],[SKU]:[SKU]],Menu[],MATCH(OrderLines[[#Headers],[UnitPrice]],Menu[#Headers],0),FALSE)</f>
        <v>170.83</v>
      </c>
      <c r="E915" cm="1">
        <f t="array" ref="E915">VLOOKUP(OrderLines[[#This Row],[SKU]:[SKU]],Menu[],MATCH(OrderLines[[#Headers],[UnitCost]],Menu[#Headers],0),FALSE)</f>
        <v>74.069999999999993</v>
      </c>
      <c r="F915" t="str" cm="1">
        <f t="array" ref="F915">VLOOKUP(OrderLines[[#This Row],[SKU]:[SKU]],Menu[],MATCH(OrderLines[[#Headers],[Category]],Menu[#Headers],0),FALSE)</f>
        <v>Hot Meal</v>
      </c>
      <c r="G915" t="str" cm="1">
        <f t="array" ref="G915">_xlfn.TEXTJOIN("+",TRUE,_xlfn._xlws.SORT(_xlfn.UNIQUE(_xlfn._xlws.FILTER(OrderLines[Category],OrderLines[OrderID]=OrderLines[[#This Row],[OrderID]]))))</f>
        <v>Beverage+Hot Meal+Snack</v>
      </c>
      <c r="H915" s="2" cm="1">
        <f t="array" ref="H915">INT(VLOOKUP(OrderLines[[#This Row],[OrderID]:[OrderID]],Orders[],MATCH(OrderLines[[#Headers],[OrderDateTime]],Orders[#Headers],0),FALSE))</f>
        <v>45871</v>
      </c>
      <c r="I915" t="str" cm="1">
        <f t="array" ref="I915">VLOOKUP(OrderLines[[#This Row],[OrderID]:[OrderID]],Orders[],MATCH(OrderLines[[#Headers],[Branch]],Orders[#Headers],0),FALSE)</f>
        <v>Head Office Café</v>
      </c>
      <c r="J915" cm="1">
        <f t="array" ref="J915">VLOOKUP(OrderLines[[#This Row],[OrderID]:[OrderID]],Orders[],MATCH(OrderLines[[#Headers],[DiscountPct]],Orders[#Headers],0),FALSE)</f>
        <v>0.11</v>
      </c>
      <c r="K915" t="str" cm="1">
        <f t="array" ref="K915">VLOOKUP(OrderLines[[#This Row],[OrderID]:[OrderID]],Orders[],MATCH(OrderLines[[#Headers],[PaymentType]],Orders[#Headers],0),FALSE)</f>
        <v>Card</v>
      </c>
      <c r="L915" t="str" cm="1">
        <f t="array" ref="L915">VLOOKUP(OrderLines[[#This Row],[OrderID]:[OrderID]],Orders[],MATCH(OrderLines[[#Headers],[Shift]],Orders[#Headers],0),FALSE)</f>
        <v>Breakfast</v>
      </c>
      <c r="M915" s="8">
        <f>(OrderLines[[#This Row],[Qty]]*OrderLines[[#This Row],[UnitPrice]])*(1-OrderLines[[#This Row],[DiscountPct]])</f>
        <v>152.03870000000001</v>
      </c>
      <c r="N915" t="str">
        <f>IF(AND(COUNTIFS(OrderLines[OrderID],OrderLines[[#This Row],[OrderID]],OrderLines[Category],"Hot Meal"),COUNTIFS(OrderLines[OrderID],OrderLines[[#This Row],[OrderID]],OrderLines[Category],"Beverage")),"Combo","Single")</f>
        <v>Combo</v>
      </c>
      <c r="O915" s="8" t="str" cm="1">
        <f t="array" ref="O915">IF(SUMPRODUCT(OrderLines[UnitPrice],OrderLines[Qty],OrderLines[DiscountPct],--(OrderLines[OrderID] = OrderLines[[#This Row],[OrderID]]))&gt;40,"High Discount","Ok")</f>
        <v>High Discount</v>
      </c>
      <c r="P915">
        <f>OrderLines[[#This Row],[UnitCost]]*OrderLines[[#This Row],[Qty]]</f>
        <v>74.069999999999993</v>
      </c>
      <c r="Q915" s="8">
        <f>OrderLines[[#This Row],[LineNetAmount]]-OrderLines[[#This Row],[Food Cost]]</f>
        <v>77.968700000000013</v>
      </c>
    </row>
    <row r="916" spans="1:17" x14ac:dyDescent="0.3">
      <c r="A916" t="s">
        <v>393</v>
      </c>
      <c r="B916" t="s">
        <v>402</v>
      </c>
      <c r="C916">
        <v>2</v>
      </c>
      <c r="D916" cm="1">
        <f t="array" ref="D916">VLOOKUP(OrderLines[[#This Row],[SKU]:[SKU]],Menu[],MATCH(OrderLines[[#Headers],[UnitPrice]],Menu[#Headers],0),FALSE)</f>
        <v>30.34</v>
      </c>
      <c r="E916" cm="1">
        <f t="array" ref="E916">VLOOKUP(OrderLines[[#This Row],[SKU]:[SKU]],Menu[],MATCH(OrderLines[[#Headers],[UnitCost]],Menu[#Headers],0),FALSE)</f>
        <v>14.18</v>
      </c>
      <c r="F916" t="str" cm="1">
        <f t="array" ref="F916">VLOOKUP(OrderLines[[#This Row],[SKU]:[SKU]],Menu[],MATCH(OrderLines[[#Headers],[Category]],Menu[#Headers],0),FALSE)</f>
        <v>Beverage</v>
      </c>
      <c r="G916" t="str" cm="1">
        <f t="array" ref="G916">_xlfn.TEXTJOIN("+",TRUE,_xlfn._xlws.SORT(_xlfn.UNIQUE(_xlfn._xlws.FILTER(OrderLines[Category],OrderLines[OrderID]=OrderLines[[#This Row],[OrderID]]))))</f>
        <v>Beverage+Hot Meal+Snack</v>
      </c>
      <c r="H916" s="2" cm="1">
        <f t="array" ref="H916">INT(VLOOKUP(OrderLines[[#This Row],[OrderID]:[OrderID]],Orders[],MATCH(OrderLines[[#Headers],[OrderDateTime]],Orders[#Headers],0),FALSE))</f>
        <v>45871</v>
      </c>
      <c r="I916" t="str" cm="1">
        <f t="array" ref="I916">VLOOKUP(OrderLines[[#This Row],[OrderID]:[OrderID]],Orders[],MATCH(OrderLines[[#Headers],[Branch]],Orders[#Headers],0),FALSE)</f>
        <v>Head Office Café</v>
      </c>
      <c r="J916" cm="1">
        <f t="array" ref="J916">VLOOKUP(OrderLines[[#This Row],[OrderID]:[OrderID]],Orders[],MATCH(OrderLines[[#Headers],[DiscountPct]],Orders[#Headers],0),FALSE)</f>
        <v>0.11</v>
      </c>
      <c r="K916" t="str" cm="1">
        <f t="array" ref="K916">VLOOKUP(OrderLines[[#This Row],[OrderID]:[OrderID]],Orders[],MATCH(OrderLines[[#Headers],[PaymentType]],Orders[#Headers],0),FALSE)</f>
        <v>Card</v>
      </c>
      <c r="L916" t="str" cm="1">
        <f t="array" ref="L916">VLOOKUP(OrderLines[[#This Row],[OrderID]:[OrderID]],Orders[],MATCH(OrderLines[[#Headers],[Shift]],Orders[#Headers],0),FALSE)</f>
        <v>Breakfast</v>
      </c>
      <c r="M916" s="8">
        <f>(OrderLines[[#This Row],[Qty]]*OrderLines[[#This Row],[UnitPrice]])*(1-OrderLines[[#This Row],[DiscountPct]])</f>
        <v>54.005200000000002</v>
      </c>
      <c r="N916" t="str">
        <f>IF(AND(COUNTIFS(OrderLines[OrderID],OrderLines[[#This Row],[OrderID]],OrderLines[Category],"Hot Meal"),COUNTIFS(OrderLines[OrderID],OrderLines[[#This Row],[OrderID]],OrderLines[Category],"Beverage")),"Combo","Single")</f>
        <v>Combo</v>
      </c>
      <c r="O916" s="8" t="str" cm="1">
        <f t="array" ref="O916">IF(SUMPRODUCT(OrderLines[UnitPrice],OrderLines[Qty],OrderLines[DiscountPct],--(OrderLines[OrderID] = OrderLines[[#This Row],[OrderID]]))&gt;40,"High Discount","Ok")</f>
        <v>High Discount</v>
      </c>
      <c r="P916">
        <f>OrderLines[[#This Row],[UnitCost]]*OrderLines[[#This Row],[Qty]]</f>
        <v>28.36</v>
      </c>
      <c r="Q916" s="8">
        <f>OrderLines[[#This Row],[LineNetAmount]]-OrderLines[[#This Row],[Food Cost]]</f>
        <v>25.645200000000003</v>
      </c>
    </row>
    <row r="917" spans="1:17" x14ac:dyDescent="0.3">
      <c r="A917" t="s">
        <v>394</v>
      </c>
      <c r="B917" t="s">
        <v>410</v>
      </c>
      <c r="C917">
        <v>1</v>
      </c>
      <c r="D917" cm="1">
        <f t="array" ref="D917">VLOOKUP(OrderLines[[#This Row],[SKU]:[SKU]],Menu[],MATCH(OrderLines[[#Headers],[UnitPrice]],Menu[#Headers],0),FALSE)</f>
        <v>20.11</v>
      </c>
      <c r="E917" cm="1">
        <f t="array" ref="E917">VLOOKUP(OrderLines[[#This Row],[SKU]:[SKU]],Menu[],MATCH(OrderLines[[#Headers],[UnitCost]],Menu[#Headers],0),FALSE)</f>
        <v>8</v>
      </c>
      <c r="F917" t="str" cm="1">
        <f t="array" ref="F917">VLOOKUP(OrderLines[[#This Row],[SKU]:[SKU]],Menu[],MATCH(OrderLines[[#Headers],[Category]],Menu[#Headers],0),FALSE)</f>
        <v>Beverage</v>
      </c>
      <c r="G917" t="str" cm="1">
        <f t="array" ref="G917">_xlfn.TEXTJOIN("+",TRUE,_xlfn._xlws.SORT(_xlfn.UNIQUE(_xlfn._xlws.FILTER(OrderLines[Category],OrderLines[OrderID]=OrderLines[[#This Row],[OrderID]]))))</f>
        <v>Beverage+Dessert</v>
      </c>
      <c r="H917" s="2" cm="1">
        <f t="array" ref="H917">INT(VLOOKUP(OrderLines[[#This Row],[OrderID]:[OrderID]],Orders[],MATCH(OrderLines[[#Headers],[OrderDateTime]],Orders[#Headers],0),FALSE))</f>
        <v>45897</v>
      </c>
      <c r="I917" t="str" cm="1">
        <f t="array" ref="I917">VLOOKUP(OrderLines[[#This Row],[OrderID]:[OrderID]],Orders[],MATCH(OrderLines[[#Headers],[Branch]],Orders[#Headers],0),FALSE)</f>
        <v>Head Office Café</v>
      </c>
      <c r="J917" cm="1">
        <f t="array" ref="J917">VLOOKUP(OrderLines[[#This Row],[OrderID]:[OrderID]],Orders[],MATCH(OrderLines[[#Headers],[DiscountPct]],Orders[#Headers],0),FALSE)</f>
        <v>0.06</v>
      </c>
      <c r="K917" t="str" cm="1">
        <f t="array" ref="K917">VLOOKUP(OrderLines[[#This Row],[OrderID]:[OrderID]],Orders[],MATCH(OrderLines[[#Headers],[PaymentType]],Orders[#Headers],0),FALSE)</f>
        <v>Cash</v>
      </c>
      <c r="L917" t="str" cm="1">
        <f t="array" ref="L917">VLOOKUP(OrderLines[[#This Row],[OrderID]:[OrderID]],Orders[],MATCH(OrderLines[[#Headers],[Shift]],Orders[#Headers],0),FALSE)</f>
        <v>Dinner</v>
      </c>
      <c r="M917" s="8">
        <f>(OrderLines[[#This Row],[Qty]]*OrderLines[[#This Row],[UnitPrice]])*(1-OrderLines[[#This Row],[DiscountPct]])</f>
        <v>18.903399999999998</v>
      </c>
      <c r="N917" t="str">
        <f>IF(AND(COUNTIFS(OrderLines[OrderID],OrderLines[[#This Row],[OrderID]],OrderLines[Category],"Hot Meal"),COUNTIFS(OrderLines[OrderID],OrderLines[[#This Row],[OrderID]],OrderLines[Category],"Beverage")),"Combo","Single")</f>
        <v>Single</v>
      </c>
      <c r="O917" s="8" t="str" cm="1">
        <f t="array" ref="O917">IF(SUMPRODUCT(OrderLines[UnitPrice],OrderLines[Qty],OrderLines[DiscountPct],--(OrderLines[OrderID] = OrderLines[[#This Row],[OrderID]]))&gt;40,"High Discount","Ok")</f>
        <v>Ok</v>
      </c>
      <c r="P917">
        <f>OrderLines[[#This Row],[UnitCost]]*OrderLines[[#This Row],[Qty]]</f>
        <v>8</v>
      </c>
      <c r="Q917" s="8">
        <f>OrderLines[[#This Row],[LineNetAmount]]-OrderLines[[#This Row],[Food Cost]]</f>
        <v>10.903399999999998</v>
      </c>
    </row>
    <row r="918" spans="1:17" x14ac:dyDescent="0.3">
      <c r="A918" t="s">
        <v>394</v>
      </c>
      <c r="B918" t="s">
        <v>411</v>
      </c>
      <c r="C918">
        <v>1</v>
      </c>
      <c r="D918" cm="1">
        <f t="array" ref="D918">VLOOKUP(OrderLines[[#This Row],[SKU]:[SKU]],Menu[],MATCH(OrderLines[[#Headers],[UnitPrice]],Menu[#Headers],0),FALSE)</f>
        <v>22.2</v>
      </c>
      <c r="E918" cm="1">
        <f t="array" ref="E918">VLOOKUP(OrderLines[[#This Row],[SKU]:[SKU]],Menu[],MATCH(OrderLines[[#Headers],[UnitCost]],Menu[#Headers],0),FALSE)</f>
        <v>9.3800000000000008</v>
      </c>
      <c r="F918" t="str" cm="1">
        <f t="array" ref="F918">VLOOKUP(OrderLines[[#This Row],[SKU]:[SKU]],Menu[],MATCH(OrderLines[[#Headers],[Category]],Menu[#Headers],0),FALSE)</f>
        <v>Beverage</v>
      </c>
      <c r="G918" t="str" cm="1">
        <f t="array" ref="G918">_xlfn.TEXTJOIN("+",TRUE,_xlfn._xlws.SORT(_xlfn.UNIQUE(_xlfn._xlws.FILTER(OrderLines[Category],OrderLines[OrderID]=OrderLines[[#This Row],[OrderID]]))))</f>
        <v>Beverage+Dessert</v>
      </c>
      <c r="H918" s="2" cm="1">
        <f t="array" ref="H918">INT(VLOOKUP(OrderLines[[#This Row],[OrderID]:[OrderID]],Orders[],MATCH(OrderLines[[#Headers],[OrderDateTime]],Orders[#Headers],0),FALSE))</f>
        <v>45897</v>
      </c>
      <c r="I918" t="str" cm="1">
        <f t="array" ref="I918">VLOOKUP(OrderLines[[#This Row],[OrderID]:[OrderID]],Orders[],MATCH(OrderLines[[#Headers],[Branch]],Orders[#Headers],0),FALSE)</f>
        <v>Head Office Café</v>
      </c>
      <c r="J918" cm="1">
        <f t="array" ref="J918">VLOOKUP(OrderLines[[#This Row],[OrderID]:[OrderID]],Orders[],MATCH(OrderLines[[#Headers],[DiscountPct]],Orders[#Headers],0),FALSE)</f>
        <v>0.06</v>
      </c>
      <c r="K918" t="str" cm="1">
        <f t="array" ref="K918">VLOOKUP(OrderLines[[#This Row],[OrderID]:[OrderID]],Orders[],MATCH(OrderLines[[#Headers],[PaymentType]],Orders[#Headers],0),FALSE)</f>
        <v>Cash</v>
      </c>
      <c r="L918" t="str" cm="1">
        <f t="array" ref="L918">VLOOKUP(OrderLines[[#This Row],[OrderID]:[OrderID]],Orders[],MATCH(OrderLines[[#Headers],[Shift]],Orders[#Headers],0),FALSE)</f>
        <v>Dinner</v>
      </c>
      <c r="M918" s="8">
        <f>(OrderLines[[#This Row],[Qty]]*OrderLines[[#This Row],[UnitPrice]])*(1-OrderLines[[#This Row],[DiscountPct]])</f>
        <v>20.867999999999999</v>
      </c>
      <c r="N918" t="str">
        <f>IF(AND(COUNTIFS(OrderLines[OrderID],OrderLines[[#This Row],[OrderID]],OrderLines[Category],"Hot Meal"),COUNTIFS(OrderLines[OrderID],OrderLines[[#This Row],[OrderID]],OrderLines[Category],"Beverage")),"Combo","Single")</f>
        <v>Single</v>
      </c>
      <c r="O918" s="8" t="str" cm="1">
        <f t="array" ref="O918">IF(SUMPRODUCT(OrderLines[UnitPrice],OrderLines[Qty],OrderLines[DiscountPct],--(OrderLines[OrderID] = OrderLines[[#This Row],[OrderID]]))&gt;40,"High Discount","Ok")</f>
        <v>Ok</v>
      </c>
      <c r="P918">
        <f>OrderLines[[#This Row],[UnitCost]]*OrderLines[[#This Row],[Qty]]</f>
        <v>9.3800000000000008</v>
      </c>
      <c r="Q918" s="8">
        <f>OrderLines[[#This Row],[LineNetAmount]]-OrderLines[[#This Row],[Food Cost]]</f>
        <v>11.487999999999998</v>
      </c>
    </row>
    <row r="919" spans="1:17" x14ac:dyDescent="0.3">
      <c r="A919" t="s">
        <v>394</v>
      </c>
      <c r="B919" t="s">
        <v>412</v>
      </c>
      <c r="C919">
        <v>1</v>
      </c>
      <c r="D919" cm="1">
        <f t="array" ref="D919">VLOOKUP(OrderLines[[#This Row],[SKU]:[SKU]],Menu[],MATCH(OrderLines[[#Headers],[UnitPrice]],Menu[#Headers],0),FALSE)</f>
        <v>57.07</v>
      </c>
      <c r="E919" cm="1">
        <f t="array" ref="E919">VLOOKUP(OrderLines[[#This Row],[SKU]:[SKU]],Menu[],MATCH(OrderLines[[#Headers],[UnitCost]],Menu[#Headers],0),FALSE)</f>
        <v>29.14</v>
      </c>
      <c r="F919" t="str" cm="1">
        <f t="array" ref="F919">VLOOKUP(OrderLines[[#This Row],[SKU]:[SKU]],Menu[],MATCH(OrderLines[[#Headers],[Category]],Menu[#Headers],0),FALSE)</f>
        <v>Dessert</v>
      </c>
      <c r="G919" t="str" cm="1">
        <f t="array" ref="G919">_xlfn.TEXTJOIN("+",TRUE,_xlfn._xlws.SORT(_xlfn.UNIQUE(_xlfn._xlws.FILTER(OrderLines[Category],OrderLines[OrderID]=OrderLines[[#This Row],[OrderID]]))))</f>
        <v>Beverage+Dessert</v>
      </c>
      <c r="H919" s="2" cm="1">
        <f t="array" ref="H919">INT(VLOOKUP(OrderLines[[#This Row],[OrderID]:[OrderID]],Orders[],MATCH(OrderLines[[#Headers],[OrderDateTime]],Orders[#Headers],0),FALSE))</f>
        <v>45897</v>
      </c>
      <c r="I919" t="str" cm="1">
        <f t="array" ref="I919">VLOOKUP(OrderLines[[#This Row],[OrderID]:[OrderID]],Orders[],MATCH(OrderLines[[#Headers],[Branch]],Orders[#Headers],0),FALSE)</f>
        <v>Head Office Café</v>
      </c>
      <c r="J919" cm="1">
        <f t="array" ref="J919">VLOOKUP(OrderLines[[#This Row],[OrderID]:[OrderID]],Orders[],MATCH(OrderLines[[#Headers],[DiscountPct]],Orders[#Headers],0),FALSE)</f>
        <v>0.06</v>
      </c>
      <c r="K919" t="str" cm="1">
        <f t="array" ref="K919">VLOOKUP(OrderLines[[#This Row],[OrderID]:[OrderID]],Orders[],MATCH(OrderLines[[#Headers],[PaymentType]],Orders[#Headers],0),FALSE)</f>
        <v>Cash</v>
      </c>
      <c r="L919" t="str" cm="1">
        <f t="array" ref="L919">VLOOKUP(OrderLines[[#This Row],[OrderID]:[OrderID]],Orders[],MATCH(OrderLines[[#Headers],[Shift]],Orders[#Headers],0),FALSE)</f>
        <v>Dinner</v>
      </c>
      <c r="M919" s="8">
        <f>(OrderLines[[#This Row],[Qty]]*OrderLines[[#This Row],[UnitPrice]])*(1-OrderLines[[#This Row],[DiscountPct]])</f>
        <v>53.645799999999994</v>
      </c>
      <c r="N919" t="str">
        <f>IF(AND(COUNTIFS(OrderLines[OrderID],OrderLines[[#This Row],[OrderID]],OrderLines[Category],"Hot Meal"),COUNTIFS(OrderLines[OrderID],OrderLines[[#This Row],[OrderID]],OrderLines[Category],"Beverage")),"Combo","Single")</f>
        <v>Single</v>
      </c>
      <c r="O919" s="8" t="str" cm="1">
        <f t="array" ref="O919">IF(SUMPRODUCT(OrderLines[UnitPrice],OrderLines[Qty],OrderLines[DiscountPct],--(OrderLines[OrderID] = OrderLines[[#This Row],[OrderID]]))&gt;40,"High Discount","Ok")</f>
        <v>Ok</v>
      </c>
      <c r="P919">
        <f>OrderLines[[#This Row],[UnitCost]]*OrderLines[[#This Row],[Qty]]</f>
        <v>29.14</v>
      </c>
      <c r="Q919" s="8">
        <f>OrderLines[[#This Row],[LineNetAmount]]-OrderLines[[#This Row],[Food Cost]]</f>
        <v>24.505799999999994</v>
      </c>
    </row>
    <row r="920" spans="1:17" x14ac:dyDescent="0.3">
      <c r="A920" t="s">
        <v>395</v>
      </c>
      <c r="B920" t="s">
        <v>408</v>
      </c>
      <c r="C920">
        <v>1</v>
      </c>
      <c r="D920" cm="1">
        <f t="array" ref="D920">VLOOKUP(OrderLines[[#This Row],[SKU]:[SKU]],Menu[],MATCH(OrderLines[[#Headers],[UnitPrice]],Menu[#Headers],0),FALSE)</f>
        <v>70.540000000000006</v>
      </c>
      <c r="E920" cm="1">
        <f t="array" ref="E920">VLOOKUP(OrderLines[[#This Row],[SKU]:[SKU]],Menu[],MATCH(OrderLines[[#Headers],[UnitCost]],Menu[#Headers],0),FALSE)</f>
        <v>35.81</v>
      </c>
      <c r="F920" t="str" cm="1">
        <f t="array" ref="F920">VLOOKUP(OrderLines[[#This Row],[SKU]:[SKU]],Menu[],MATCH(OrderLines[[#Headers],[Category]],Menu[#Headers],0),FALSE)</f>
        <v>Snack</v>
      </c>
      <c r="G920" t="str" cm="1">
        <f t="array" ref="G920">_xlfn.TEXTJOIN("+",TRUE,_xlfn._xlws.SORT(_xlfn.UNIQUE(_xlfn._xlws.FILTER(OrderLines[Category],OrderLines[OrderID]=OrderLines[[#This Row],[OrderID]]))))</f>
        <v>Beverage+Snack</v>
      </c>
      <c r="H920" s="2" cm="1">
        <f t="array" ref="H920">INT(VLOOKUP(OrderLines[[#This Row],[OrderID]:[OrderID]],Orders[],MATCH(OrderLines[[#Headers],[OrderDateTime]],Orders[#Headers],0),FALSE))</f>
        <v>45873</v>
      </c>
      <c r="I920" t="str" cm="1">
        <f t="array" ref="I920">VLOOKUP(OrderLines[[#This Row],[OrderID]:[OrderID]],Orders[],MATCH(OrderLines[[#Headers],[Branch]],Orders[#Headers],0),FALSE)</f>
        <v>Plant 2 Canteen</v>
      </c>
      <c r="J920" cm="1">
        <f t="array" ref="J920">VLOOKUP(OrderLines[[#This Row],[OrderID]:[OrderID]],Orders[],MATCH(OrderLines[[#Headers],[DiscountPct]],Orders[#Headers],0),FALSE)</f>
        <v>0.11</v>
      </c>
      <c r="K920" t="str" cm="1">
        <f t="array" ref="K920">VLOOKUP(OrderLines[[#This Row],[OrderID]:[OrderID]],Orders[],MATCH(OrderLines[[#Headers],[PaymentType]],Orders[#Headers],0),FALSE)</f>
        <v>UPI</v>
      </c>
      <c r="L920" t="str" cm="1">
        <f t="array" ref="L920">VLOOKUP(OrderLines[[#This Row],[OrderID]:[OrderID]],Orders[],MATCH(OrderLines[[#Headers],[Shift]],Orders[#Headers],0),FALSE)</f>
        <v>Breakfast</v>
      </c>
      <c r="M920" s="8">
        <f>(OrderLines[[#This Row],[Qty]]*OrderLines[[#This Row],[UnitPrice]])*(1-OrderLines[[#This Row],[DiscountPct]])</f>
        <v>62.780600000000007</v>
      </c>
      <c r="N920" t="str">
        <f>IF(AND(COUNTIFS(OrderLines[OrderID],OrderLines[[#This Row],[OrderID]],OrderLines[Category],"Hot Meal"),COUNTIFS(OrderLines[OrderID],OrderLines[[#This Row],[OrderID]],OrderLines[Category],"Beverage")),"Combo","Single")</f>
        <v>Single</v>
      </c>
      <c r="O920" s="8" t="str" cm="1">
        <f t="array" ref="O920">IF(SUMPRODUCT(OrderLines[UnitPrice],OrderLines[Qty],OrderLines[DiscountPct],--(OrderLines[OrderID] = OrderLines[[#This Row],[OrderID]]))&gt;40,"High Discount","Ok")</f>
        <v>Ok</v>
      </c>
      <c r="P920">
        <f>OrderLines[[#This Row],[UnitCost]]*OrderLines[[#This Row],[Qty]]</f>
        <v>35.81</v>
      </c>
      <c r="Q920" s="8">
        <f>OrderLines[[#This Row],[LineNetAmount]]-OrderLines[[#This Row],[Food Cost]]</f>
        <v>26.970600000000005</v>
      </c>
    </row>
    <row r="921" spans="1:17" x14ac:dyDescent="0.3">
      <c r="A921" t="s">
        <v>395</v>
      </c>
      <c r="B921" t="s">
        <v>402</v>
      </c>
      <c r="C921">
        <v>1</v>
      </c>
      <c r="D921" cm="1">
        <f t="array" ref="D921">VLOOKUP(OrderLines[[#This Row],[SKU]:[SKU]],Menu[],MATCH(OrderLines[[#Headers],[UnitPrice]],Menu[#Headers],0),FALSE)</f>
        <v>30.34</v>
      </c>
      <c r="E921" cm="1">
        <f t="array" ref="E921">VLOOKUP(OrderLines[[#This Row],[SKU]:[SKU]],Menu[],MATCH(OrderLines[[#Headers],[UnitCost]],Menu[#Headers],0),FALSE)</f>
        <v>14.18</v>
      </c>
      <c r="F921" t="str" cm="1">
        <f t="array" ref="F921">VLOOKUP(OrderLines[[#This Row],[SKU]:[SKU]],Menu[],MATCH(OrderLines[[#Headers],[Category]],Menu[#Headers],0),FALSE)</f>
        <v>Beverage</v>
      </c>
      <c r="G921" t="str" cm="1">
        <f t="array" ref="G921">_xlfn.TEXTJOIN("+",TRUE,_xlfn._xlws.SORT(_xlfn.UNIQUE(_xlfn._xlws.FILTER(OrderLines[Category],OrderLines[OrderID]=OrderLines[[#This Row],[OrderID]]))))</f>
        <v>Beverage+Snack</v>
      </c>
      <c r="H921" s="2" cm="1">
        <f t="array" ref="H921">INT(VLOOKUP(OrderLines[[#This Row],[OrderID]:[OrderID]],Orders[],MATCH(OrderLines[[#Headers],[OrderDateTime]],Orders[#Headers],0),FALSE))</f>
        <v>45873</v>
      </c>
      <c r="I921" t="str" cm="1">
        <f t="array" ref="I921">VLOOKUP(OrderLines[[#This Row],[OrderID]:[OrderID]],Orders[],MATCH(OrderLines[[#Headers],[Branch]],Orders[#Headers],0),FALSE)</f>
        <v>Plant 2 Canteen</v>
      </c>
      <c r="J921" cm="1">
        <f t="array" ref="J921">VLOOKUP(OrderLines[[#This Row],[OrderID]:[OrderID]],Orders[],MATCH(OrderLines[[#Headers],[DiscountPct]],Orders[#Headers],0),FALSE)</f>
        <v>0.11</v>
      </c>
      <c r="K921" t="str" cm="1">
        <f t="array" ref="K921">VLOOKUP(OrderLines[[#This Row],[OrderID]:[OrderID]],Orders[],MATCH(OrderLines[[#Headers],[PaymentType]],Orders[#Headers],0),FALSE)</f>
        <v>UPI</v>
      </c>
      <c r="L921" t="str" cm="1">
        <f t="array" ref="L921">VLOOKUP(OrderLines[[#This Row],[OrderID]:[OrderID]],Orders[],MATCH(OrderLines[[#Headers],[Shift]],Orders[#Headers],0),FALSE)</f>
        <v>Breakfast</v>
      </c>
      <c r="M921" s="8">
        <f>(OrderLines[[#This Row],[Qty]]*OrderLines[[#This Row],[UnitPrice]])*(1-OrderLines[[#This Row],[DiscountPct]])</f>
        <v>27.002600000000001</v>
      </c>
      <c r="N921" t="str">
        <f>IF(AND(COUNTIFS(OrderLines[OrderID],OrderLines[[#This Row],[OrderID]],OrderLines[Category],"Hot Meal"),COUNTIFS(OrderLines[OrderID],OrderLines[[#This Row],[OrderID]],OrderLines[Category],"Beverage")),"Combo","Single")</f>
        <v>Single</v>
      </c>
      <c r="O921" s="8" t="str" cm="1">
        <f t="array" ref="O921">IF(SUMPRODUCT(OrderLines[UnitPrice],OrderLines[Qty],OrderLines[DiscountPct],--(OrderLines[OrderID] = OrderLines[[#This Row],[OrderID]]))&gt;40,"High Discount","Ok")</f>
        <v>Ok</v>
      </c>
      <c r="P921">
        <f>OrderLines[[#This Row],[UnitCost]]*OrderLines[[#This Row],[Qty]]</f>
        <v>14.18</v>
      </c>
      <c r="Q921" s="8">
        <f>OrderLines[[#This Row],[LineNetAmount]]-OrderLines[[#This Row],[Food Cost]]</f>
        <v>12.822600000000001</v>
      </c>
    </row>
    <row r="922" spans="1:17" x14ac:dyDescent="0.3">
      <c r="A922" t="s">
        <v>396</v>
      </c>
      <c r="B922" t="s">
        <v>416</v>
      </c>
      <c r="C922">
        <v>2</v>
      </c>
      <c r="D922" cm="1">
        <f t="array" ref="D922">VLOOKUP(OrderLines[[#This Row],[SKU]:[SKU]],Menu[],MATCH(OrderLines[[#Headers],[UnitPrice]],Menu[#Headers],0),FALSE)</f>
        <v>227.61</v>
      </c>
      <c r="E922" cm="1">
        <f t="array" ref="E922">VLOOKUP(OrderLines[[#This Row],[SKU]:[SKU]],Menu[],MATCH(OrderLines[[#Headers],[UnitCost]],Menu[#Headers],0),FALSE)</f>
        <v>96.22</v>
      </c>
      <c r="F922" t="str" cm="1">
        <f t="array" ref="F922">VLOOKUP(OrderLines[[#This Row],[SKU]:[SKU]],Menu[],MATCH(OrderLines[[#Headers],[Category]],Menu[#Headers],0),FALSE)</f>
        <v>Hot Meal</v>
      </c>
      <c r="G922" t="str" cm="1">
        <f t="array" ref="G922">_xlfn.TEXTJOIN("+",TRUE,_xlfn._xlws.SORT(_xlfn.UNIQUE(_xlfn._xlws.FILTER(OrderLines[Category],OrderLines[OrderID]=OrderLines[[#This Row],[OrderID]]))))</f>
        <v>Hot Meal</v>
      </c>
      <c r="H922" s="2" cm="1">
        <f t="array" ref="H922">INT(VLOOKUP(OrderLines[[#This Row],[OrderID]:[OrderID]],Orders[],MATCH(OrderLines[[#Headers],[OrderDateTime]],Orders[#Headers],0),FALSE))</f>
        <v>45881</v>
      </c>
      <c r="I922" t="str" cm="1">
        <f t="array" ref="I922">VLOOKUP(OrderLines[[#This Row],[OrderID]:[OrderID]],Orders[],MATCH(OrderLines[[#Headers],[Branch]],Orders[#Headers],0),FALSE)</f>
        <v>Plant 2 Canteen</v>
      </c>
      <c r="J922" cm="1">
        <f t="array" ref="J922">VLOOKUP(OrderLines[[#This Row],[OrderID]:[OrderID]],Orders[],MATCH(OrderLines[[#Headers],[DiscountPct]],Orders[#Headers],0),FALSE)</f>
        <v>0</v>
      </c>
      <c r="K922" t="str" cm="1">
        <f t="array" ref="K922">VLOOKUP(OrderLines[[#This Row],[OrderID]:[OrderID]],Orders[],MATCH(OrderLines[[#Headers],[PaymentType]],Orders[#Headers],0),FALSE)</f>
        <v>Cash</v>
      </c>
      <c r="L922" t="str" cm="1">
        <f t="array" ref="L922">VLOOKUP(OrderLines[[#This Row],[OrderID]:[OrderID]],Orders[],MATCH(OrderLines[[#Headers],[Shift]],Orders[#Headers],0),FALSE)</f>
        <v>Lunch</v>
      </c>
      <c r="M922" s="8">
        <f>(OrderLines[[#This Row],[Qty]]*OrderLines[[#This Row],[UnitPrice]])*(1-OrderLines[[#This Row],[DiscountPct]])</f>
        <v>455.22</v>
      </c>
      <c r="N922" t="str">
        <f>IF(AND(COUNTIFS(OrderLines[OrderID],OrderLines[[#This Row],[OrderID]],OrderLines[Category],"Hot Meal"),COUNTIFS(OrderLines[OrderID],OrderLines[[#This Row],[OrderID]],OrderLines[Category],"Beverage")),"Combo","Single")</f>
        <v>Single</v>
      </c>
      <c r="O922" s="8" t="str" cm="1">
        <f t="array" ref="O922">IF(SUMPRODUCT(OrderLines[UnitPrice],OrderLines[Qty],OrderLines[DiscountPct],--(OrderLines[OrderID] = OrderLines[[#This Row],[OrderID]]))&gt;40,"High Discount","Ok")</f>
        <v>Ok</v>
      </c>
      <c r="P922">
        <f>OrderLines[[#This Row],[UnitCost]]*OrderLines[[#This Row],[Qty]]</f>
        <v>192.44</v>
      </c>
      <c r="Q922" s="8">
        <f>OrderLines[[#This Row],[LineNetAmount]]-OrderLines[[#This Row],[Food Cost]]</f>
        <v>262.78000000000003</v>
      </c>
    </row>
    <row r="923" spans="1:17" x14ac:dyDescent="0.3">
      <c r="A923" t="s">
        <v>397</v>
      </c>
      <c r="B923" t="s">
        <v>405</v>
      </c>
      <c r="C923">
        <v>1</v>
      </c>
      <c r="D923" cm="1">
        <f t="array" ref="D923">VLOOKUP(OrderLines[[#This Row],[SKU]:[SKU]],Menu[],MATCH(OrderLines[[#Headers],[UnitPrice]],Menu[#Headers],0),FALSE)</f>
        <v>170.83</v>
      </c>
      <c r="E923" cm="1">
        <f t="array" ref="E923">VLOOKUP(OrderLines[[#This Row],[SKU]:[SKU]],Menu[],MATCH(OrderLines[[#Headers],[UnitCost]],Menu[#Headers],0),FALSE)</f>
        <v>74.069999999999993</v>
      </c>
      <c r="F923" t="str" cm="1">
        <f t="array" ref="F923">VLOOKUP(OrderLines[[#This Row],[SKU]:[SKU]],Menu[],MATCH(OrderLines[[#Headers],[Category]],Menu[#Headers],0),FALSE)</f>
        <v>Hot Meal</v>
      </c>
      <c r="G923" t="str" cm="1">
        <f t="array" ref="G923">_xlfn.TEXTJOIN("+",TRUE,_xlfn._xlws.SORT(_xlfn.UNIQUE(_xlfn._xlws.FILTER(OrderLines[Category],OrderLines[OrderID]=OrderLines[[#This Row],[OrderID]]))))</f>
        <v>Beverage+Hot Meal</v>
      </c>
      <c r="H923" s="2" cm="1">
        <f t="array" ref="H923">INT(VLOOKUP(OrderLines[[#This Row],[OrderID]:[OrderID]],Orders[],MATCH(OrderLines[[#Headers],[OrderDateTime]],Orders[#Headers],0),FALSE))</f>
        <v>45878</v>
      </c>
      <c r="I923" t="str" cm="1">
        <f t="array" ref="I923">VLOOKUP(OrderLines[[#This Row],[OrderID]:[OrderID]],Orders[],MATCH(OrderLines[[#Headers],[Branch]],Orders[#Headers],0),FALSE)</f>
        <v>Plant 2 Canteen</v>
      </c>
      <c r="J923" cm="1">
        <f t="array" ref="J923">VLOOKUP(OrderLines[[#This Row],[OrderID]:[OrderID]],Orders[],MATCH(OrderLines[[#Headers],[DiscountPct]],Orders[#Headers],0),FALSE)</f>
        <v>0.04</v>
      </c>
      <c r="K923" t="str" cm="1">
        <f t="array" ref="K923">VLOOKUP(OrderLines[[#This Row],[OrderID]:[OrderID]],Orders[],MATCH(OrderLines[[#Headers],[PaymentType]],Orders[#Headers],0),FALSE)</f>
        <v>UPI</v>
      </c>
      <c r="L923" t="str" cm="1">
        <f t="array" ref="L923">VLOOKUP(OrderLines[[#This Row],[OrderID]:[OrderID]],Orders[],MATCH(OrderLines[[#Headers],[Shift]],Orders[#Headers],0),FALSE)</f>
        <v>Dinner</v>
      </c>
      <c r="M923" s="8">
        <f>(OrderLines[[#This Row],[Qty]]*OrderLines[[#This Row],[UnitPrice]])*(1-OrderLines[[#This Row],[DiscountPct]])</f>
        <v>163.99680000000001</v>
      </c>
      <c r="N923" t="str">
        <f>IF(AND(COUNTIFS(OrderLines[OrderID],OrderLines[[#This Row],[OrderID]],OrderLines[Category],"Hot Meal"),COUNTIFS(OrderLines[OrderID],OrderLines[[#This Row],[OrderID]],OrderLines[Category],"Beverage")),"Combo","Single")</f>
        <v>Combo</v>
      </c>
      <c r="O923" s="8" t="str" cm="1">
        <f t="array" ref="O923">IF(SUMPRODUCT(OrderLines[UnitPrice],OrderLines[Qty],OrderLines[DiscountPct],--(OrderLines[OrderID] = OrderLines[[#This Row],[OrderID]]))&gt;40,"High Discount","Ok")</f>
        <v>High Discount</v>
      </c>
      <c r="P923">
        <f>OrderLines[[#This Row],[UnitCost]]*OrderLines[[#This Row],[Qty]]</f>
        <v>74.069999999999993</v>
      </c>
      <c r="Q923" s="8">
        <f>OrderLines[[#This Row],[LineNetAmount]]-OrderLines[[#This Row],[Food Cost]]</f>
        <v>89.926800000000014</v>
      </c>
    </row>
    <row r="924" spans="1:17" x14ac:dyDescent="0.3">
      <c r="A924" t="s">
        <v>397</v>
      </c>
      <c r="B924" t="s">
        <v>415</v>
      </c>
      <c r="C924">
        <v>3</v>
      </c>
      <c r="D924" cm="1">
        <f t="array" ref="D924">VLOOKUP(OrderLines[[#This Row],[SKU]:[SKU]],Menu[],MATCH(OrderLines[[#Headers],[UnitPrice]],Menu[#Headers],0),FALSE)</f>
        <v>256.91000000000003</v>
      </c>
      <c r="E924" cm="1">
        <f t="array" ref="E924">VLOOKUP(OrderLines[[#This Row],[SKU]:[SKU]],Menu[],MATCH(OrderLines[[#Headers],[UnitCost]],Menu[#Headers],0),FALSE)</f>
        <v>121.24</v>
      </c>
      <c r="F924" t="str" cm="1">
        <f t="array" ref="F924">VLOOKUP(OrderLines[[#This Row],[SKU]:[SKU]],Menu[],MATCH(OrderLines[[#Headers],[Category]],Menu[#Headers],0),FALSE)</f>
        <v>Hot Meal</v>
      </c>
      <c r="G924" t="str" cm="1">
        <f t="array" ref="G924">_xlfn.TEXTJOIN("+",TRUE,_xlfn._xlws.SORT(_xlfn.UNIQUE(_xlfn._xlws.FILTER(OrderLines[Category],OrderLines[OrderID]=OrderLines[[#This Row],[OrderID]]))))</f>
        <v>Beverage+Hot Meal</v>
      </c>
      <c r="H924" s="2" cm="1">
        <f t="array" ref="H924">INT(VLOOKUP(OrderLines[[#This Row],[OrderID]:[OrderID]],Orders[],MATCH(OrderLines[[#Headers],[OrderDateTime]],Orders[#Headers],0),FALSE))</f>
        <v>45878</v>
      </c>
      <c r="I924" t="str" cm="1">
        <f t="array" ref="I924">VLOOKUP(OrderLines[[#This Row],[OrderID]:[OrderID]],Orders[],MATCH(OrderLines[[#Headers],[Branch]],Orders[#Headers],0),FALSE)</f>
        <v>Plant 2 Canteen</v>
      </c>
      <c r="J924" cm="1">
        <f t="array" ref="J924">VLOOKUP(OrderLines[[#This Row],[OrderID]:[OrderID]],Orders[],MATCH(OrderLines[[#Headers],[DiscountPct]],Orders[#Headers],0),FALSE)</f>
        <v>0.04</v>
      </c>
      <c r="K924" t="str" cm="1">
        <f t="array" ref="K924">VLOOKUP(OrderLines[[#This Row],[OrderID]:[OrderID]],Orders[],MATCH(OrderLines[[#Headers],[PaymentType]],Orders[#Headers],0),FALSE)</f>
        <v>UPI</v>
      </c>
      <c r="L924" t="str" cm="1">
        <f t="array" ref="L924">VLOOKUP(OrderLines[[#This Row],[OrderID]:[OrderID]],Orders[],MATCH(OrderLines[[#Headers],[Shift]],Orders[#Headers],0),FALSE)</f>
        <v>Dinner</v>
      </c>
      <c r="M924" s="8">
        <f>(OrderLines[[#This Row],[Qty]]*OrderLines[[#This Row],[UnitPrice]])*(1-OrderLines[[#This Row],[DiscountPct]])</f>
        <v>739.9008</v>
      </c>
      <c r="N924" t="str">
        <f>IF(AND(COUNTIFS(OrderLines[OrderID],OrderLines[[#This Row],[OrderID]],OrderLines[Category],"Hot Meal"),COUNTIFS(OrderLines[OrderID],OrderLines[[#This Row],[OrderID]],OrderLines[Category],"Beverage")),"Combo","Single")</f>
        <v>Combo</v>
      </c>
      <c r="O924" s="8" t="str" cm="1">
        <f t="array" ref="O924">IF(SUMPRODUCT(OrderLines[UnitPrice],OrderLines[Qty],OrderLines[DiscountPct],--(OrderLines[OrderID] = OrderLines[[#This Row],[OrderID]]))&gt;40,"High Discount","Ok")</f>
        <v>High Discount</v>
      </c>
      <c r="P924">
        <f>OrderLines[[#This Row],[UnitCost]]*OrderLines[[#This Row],[Qty]]</f>
        <v>363.71999999999997</v>
      </c>
      <c r="Q924" s="8">
        <f>OrderLines[[#This Row],[LineNetAmount]]-OrderLines[[#This Row],[Food Cost]]</f>
        <v>376.18080000000003</v>
      </c>
    </row>
    <row r="925" spans="1:17" x14ac:dyDescent="0.3">
      <c r="A925" t="s">
        <v>397</v>
      </c>
      <c r="B925" t="s">
        <v>402</v>
      </c>
      <c r="C925">
        <v>2</v>
      </c>
      <c r="D925" cm="1">
        <f t="array" ref="D925">VLOOKUP(OrderLines[[#This Row],[SKU]:[SKU]],Menu[],MATCH(OrderLines[[#Headers],[UnitPrice]],Menu[#Headers],0),FALSE)</f>
        <v>30.34</v>
      </c>
      <c r="E925" cm="1">
        <f t="array" ref="E925">VLOOKUP(OrderLines[[#This Row],[SKU]:[SKU]],Menu[],MATCH(OrderLines[[#Headers],[UnitCost]],Menu[#Headers],0),FALSE)</f>
        <v>14.18</v>
      </c>
      <c r="F925" t="str" cm="1">
        <f t="array" ref="F925">VLOOKUP(OrderLines[[#This Row],[SKU]:[SKU]],Menu[],MATCH(OrderLines[[#Headers],[Category]],Menu[#Headers],0),FALSE)</f>
        <v>Beverage</v>
      </c>
      <c r="G925" t="str" cm="1">
        <f t="array" ref="G925">_xlfn.TEXTJOIN("+",TRUE,_xlfn._xlws.SORT(_xlfn.UNIQUE(_xlfn._xlws.FILTER(OrderLines[Category],OrderLines[OrderID]=OrderLines[[#This Row],[OrderID]]))))</f>
        <v>Beverage+Hot Meal</v>
      </c>
      <c r="H925" s="2" cm="1">
        <f t="array" ref="H925">INT(VLOOKUP(OrderLines[[#This Row],[OrderID]:[OrderID]],Orders[],MATCH(OrderLines[[#Headers],[OrderDateTime]],Orders[#Headers],0),FALSE))</f>
        <v>45878</v>
      </c>
      <c r="I925" t="str" cm="1">
        <f t="array" ref="I925">VLOOKUP(OrderLines[[#This Row],[OrderID]:[OrderID]],Orders[],MATCH(OrderLines[[#Headers],[Branch]],Orders[#Headers],0),FALSE)</f>
        <v>Plant 2 Canteen</v>
      </c>
      <c r="J925" cm="1">
        <f t="array" ref="J925">VLOOKUP(OrderLines[[#This Row],[OrderID]:[OrderID]],Orders[],MATCH(OrderLines[[#Headers],[DiscountPct]],Orders[#Headers],0),FALSE)</f>
        <v>0.04</v>
      </c>
      <c r="K925" t="str" cm="1">
        <f t="array" ref="K925">VLOOKUP(OrderLines[[#This Row],[OrderID]:[OrderID]],Orders[],MATCH(OrderLines[[#Headers],[PaymentType]],Orders[#Headers],0),FALSE)</f>
        <v>UPI</v>
      </c>
      <c r="L925" t="str" cm="1">
        <f t="array" ref="L925">VLOOKUP(OrderLines[[#This Row],[OrderID]:[OrderID]],Orders[],MATCH(OrderLines[[#Headers],[Shift]],Orders[#Headers],0),FALSE)</f>
        <v>Dinner</v>
      </c>
      <c r="M925" s="8">
        <f>(OrderLines[[#This Row],[Qty]]*OrderLines[[#This Row],[UnitPrice]])*(1-OrderLines[[#This Row],[DiscountPct]])</f>
        <v>58.252800000000001</v>
      </c>
      <c r="N925" t="str">
        <f>IF(AND(COUNTIFS(OrderLines[OrderID],OrderLines[[#This Row],[OrderID]],OrderLines[Category],"Hot Meal"),COUNTIFS(OrderLines[OrderID],OrderLines[[#This Row],[OrderID]],OrderLines[Category],"Beverage")),"Combo","Single")</f>
        <v>Combo</v>
      </c>
      <c r="O925" s="8" t="str" cm="1">
        <f t="array" ref="O925">IF(SUMPRODUCT(OrderLines[UnitPrice],OrderLines[Qty],OrderLines[DiscountPct],--(OrderLines[OrderID] = OrderLines[[#This Row],[OrderID]]))&gt;40,"High Discount","Ok")</f>
        <v>High Discount</v>
      </c>
      <c r="P925">
        <f>OrderLines[[#This Row],[UnitCost]]*OrderLines[[#This Row],[Qty]]</f>
        <v>28.36</v>
      </c>
      <c r="Q925" s="8">
        <f>OrderLines[[#This Row],[LineNetAmount]]-OrderLines[[#This Row],[Food Cost]]</f>
        <v>29.892800000000001</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85F25-6D9A-47CB-948E-AE2A0FFD2CCD}">
  <dimension ref="A1:Q147"/>
  <sheetViews>
    <sheetView topLeftCell="A97" zoomScale="71" zoomScaleNormal="100" workbookViewId="0">
      <selection activeCell="E108" sqref="E108"/>
    </sheetView>
  </sheetViews>
  <sheetFormatPr defaultRowHeight="14.4" x14ac:dyDescent="0.3"/>
  <cols>
    <col min="1" max="1" width="18.6640625" bestFit="1" customWidth="1"/>
    <col min="2" max="2" width="15.88671875" bestFit="1" customWidth="1"/>
    <col min="3" max="3" width="16.5546875" bestFit="1" customWidth="1"/>
    <col min="4" max="4" width="7.33203125" bestFit="1" customWidth="1"/>
    <col min="5" max="5" width="13.77734375" bestFit="1" customWidth="1"/>
    <col min="6" max="6" width="15.88671875" bestFit="1" customWidth="1"/>
    <col min="7" max="7" width="16.5546875" bestFit="1" customWidth="1"/>
    <col min="8" max="8" width="20" bestFit="1" customWidth="1"/>
    <col min="9" max="9" width="13.77734375" bestFit="1" customWidth="1"/>
    <col min="10" max="10" width="18.44140625" bestFit="1" customWidth="1"/>
    <col min="11" max="11" width="6" bestFit="1" customWidth="1"/>
    <col min="12" max="12" width="11.109375" bestFit="1" customWidth="1"/>
    <col min="13" max="13" width="13.77734375" bestFit="1" customWidth="1"/>
    <col min="14" max="14" width="15.77734375" bestFit="1" customWidth="1"/>
    <col min="15" max="15" width="16.109375" bestFit="1" customWidth="1"/>
    <col min="16" max="16" width="15.88671875" bestFit="1" customWidth="1"/>
    <col min="17" max="17" width="23" bestFit="1" customWidth="1"/>
    <col min="18" max="18" width="11" bestFit="1" customWidth="1"/>
    <col min="19" max="19" width="26.5546875" bestFit="1" customWidth="1"/>
    <col min="20" max="20" width="11" bestFit="1" customWidth="1"/>
    <col min="21" max="21" width="5.33203125" bestFit="1" customWidth="1"/>
    <col min="22" max="22" width="13.21875" bestFit="1" customWidth="1"/>
    <col min="23" max="23" width="7.6640625" bestFit="1" customWidth="1"/>
    <col min="24" max="24" width="4.109375" bestFit="1" customWidth="1"/>
    <col min="25" max="25" width="13" bestFit="1" customWidth="1"/>
    <col min="27" max="27" width="11.109375" bestFit="1" customWidth="1"/>
  </cols>
  <sheetData>
    <row r="1" spans="1:5" x14ac:dyDescent="0.3">
      <c r="A1" s="6">
        <v>1</v>
      </c>
      <c r="B1" t="s">
        <v>541</v>
      </c>
      <c r="D1" t="s">
        <v>542</v>
      </c>
    </row>
    <row r="2" spans="1:5" x14ac:dyDescent="0.3">
      <c r="B2" cm="1">
        <f t="array" ref="B2">COUNTA(_xlfn.UNIQUE(_xlfn._xlws.FILTER(OrderLines[OrderID],OrderLines[Combo Flag]="Combo")))</f>
        <v>86</v>
      </c>
      <c r="D2">
        <f>COUNTA(_xlfn.UNIQUE(OrderLines[OrderID]))</f>
        <v>360</v>
      </c>
    </row>
    <row r="4" spans="1:5" x14ac:dyDescent="0.3">
      <c r="C4" t="s">
        <v>539</v>
      </c>
    </row>
    <row r="5" spans="1:5" x14ac:dyDescent="0.3">
      <c r="C5" s="20">
        <f>B2/D2</f>
        <v>0.2388888888888889</v>
      </c>
    </row>
    <row r="8" spans="1:5" x14ac:dyDescent="0.3">
      <c r="A8" t="s">
        <v>552</v>
      </c>
      <c r="B8" s="25">
        <f>SUMIFS(OrderLines[LineNetAmount],OrderLines[Combo Flag],"Combo")</f>
        <v>46800.540700000041</v>
      </c>
    </row>
    <row r="9" spans="1:5" x14ac:dyDescent="0.3">
      <c r="A9" t="s">
        <v>540</v>
      </c>
      <c r="B9" s="25" cm="1">
        <f t="array" ref="B9">SUMIFS(OrderLines[LineNetAmount],OrderLines[Combo Flag],"Combo")/COUNTA(_xlfn.UNIQUE(_xlfn._xlws.FILTER(OrderLines[OrderID],OrderLines[Combo Flag]="Combo")))</f>
        <v>544.19233372093072</v>
      </c>
      <c r="E9" s="20"/>
    </row>
    <row r="11" spans="1:5" x14ac:dyDescent="0.3">
      <c r="A11" t="s">
        <v>549</v>
      </c>
      <c r="B11" s="25">
        <f>SUMIFS(OrderLines[Gross Profit],OrderLines[Combo Flag],"Combo")</f>
        <v>23976.600700000003</v>
      </c>
      <c r="E11" s="20"/>
    </row>
    <row r="12" spans="1:5" x14ac:dyDescent="0.3">
      <c r="A12" t="s">
        <v>550</v>
      </c>
      <c r="B12" s="25" cm="1">
        <f t="array" ref="B12">SUMIFS(OrderLines[Gross Profit],OrderLines[Combo Flag],"Combo")/COUNTA(_xlfn.UNIQUE(_xlfn._xlws.FILTER(OrderLines[OrderID],OrderLines[Combo Flag]="Combo")))</f>
        <v>278.79768255813957</v>
      </c>
    </row>
    <row r="17" spans="1:17" x14ac:dyDescent="0.3">
      <c r="A17" s="6">
        <v>2</v>
      </c>
      <c r="B17" s="27" t="s">
        <v>551</v>
      </c>
      <c r="C17" s="26" t="s">
        <v>553</v>
      </c>
      <c r="D17" s="26" t="s">
        <v>554</v>
      </c>
      <c r="E17" s="26" t="s">
        <v>540</v>
      </c>
      <c r="F17" s="26" t="s">
        <v>558</v>
      </c>
      <c r="G17" s="26" t="s">
        <v>555</v>
      </c>
      <c r="H17" s="26" t="s">
        <v>556</v>
      </c>
      <c r="M17" s="11" t="s">
        <v>543</v>
      </c>
      <c r="N17" t="s">
        <v>560</v>
      </c>
      <c r="O17" t="s">
        <v>559</v>
      </c>
      <c r="P17" t="s">
        <v>561</v>
      </c>
      <c r="Q17" t="s">
        <v>547</v>
      </c>
    </row>
    <row r="18" spans="1:17" x14ac:dyDescent="0.3">
      <c r="B18" s="27" t="s">
        <v>544</v>
      </c>
      <c r="C18" s="8">
        <f>SUMIFS(OrderLines[LineNetAmount],OrderLines[Combo Flag],B18)</f>
        <v>46800.540700000041</v>
      </c>
      <c r="D18" cm="1">
        <f t="array" ref="D18">COUNTA(_xlfn.UNIQUE(_xlfn._xlws.FILTER(OrderLines[OrderID],OrderLines[Combo Flag]=B18)))</f>
        <v>86</v>
      </c>
      <c r="E18" s="8" cm="1">
        <f t="array" ref="E18">SUMIFS(OrderLines[LineNetAmount],OrderLines[Combo Flag],B18)/COUNTA(_xlfn.UNIQUE(_xlfn._xlws.FILTER(OrderLines[OrderID],OrderLines[Combo Flag]=B18)))</f>
        <v>544.19233372093072</v>
      </c>
      <c r="F18" s="8" cm="1">
        <f t="array" ref="F18">SUMIFS(OrderLines[Food Cost],OrderLines[Combo Flag],B18)/COUNTA(_xlfn.UNIQUE(_xlfn._xlws.FILTER(OrderLines[OrderID],OrderLines[Combo Flag]=B18)))</f>
        <v>265.39465116279041</v>
      </c>
      <c r="G18" s="8" cm="1">
        <f t="array" ref="G18">SUMIFS(OrderLines[Gross Profit],OrderLines[Combo Flag],B18)/COUNTA(_xlfn.UNIQUE(_xlfn._xlws.FILTER(OrderLines[OrderID],OrderLines[Combo Flag]=B18)))</f>
        <v>278.79768255813957</v>
      </c>
      <c r="H18" s="22">
        <f>SUMIFS(OrderLines[Gross Profit],OrderLines[Combo Flag],B18)/SUMIFS(OrderLines[LineNetAmount],OrderLines[Combo Flag],B18)</f>
        <v>0.51231460879254287</v>
      </c>
      <c r="M18" s="21" t="s">
        <v>544</v>
      </c>
      <c r="N18" s="25">
        <v>46800.540700000041</v>
      </c>
      <c r="O18" s="25">
        <v>22823.939999999973</v>
      </c>
      <c r="P18" s="25">
        <v>23976.600700000003</v>
      </c>
      <c r="Q18" s="102">
        <v>86</v>
      </c>
    </row>
    <row r="19" spans="1:17" x14ac:dyDescent="0.3">
      <c r="B19" s="27" t="s">
        <v>545</v>
      </c>
      <c r="C19" s="8">
        <f>SUMIFS(OrderLines[LineNetAmount],OrderLines[Combo Flag],B19)</f>
        <v>85847.08990000005</v>
      </c>
      <c r="D19" cm="1">
        <f t="array" ref="D19">COUNTA(_xlfn.UNIQUE(_xlfn._xlws.FILTER(OrderLines[OrderID],OrderLines[Combo Flag]=B19)))</f>
        <v>274</v>
      </c>
      <c r="E19" s="8" cm="1">
        <f t="array" ref="E19">SUMIFS(OrderLines[LineNetAmount],OrderLines[Combo Flag],B19)/COUNTA(_xlfn.UNIQUE(_xlfn._xlws.FILTER(OrderLines[OrderID],OrderLines[Combo Flag]=B19)))</f>
        <v>313.31054708029217</v>
      </c>
      <c r="F19" s="8" cm="1">
        <f t="array" ref="F19">SUMIFS(OrderLines[Food Cost],OrderLines[Combo Flag],B19)/COUNTA(_xlfn.UNIQUE(_xlfn._xlws.FILTER(OrderLines[OrderID],OrderLines[Combo Flag]=B19)))</f>
        <v>154.47211678832107</v>
      </c>
      <c r="G19" s="8" cm="1">
        <f t="array" ref="G19">SUMIFS(OrderLines[Gross Profit],OrderLines[Combo Flag],B19)/COUNTA(_xlfn.UNIQUE(_xlfn._xlws.FILTER(OrderLines[OrderID],OrderLines[Combo Flag]=B19)))</f>
        <v>158.83843029197098</v>
      </c>
      <c r="H19" s="22">
        <f>SUMIFS(OrderLines[Gross Profit],OrderLines[Combo Flag],B19)/SUMIFS(OrderLines[LineNetAmount],OrderLines[Combo Flag],B19)</f>
        <v>0.50696802827791632</v>
      </c>
      <c r="M19" s="21" t="s">
        <v>545</v>
      </c>
      <c r="N19" s="25">
        <v>85847.08990000005</v>
      </c>
      <c r="O19" s="25">
        <v>42325.359999999971</v>
      </c>
      <c r="P19" s="25">
        <v>43521.729900000049</v>
      </c>
      <c r="Q19" s="102">
        <v>274</v>
      </c>
    </row>
    <row r="20" spans="1:17" x14ac:dyDescent="0.3">
      <c r="B20" s="27" t="s">
        <v>557</v>
      </c>
      <c r="C20" s="8">
        <f>C18-C19</f>
        <v>-39046.549200000009</v>
      </c>
      <c r="D20" s="8">
        <f t="shared" ref="D20:H20" si="0">D18-D19</f>
        <v>-188</v>
      </c>
      <c r="E20" s="8">
        <f t="shared" si="0"/>
        <v>230.88178664063855</v>
      </c>
      <c r="F20" s="8">
        <f t="shared" si="0"/>
        <v>110.92253437446934</v>
      </c>
      <c r="G20" s="8">
        <f t="shared" si="0"/>
        <v>119.95925226616859</v>
      </c>
      <c r="H20" s="22">
        <f t="shared" si="0"/>
        <v>5.3465805146265533E-3</v>
      </c>
      <c r="M20" s="21" t="s">
        <v>529</v>
      </c>
      <c r="N20" s="25">
        <v>132647.63059999992</v>
      </c>
      <c r="O20" s="25">
        <v>65149.300000000061</v>
      </c>
      <c r="P20" s="25">
        <v>67498.33060000003</v>
      </c>
      <c r="Q20" s="102">
        <v>360</v>
      </c>
    </row>
    <row r="22" spans="1:17" x14ac:dyDescent="0.3">
      <c r="M22" s="9"/>
      <c r="N22" t="s">
        <v>582</v>
      </c>
      <c r="O22" t="s">
        <v>583</v>
      </c>
      <c r="P22" t="s">
        <v>584</v>
      </c>
      <c r="Q22" t="s">
        <v>562</v>
      </c>
    </row>
    <row r="23" spans="1:17" x14ac:dyDescent="0.3">
      <c r="M23" t="s">
        <v>544</v>
      </c>
      <c r="N23" s="25">
        <f>N18/$Q18</f>
        <v>544.19233372093072</v>
      </c>
      <c r="O23" s="25">
        <f>O18/$Q18</f>
        <v>265.39465116279041</v>
      </c>
      <c r="P23" s="25">
        <f>P18/$Q18</f>
        <v>278.79768255813957</v>
      </c>
      <c r="Q23" s="22">
        <f>P18/N18</f>
        <v>0.51231460879254287</v>
      </c>
    </row>
    <row r="24" spans="1:17" x14ac:dyDescent="0.3">
      <c r="M24" t="s">
        <v>545</v>
      </c>
      <c r="N24" s="25">
        <f t="shared" ref="N24:P24" si="1">N19/$Q19</f>
        <v>313.31054708029217</v>
      </c>
      <c r="O24" s="25">
        <f t="shared" si="1"/>
        <v>154.47211678832107</v>
      </c>
      <c r="P24" s="25">
        <f t="shared" si="1"/>
        <v>158.83843029197098</v>
      </c>
      <c r="Q24" s="22">
        <f t="shared" ref="Q24" si="2">P19/N19</f>
        <v>0.50696802827791632</v>
      </c>
    </row>
    <row r="25" spans="1:17" x14ac:dyDescent="0.3">
      <c r="M25" t="s">
        <v>557</v>
      </c>
      <c r="N25" s="25">
        <f>N23-N24</f>
        <v>230.88178664063855</v>
      </c>
      <c r="O25" s="25">
        <f t="shared" ref="O25:P25" si="3">O23-O24</f>
        <v>110.92253437446934</v>
      </c>
      <c r="P25" s="25">
        <f t="shared" si="3"/>
        <v>119.95925226616859</v>
      </c>
      <c r="Q25" s="22">
        <f>Q23-Q24</f>
        <v>5.3465805146265533E-3</v>
      </c>
    </row>
    <row r="30" spans="1:17" x14ac:dyDescent="0.3">
      <c r="M30" s="28"/>
      <c r="N30" s="29" t="s">
        <v>556</v>
      </c>
    </row>
    <row r="31" spans="1:17" x14ac:dyDescent="0.3">
      <c r="M31" s="30" t="s">
        <v>544</v>
      </c>
      <c r="N31" s="31">
        <f>Q23</f>
        <v>0.51231460879254287</v>
      </c>
    </row>
    <row r="32" spans="1:17" x14ac:dyDescent="0.3">
      <c r="M32" s="30" t="s">
        <v>545</v>
      </c>
      <c r="N32" s="31">
        <f>Q24</f>
        <v>0.50696802827791632</v>
      </c>
    </row>
    <row r="33" spans="1:14" x14ac:dyDescent="0.3">
      <c r="M33" s="30" t="s">
        <v>557</v>
      </c>
      <c r="N33" s="31">
        <f>Q25</f>
        <v>5.3465805146265533E-3</v>
      </c>
    </row>
    <row r="38" spans="1:14" x14ac:dyDescent="0.3">
      <c r="A38" s="6">
        <v>4</v>
      </c>
      <c r="B38" s="11" t="s">
        <v>547</v>
      </c>
      <c r="C38" s="11" t="s">
        <v>546</v>
      </c>
    </row>
    <row r="39" spans="1:14" x14ac:dyDescent="0.3">
      <c r="B39" s="11" t="s">
        <v>543</v>
      </c>
      <c r="C39" t="s">
        <v>544</v>
      </c>
    </row>
    <row r="40" spans="1:14" x14ac:dyDescent="0.3">
      <c r="B40" s="21" t="s">
        <v>12</v>
      </c>
      <c r="C40" s="12">
        <v>1</v>
      </c>
    </row>
    <row r="41" spans="1:14" x14ac:dyDescent="0.3">
      <c r="B41" s="21" t="s">
        <v>529</v>
      </c>
      <c r="C41" s="12">
        <v>1</v>
      </c>
    </row>
    <row r="47" spans="1:14" x14ac:dyDescent="0.3">
      <c r="A47" s="6">
        <v>3</v>
      </c>
      <c r="B47" s="11" t="s">
        <v>547</v>
      </c>
      <c r="C47" s="11" t="s">
        <v>546</v>
      </c>
    </row>
    <row r="48" spans="1:14" x14ac:dyDescent="0.3">
      <c r="B48" s="11" t="s">
        <v>543</v>
      </c>
      <c r="C48" t="s">
        <v>544</v>
      </c>
    </row>
    <row r="49" spans="1:6" x14ac:dyDescent="0.3">
      <c r="B49" s="21" t="s">
        <v>27</v>
      </c>
      <c r="C49" s="12">
        <v>0.1744186046511628</v>
      </c>
    </row>
    <row r="50" spans="1:6" x14ac:dyDescent="0.3">
      <c r="B50" s="21" t="s">
        <v>9</v>
      </c>
      <c r="C50" s="12">
        <v>0.40697674418604651</v>
      </c>
    </row>
    <row r="51" spans="1:6" x14ac:dyDescent="0.3">
      <c r="B51" s="21" t="s">
        <v>15</v>
      </c>
      <c r="C51" s="12">
        <v>0.41860465116279072</v>
      </c>
    </row>
    <row r="52" spans="1:6" x14ac:dyDescent="0.3">
      <c r="B52" s="21" t="s">
        <v>529</v>
      </c>
      <c r="C52" s="12">
        <v>1</v>
      </c>
    </row>
    <row r="56" spans="1:6" x14ac:dyDescent="0.3">
      <c r="A56" s="6">
        <v>5</v>
      </c>
      <c r="B56" s="11" t="s">
        <v>580</v>
      </c>
      <c r="C56" t="s">
        <v>581</v>
      </c>
      <c r="E56" t="s">
        <v>580</v>
      </c>
      <c r="F56" t="s">
        <v>581</v>
      </c>
    </row>
    <row r="57" spans="1:6" x14ac:dyDescent="0.3">
      <c r="B57" s="21" t="s">
        <v>444</v>
      </c>
      <c r="C57" s="102">
        <v>34</v>
      </c>
      <c r="E57" t="str">
        <f t="shared" ref="E57:E71" si="4">B57</f>
        <v>Beverage</v>
      </c>
      <c r="F57">
        <f t="shared" ref="F57:F71" si="5">C57</f>
        <v>34</v>
      </c>
    </row>
    <row r="58" spans="1:6" x14ac:dyDescent="0.3">
      <c r="B58" s="21" t="s">
        <v>566</v>
      </c>
      <c r="C58" s="102">
        <v>31</v>
      </c>
      <c r="E58" t="str">
        <f t="shared" si="4"/>
        <v>Beverage+Snack</v>
      </c>
      <c r="F58">
        <f t="shared" si="5"/>
        <v>31</v>
      </c>
    </row>
    <row r="59" spans="1:6" x14ac:dyDescent="0.3">
      <c r="B59" s="21" t="s">
        <v>436</v>
      </c>
      <c r="C59" s="102">
        <v>29</v>
      </c>
      <c r="E59" t="str">
        <f t="shared" si="4"/>
        <v>Snack</v>
      </c>
      <c r="F59">
        <f t="shared" si="5"/>
        <v>29</v>
      </c>
    </row>
    <row r="60" spans="1:6" x14ac:dyDescent="0.3">
      <c r="B60" s="21" t="s">
        <v>572</v>
      </c>
      <c r="C60" s="102">
        <v>28</v>
      </c>
      <c r="E60" t="str">
        <f t="shared" si="4"/>
        <v>Hot Meal+Snack</v>
      </c>
      <c r="F60">
        <f t="shared" si="5"/>
        <v>28</v>
      </c>
    </row>
    <row r="61" spans="1:6" x14ac:dyDescent="0.3">
      <c r="B61" s="21" t="s">
        <v>425</v>
      </c>
      <c r="C61" s="102">
        <v>27</v>
      </c>
      <c r="E61" t="str">
        <f t="shared" si="4"/>
        <v>Hot Meal</v>
      </c>
      <c r="F61">
        <f t="shared" si="5"/>
        <v>27</v>
      </c>
    </row>
    <row r="62" spans="1:6" x14ac:dyDescent="0.3">
      <c r="B62" s="21" t="s">
        <v>574</v>
      </c>
      <c r="C62" s="102">
        <v>27</v>
      </c>
      <c r="E62" t="str">
        <f t="shared" si="4"/>
        <v>Dessert+Hot Meal</v>
      </c>
      <c r="F62">
        <f t="shared" si="5"/>
        <v>27</v>
      </c>
    </row>
    <row r="63" spans="1:6" x14ac:dyDescent="0.3">
      <c r="B63" s="21" t="s">
        <v>571</v>
      </c>
      <c r="C63" s="102">
        <v>27</v>
      </c>
      <c r="E63" t="str">
        <f t="shared" si="4"/>
        <v>Beverage+Dessert+Hot Meal</v>
      </c>
      <c r="F63">
        <f t="shared" si="5"/>
        <v>27</v>
      </c>
    </row>
    <row r="64" spans="1:6" x14ac:dyDescent="0.3">
      <c r="B64" s="21" t="s">
        <v>565</v>
      </c>
      <c r="C64" s="102">
        <v>25</v>
      </c>
      <c r="E64" t="str">
        <f t="shared" si="4"/>
        <v>Beverage+Hot Meal+Snack</v>
      </c>
      <c r="F64">
        <f t="shared" si="5"/>
        <v>25</v>
      </c>
    </row>
    <row r="65" spans="1:7" x14ac:dyDescent="0.3">
      <c r="B65" s="21" t="s">
        <v>567</v>
      </c>
      <c r="C65" s="102">
        <v>25</v>
      </c>
      <c r="E65" t="str">
        <f t="shared" si="4"/>
        <v>Beverage+Hot Meal</v>
      </c>
      <c r="F65">
        <f t="shared" si="5"/>
        <v>25</v>
      </c>
    </row>
    <row r="66" spans="1:7" x14ac:dyDescent="0.3">
      <c r="B66" s="21" t="s">
        <v>564</v>
      </c>
      <c r="C66" s="102">
        <v>23</v>
      </c>
      <c r="E66" t="str">
        <f t="shared" si="4"/>
        <v>Beverage+Dessert</v>
      </c>
      <c r="F66">
        <f t="shared" si="5"/>
        <v>23</v>
      </c>
    </row>
    <row r="67" spans="1:7" x14ac:dyDescent="0.3">
      <c r="B67" s="21" t="s">
        <v>568</v>
      </c>
      <c r="C67" s="102">
        <v>23</v>
      </c>
      <c r="E67" t="str">
        <f t="shared" si="4"/>
        <v>Dessert+Hot Meal+Snack</v>
      </c>
      <c r="F67">
        <f t="shared" si="5"/>
        <v>23</v>
      </c>
    </row>
    <row r="68" spans="1:7" x14ac:dyDescent="0.3">
      <c r="B68" s="21" t="s">
        <v>573</v>
      </c>
      <c r="C68" s="102">
        <v>22</v>
      </c>
      <c r="E68" t="str">
        <f t="shared" si="4"/>
        <v>Beverage+Dessert+Snack</v>
      </c>
      <c r="F68">
        <f t="shared" si="5"/>
        <v>22</v>
      </c>
    </row>
    <row r="69" spans="1:7" x14ac:dyDescent="0.3">
      <c r="B69" s="21" t="s">
        <v>570</v>
      </c>
      <c r="C69" s="102">
        <v>18</v>
      </c>
      <c r="E69" t="str">
        <f t="shared" si="4"/>
        <v>Dessert+Snack</v>
      </c>
      <c r="F69">
        <f t="shared" si="5"/>
        <v>18</v>
      </c>
    </row>
    <row r="70" spans="1:7" x14ac:dyDescent="0.3">
      <c r="B70" s="21" t="s">
        <v>450</v>
      </c>
      <c r="C70" s="102">
        <v>12</v>
      </c>
      <c r="E70" t="str">
        <f t="shared" si="4"/>
        <v>Dessert</v>
      </c>
      <c r="F70">
        <f t="shared" si="5"/>
        <v>12</v>
      </c>
    </row>
    <row r="71" spans="1:7" x14ac:dyDescent="0.3">
      <c r="B71" s="21" t="s">
        <v>569</v>
      </c>
      <c r="C71" s="102">
        <v>9</v>
      </c>
      <c r="E71" t="str">
        <f t="shared" si="4"/>
        <v>Beverage+Dessert+Hot Meal+Snack</v>
      </c>
      <c r="F71">
        <f t="shared" si="5"/>
        <v>9</v>
      </c>
    </row>
    <row r="74" spans="1:7" x14ac:dyDescent="0.3">
      <c r="A74" s="6">
        <v>6</v>
      </c>
      <c r="C74" t="s">
        <v>425</v>
      </c>
      <c r="D74" t="s">
        <v>444</v>
      </c>
      <c r="E74" t="s">
        <v>585</v>
      </c>
    </row>
    <row r="75" spans="1:7" x14ac:dyDescent="0.3">
      <c r="C75" s="23" t="s">
        <v>429</v>
      </c>
      <c r="D75" s="23" t="s">
        <v>448</v>
      </c>
      <c r="E75" s="20">
        <v>0.05</v>
      </c>
    </row>
    <row r="77" spans="1:7" x14ac:dyDescent="0.3">
      <c r="C77" t="s">
        <v>587</v>
      </c>
      <c r="D77" t="s">
        <v>586</v>
      </c>
      <c r="E77" t="s">
        <v>588</v>
      </c>
      <c r="F77" t="s">
        <v>535</v>
      </c>
      <c r="G77" t="s">
        <v>589</v>
      </c>
    </row>
    <row r="78" spans="1:7" x14ac:dyDescent="0.3">
      <c r="C78" cm="1">
        <f t="array" ref="C78">SUM(_xlfn._xlws.FILTER(Menu[UnitCost],Menu[ItemName]=C75),_xlfn._xlws.FILTER(Menu[UnitCost],Menu[ItemName]=D75))</f>
        <v>94.81</v>
      </c>
      <c r="D78" s="8" cm="1">
        <f t="array" ref="D78">(SUM(_xlfn._xlws.FILTER(Menu[UnitPrice],Menu[ItemName]=C75),_xlfn._xlws.FILTER(Menu[UnitPrice],Menu[ItemName]=D75)))*(1-E75)</f>
        <v>166.08850000000001</v>
      </c>
      <c r="E78" s="8">
        <f>D78-C78</f>
        <v>71.278500000000008</v>
      </c>
      <c r="F78" s="22">
        <f>E78/D78</f>
        <v>0.42915975519075678</v>
      </c>
      <c r="G78">
        <f>_xlfn.XLOOKUP(D75,Inventory[ItemName],Inventory[OnHandQty],"Not Available",0)</f>
        <v>199</v>
      </c>
    </row>
    <row r="87" spans="2:16" ht="18" x14ac:dyDescent="0.35">
      <c r="D87" s="46" t="s">
        <v>611</v>
      </c>
    </row>
    <row r="90" spans="2:16" x14ac:dyDescent="0.3">
      <c r="B90" s="11" t="s">
        <v>609</v>
      </c>
      <c r="C90" t="s">
        <v>613</v>
      </c>
    </row>
    <row r="91" spans="2:16" x14ac:dyDescent="0.3">
      <c r="I91" s="11" t="s">
        <v>543</v>
      </c>
      <c r="J91" t="s">
        <v>608</v>
      </c>
      <c r="M91" s="11" t="s">
        <v>543</v>
      </c>
      <c r="N91" t="s">
        <v>617</v>
      </c>
      <c r="P91" t="s">
        <v>605</v>
      </c>
    </row>
    <row r="92" spans="2:16" x14ac:dyDescent="0.3">
      <c r="B92" t="s">
        <v>605</v>
      </c>
      <c r="E92" s="11" t="s">
        <v>543</v>
      </c>
      <c r="F92" t="s">
        <v>605</v>
      </c>
      <c r="I92" s="21" t="s">
        <v>613</v>
      </c>
      <c r="J92" s="8">
        <v>544.19233372093049</v>
      </c>
      <c r="M92" s="21" t="s">
        <v>613</v>
      </c>
      <c r="N92" s="8">
        <v>278.79768255813946</v>
      </c>
      <c r="P92" s="102">
        <v>360</v>
      </c>
    </row>
    <row r="93" spans="2:16" x14ac:dyDescent="0.3">
      <c r="B93" s="102">
        <v>86</v>
      </c>
      <c r="E93" s="21" t="s">
        <v>613</v>
      </c>
      <c r="F93" s="12">
        <v>0.2388888888888889</v>
      </c>
      <c r="I93" s="21" t="s">
        <v>614</v>
      </c>
      <c r="J93" s="8">
        <v>313.31054708029222</v>
      </c>
      <c r="M93" s="21" t="s">
        <v>614</v>
      </c>
      <c r="N93" s="8">
        <v>158.83843029197089</v>
      </c>
    </row>
    <row r="94" spans="2:16" x14ac:dyDescent="0.3">
      <c r="E94" s="21" t="s">
        <v>614</v>
      </c>
      <c r="F94" s="12">
        <v>0.76111111111111107</v>
      </c>
      <c r="I94" s="21" t="s">
        <v>529</v>
      </c>
      <c r="J94" s="8">
        <v>368.46564055555575</v>
      </c>
      <c r="M94" s="21" t="s">
        <v>529</v>
      </c>
      <c r="N94" s="8">
        <v>187.4953627777777</v>
      </c>
    </row>
    <row r="95" spans="2:16" x14ac:dyDescent="0.3">
      <c r="E95" s="21" t="s">
        <v>529</v>
      </c>
      <c r="F95" s="12">
        <v>1</v>
      </c>
    </row>
    <row r="102" spans="2:5" x14ac:dyDescent="0.3">
      <c r="C102" s="11" t="s">
        <v>546</v>
      </c>
    </row>
    <row r="103" spans="2:5" x14ac:dyDescent="0.3">
      <c r="B103" s="11" t="s">
        <v>610</v>
      </c>
      <c r="C103" t="s">
        <v>613</v>
      </c>
      <c r="D103" t="s">
        <v>614</v>
      </c>
    </row>
    <row r="104" spans="2:5" x14ac:dyDescent="0.3">
      <c r="B104" s="21" t="s">
        <v>608</v>
      </c>
      <c r="C104" s="8">
        <v>544.19233372093049</v>
      </c>
      <c r="D104" s="8">
        <v>313.31054708029222</v>
      </c>
      <c r="E104" s="22">
        <f>(C104-D104)/D104</f>
        <v>0.73691035553128093</v>
      </c>
    </row>
    <row r="105" spans="2:5" x14ac:dyDescent="0.3">
      <c r="B105" s="21" t="s">
        <v>618</v>
      </c>
      <c r="C105" s="8">
        <v>265.39465116279069</v>
      </c>
      <c r="D105" s="8">
        <v>154.4721167883211</v>
      </c>
      <c r="E105" s="22">
        <f t="shared" ref="E105:E107" si="6">(C105-D105)/D105</f>
        <v>0.7180748000396141</v>
      </c>
    </row>
    <row r="106" spans="2:5" x14ac:dyDescent="0.3">
      <c r="B106" s="21" t="s">
        <v>617</v>
      </c>
      <c r="C106" s="8">
        <v>278.79768255813946</v>
      </c>
      <c r="D106" s="8">
        <v>158.83843029197089</v>
      </c>
      <c r="E106" s="22">
        <f t="shared" si="6"/>
        <v>0.75522813997635163</v>
      </c>
    </row>
    <row r="107" spans="2:5" x14ac:dyDescent="0.3">
      <c r="B107" s="21" t="s">
        <v>619</v>
      </c>
      <c r="C107" s="106">
        <v>0.51231460879254354</v>
      </c>
      <c r="D107" s="106">
        <v>0.50696802827791665</v>
      </c>
      <c r="E107" s="22">
        <f>C107-D107</f>
        <v>5.3465805146268863E-3</v>
      </c>
    </row>
    <row r="113" spans="2:4" x14ac:dyDescent="0.3">
      <c r="B113" s="11" t="s">
        <v>605</v>
      </c>
      <c r="C113" s="11" t="s">
        <v>546</v>
      </c>
    </row>
    <row r="114" spans="2:4" x14ac:dyDescent="0.3">
      <c r="B114" s="11" t="s">
        <v>543</v>
      </c>
      <c r="C114" t="s">
        <v>613</v>
      </c>
      <c r="D114" t="s">
        <v>614</v>
      </c>
    </row>
    <row r="115" spans="2:4" x14ac:dyDescent="0.3">
      <c r="B115" s="21" t="s">
        <v>9</v>
      </c>
      <c r="C115" s="12">
        <v>0.28925619834710742</v>
      </c>
      <c r="D115" s="12">
        <v>0.71074380165289253</v>
      </c>
    </row>
    <row r="116" spans="2:4" x14ac:dyDescent="0.3">
      <c r="B116" s="21" t="s">
        <v>27</v>
      </c>
      <c r="C116" s="12">
        <v>0.13761467889908258</v>
      </c>
      <c r="D116" s="12">
        <v>0.86238532110091748</v>
      </c>
    </row>
    <row r="117" spans="2:4" x14ac:dyDescent="0.3">
      <c r="B117" s="21" t="s">
        <v>15</v>
      </c>
      <c r="C117" s="12">
        <v>0.27692307692307694</v>
      </c>
      <c r="D117" s="12">
        <v>0.72307692307692306</v>
      </c>
    </row>
    <row r="123" spans="2:4" x14ac:dyDescent="0.3">
      <c r="B123" s="11" t="s">
        <v>605</v>
      </c>
      <c r="C123" s="11" t="s">
        <v>546</v>
      </c>
    </row>
    <row r="124" spans="2:4" x14ac:dyDescent="0.3">
      <c r="B124" s="11" t="s">
        <v>543</v>
      </c>
      <c r="C124" t="s">
        <v>613</v>
      </c>
      <c r="D124" t="s">
        <v>614</v>
      </c>
    </row>
    <row r="125" spans="2:4" x14ac:dyDescent="0.3">
      <c r="B125" s="21" t="s">
        <v>12</v>
      </c>
      <c r="C125" s="12">
        <v>0.22598870056497175</v>
      </c>
      <c r="D125" s="12">
        <v>0.77401129943502822</v>
      </c>
    </row>
    <row r="126" spans="2:4" x14ac:dyDescent="0.3">
      <c r="B126" s="21" t="s">
        <v>18</v>
      </c>
      <c r="C126" s="12">
        <v>0.2818181818181818</v>
      </c>
      <c r="D126" s="12">
        <v>0.71818181818181814</v>
      </c>
    </row>
    <row r="127" spans="2:4" x14ac:dyDescent="0.3">
      <c r="B127" s="21" t="s">
        <v>22</v>
      </c>
      <c r="C127" s="12">
        <v>0.20547945205479451</v>
      </c>
      <c r="D127" s="12">
        <v>0.79452054794520544</v>
      </c>
    </row>
    <row r="132" spans="2:3" x14ac:dyDescent="0.3">
      <c r="B132" s="11" t="s">
        <v>543</v>
      </c>
      <c r="C132" t="s">
        <v>621</v>
      </c>
    </row>
    <row r="133" spans="2:3" x14ac:dyDescent="0.3">
      <c r="B133" s="21" t="s">
        <v>444</v>
      </c>
      <c r="C133" s="102">
        <v>34</v>
      </c>
    </row>
    <row r="134" spans="2:3" x14ac:dyDescent="0.3">
      <c r="B134" s="21" t="s">
        <v>566</v>
      </c>
      <c r="C134" s="102">
        <v>31</v>
      </c>
    </row>
    <row r="135" spans="2:3" x14ac:dyDescent="0.3">
      <c r="B135" s="21" t="s">
        <v>436</v>
      </c>
      <c r="C135" s="102">
        <v>29</v>
      </c>
    </row>
    <row r="136" spans="2:3" x14ac:dyDescent="0.3">
      <c r="B136" s="21" t="s">
        <v>572</v>
      </c>
      <c r="C136" s="102">
        <v>28</v>
      </c>
    </row>
    <row r="137" spans="2:3" x14ac:dyDescent="0.3">
      <c r="B137" s="21" t="s">
        <v>425</v>
      </c>
      <c r="C137" s="102">
        <v>27</v>
      </c>
    </row>
    <row r="138" spans="2:3" x14ac:dyDescent="0.3">
      <c r="B138" s="21" t="s">
        <v>574</v>
      </c>
      <c r="C138" s="102">
        <v>27</v>
      </c>
    </row>
    <row r="139" spans="2:3" x14ac:dyDescent="0.3">
      <c r="B139" s="21" t="s">
        <v>571</v>
      </c>
      <c r="C139" s="102">
        <v>27</v>
      </c>
    </row>
    <row r="140" spans="2:3" x14ac:dyDescent="0.3">
      <c r="B140" s="21" t="s">
        <v>565</v>
      </c>
      <c r="C140" s="102">
        <v>25</v>
      </c>
    </row>
    <row r="141" spans="2:3" x14ac:dyDescent="0.3">
      <c r="B141" s="21" t="s">
        <v>567</v>
      </c>
      <c r="C141" s="102">
        <v>25</v>
      </c>
    </row>
    <row r="142" spans="2:3" x14ac:dyDescent="0.3">
      <c r="B142" s="21" t="s">
        <v>564</v>
      </c>
      <c r="C142" s="102">
        <v>23</v>
      </c>
    </row>
    <row r="143" spans="2:3" x14ac:dyDescent="0.3">
      <c r="B143" s="21" t="s">
        <v>568</v>
      </c>
      <c r="C143" s="102">
        <v>23</v>
      </c>
    </row>
    <row r="144" spans="2:3" x14ac:dyDescent="0.3">
      <c r="B144" s="21" t="s">
        <v>573</v>
      </c>
      <c r="C144" s="102">
        <v>22</v>
      </c>
    </row>
    <row r="145" spans="2:3" x14ac:dyDescent="0.3">
      <c r="B145" s="21" t="s">
        <v>570</v>
      </c>
      <c r="C145" s="102">
        <v>18</v>
      </c>
    </row>
    <row r="146" spans="2:3" x14ac:dyDescent="0.3">
      <c r="B146" s="21" t="s">
        <v>450</v>
      </c>
      <c r="C146" s="102">
        <v>12</v>
      </c>
    </row>
    <row r="147" spans="2:3" x14ac:dyDescent="0.3">
      <c r="B147" s="21" t="s">
        <v>569</v>
      </c>
      <c r="C147" s="102">
        <v>9</v>
      </c>
    </row>
  </sheetData>
  <conditionalFormatting sqref="F57:F71">
    <cfRule type="dataBar" priority="1">
      <dataBar>
        <cfvo type="min"/>
        <cfvo type="max"/>
        <color rgb="FF638EC6"/>
      </dataBar>
      <extLst>
        <ext xmlns:x14="http://schemas.microsoft.com/office/spreadsheetml/2009/9/main" uri="{B025F937-C7B1-47D3-B67F-A62EFF666E3E}">
          <x14:id>{F32264F3-F479-4E49-ACF4-418D5B5173BD}</x14:id>
        </ext>
      </extLst>
    </cfRule>
  </conditionalFormatting>
  <pageMargins left="0.7" right="0.7" top="0.75" bottom="0.75" header="0.3" footer="0.3"/>
  <drawing r:id="rId14"/>
  <tableParts count="1">
    <tablePart r:id="rId15"/>
  </tableParts>
  <extLst>
    <ext xmlns:x14="http://schemas.microsoft.com/office/spreadsheetml/2009/9/main" uri="{78C0D931-6437-407d-A8EE-F0AAD7539E65}">
      <x14:conditionalFormattings>
        <x14:conditionalFormatting xmlns:xm="http://schemas.microsoft.com/office/excel/2006/main">
          <x14:cfRule type="dataBar" id="{F32264F3-F479-4E49-ACF4-418D5B5173BD}">
            <x14:dataBar minLength="0" maxLength="100" border="1" negativeBarBorderColorSameAsPositive="0">
              <x14:cfvo type="autoMin"/>
              <x14:cfvo type="autoMax"/>
              <x14:borderColor rgb="FF638EC6"/>
              <x14:negativeFillColor rgb="FFFF0000"/>
              <x14:negativeBorderColor rgb="FFFF0000"/>
              <x14:axisColor rgb="FF000000"/>
            </x14:dataBar>
          </x14:cfRule>
          <xm:sqref>F57:F71</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BC2F42E2-D106-425A-B6A5-DDEFDEE9B6BE}">
          <x14:formula1>
            <xm:f>'Menu (Day 6 Ans)'!$B$2:$B$6</xm:f>
          </x14:formula1>
          <xm:sqref>C75</xm:sqref>
        </x14:dataValidation>
        <x14:dataValidation type="list" allowBlank="1" showInputMessage="1" showErrorMessage="1" xr:uid="{0633A554-C0E0-44D5-B082-ECD9E990D252}">
          <x14:formula1>
            <xm:f>'Menu (Day 6 Ans)'!$B$12:$B$16</xm:f>
          </x14:formula1>
          <xm:sqref>D75</xm:sqref>
        </x14:dataValidation>
      </x14:dataValidations>
    </ex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85B9-79B7-432E-8A37-EDA5151C6658}">
  <dimension ref="A2:AJ44"/>
  <sheetViews>
    <sheetView showGridLines="0" tabSelected="1" zoomScale="57" workbookViewId="0">
      <selection activeCell="AF23" sqref="AF23"/>
    </sheetView>
  </sheetViews>
  <sheetFormatPr defaultColWidth="8.77734375" defaultRowHeight="14.4" x14ac:dyDescent="0.3"/>
  <cols>
    <col min="1" max="1" width="1.88671875" customWidth="1"/>
    <col min="19" max="19" width="8.88671875" customWidth="1"/>
    <col min="32" max="32" width="17.6640625" bestFit="1" customWidth="1"/>
    <col min="33" max="33" width="14.21875" bestFit="1" customWidth="1"/>
    <col min="34" max="34" width="9.88671875" bestFit="1" customWidth="1"/>
    <col min="35" max="35" width="19.44140625" bestFit="1" customWidth="1"/>
  </cols>
  <sheetData>
    <row r="2" spans="1:36" x14ac:dyDescent="0.3">
      <c r="A2" s="47" t="s">
        <v>600</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104"/>
      <c r="AJ2" s="104"/>
    </row>
    <row r="3" spans="1:36" x14ac:dyDescent="0.3">
      <c r="A3" s="47"/>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104"/>
      <c r="AJ3" s="104"/>
    </row>
    <row r="4" spans="1:36" x14ac:dyDescent="0.3">
      <c r="A4" s="47"/>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104"/>
      <c r="AJ4" s="104"/>
    </row>
    <row r="5" spans="1:36" ht="15" thickBot="1" x14ac:dyDescent="0.3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3"/>
      <c r="AD5" s="23"/>
      <c r="AE5" s="23"/>
      <c r="AF5" s="23"/>
      <c r="AG5" s="23"/>
      <c r="AH5" s="23"/>
      <c r="AI5" s="23"/>
      <c r="AJ5" s="23"/>
    </row>
    <row r="6" spans="1:36" ht="18" x14ac:dyDescent="0.3">
      <c r="A6" s="23"/>
      <c r="B6" s="49" t="s">
        <v>578</v>
      </c>
      <c r="C6" s="50"/>
      <c r="D6" s="50"/>
      <c r="E6" s="51"/>
      <c r="F6" s="34"/>
      <c r="G6" s="49" t="s">
        <v>575</v>
      </c>
      <c r="H6" s="50"/>
      <c r="I6" s="50"/>
      <c r="J6" s="51"/>
      <c r="K6" s="23"/>
      <c r="L6" s="49" t="s">
        <v>576</v>
      </c>
      <c r="M6" s="50"/>
      <c r="N6" s="50"/>
      <c r="O6" s="51"/>
      <c r="P6" s="23"/>
      <c r="Q6" s="84" t="s">
        <v>577</v>
      </c>
      <c r="R6" s="85"/>
      <c r="S6" s="85"/>
      <c r="T6" s="86"/>
      <c r="U6" s="23"/>
      <c r="V6" s="49" t="s">
        <v>579</v>
      </c>
      <c r="W6" s="50"/>
      <c r="X6" s="50"/>
      <c r="Y6" s="51"/>
      <c r="Z6" s="23"/>
      <c r="AA6" s="49" t="s">
        <v>598</v>
      </c>
      <c r="AB6" s="50"/>
      <c r="AC6" s="50"/>
      <c r="AD6" s="51"/>
      <c r="AE6" s="23"/>
      <c r="AF6" s="23"/>
      <c r="AG6" s="23"/>
      <c r="AH6" s="23"/>
      <c r="AI6" s="23"/>
      <c r="AJ6" s="23"/>
    </row>
    <row r="7" spans="1:36" ht="18" x14ac:dyDescent="0.3">
      <c r="A7" s="23"/>
      <c r="B7" s="52"/>
      <c r="C7" s="53"/>
      <c r="D7" s="53"/>
      <c r="E7" s="54"/>
      <c r="F7" s="34"/>
      <c r="G7" s="52"/>
      <c r="H7" s="53"/>
      <c r="I7" s="53"/>
      <c r="J7" s="54"/>
      <c r="K7" s="23"/>
      <c r="L7" s="52"/>
      <c r="M7" s="53"/>
      <c r="N7" s="53"/>
      <c r="O7" s="54"/>
      <c r="P7" s="23"/>
      <c r="Q7" s="87"/>
      <c r="R7" s="88"/>
      <c r="S7" s="88"/>
      <c r="T7" s="89"/>
      <c r="U7" s="23"/>
      <c r="V7" s="52"/>
      <c r="W7" s="53"/>
      <c r="X7" s="53"/>
      <c r="Y7" s="54"/>
      <c r="Z7" s="23"/>
      <c r="AA7" s="52"/>
      <c r="AB7" s="53"/>
      <c r="AC7" s="53"/>
      <c r="AD7" s="54"/>
      <c r="AE7" s="23"/>
      <c r="AF7" s="23"/>
      <c r="AG7" s="23"/>
      <c r="AH7" s="23"/>
      <c r="AI7" s="23"/>
      <c r="AJ7" s="23"/>
    </row>
    <row r="8" spans="1:36" ht="21.6" thickBot="1" x14ac:dyDescent="0.45">
      <c r="A8" s="23"/>
      <c r="B8" s="96">
        <f>'pivot charts'!B93</f>
        <v>86</v>
      </c>
      <c r="C8" s="97"/>
      <c r="D8" s="97"/>
      <c r="E8" s="98"/>
      <c r="F8" s="35"/>
      <c r="G8" s="70">
        <f>'pivot charts'!F93</f>
        <v>0.2388888888888889</v>
      </c>
      <c r="H8" s="71"/>
      <c r="I8" s="71"/>
      <c r="J8" s="72"/>
      <c r="K8" s="23"/>
      <c r="L8" s="55">
        <f>'pivot charts'!J92</f>
        <v>544.19233372093049</v>
      </c>
      <c r="M8" s="56"/>
      <c r="N8" s="56"/>
      <c r="O8" s="57"/>
      <c r="P8" s="23"/>
      <c r="Q8" s="55">
        <f>'pivot charts'!N92</f>
        <v>278.79768255813946</v>
      </c>
      <c r="R8" s="56"/>
      <c r="S8" s="56"/>
      <c r="T8" s="57"/>
      <c r="U8" s="23"/>
      <c r="V8" s="96">
        <f>'pivot charts'!P92</f>
        <v>360</v>
      </c>
      <c r="W8" s="97"/>
      <c r="X8" s="97"/>
      <c r="Y8" s="98"/>
      <c r="Z8" s="23"/>
      <c r="AA8" s="70">
        <f>'pivot charts'!C107</f>
        <v>0.51231460879254354</v>
      </c>
      <c r="AB8" s="71"/>
      <c r="AC8" s="71"/>
      <c r="AD8" s="72"/>
      <c r="AE8" s="23"/>
      <c r="AF8" s="23"/>
      <c r="AG8" s="23"/>
      <c r="AH8" s="23"/>
      <c r="AI8" s="23"/>
      <c r="AJ8" s="23"/>
    </row>
    <row r="9" spans="1:36"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row>
    <row r="10" spans="1:36"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row>
    <row r="11" spans="1:36"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row>
    <row r="12" spans="1:36"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row>
    <row r="13" spans="1:36"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33"/>
      <c r="AF13" s="23"/>
      <c r="AG13" s="23"/>
      <c r="AH13" s="23"/>
      <c r="AI13" s="23"/>
      <c r="AJ13" s="23"/>
    </row>
    <row r="14" spans="1:36"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33"/>
      <c r="AF14" s="23"/>
      <c r="AG14" s="23"/>
      <c r="AH14" s="23"/>
      <c r="AI14" s="23"/>
      <c r="AJ14" s="23"/>
    </row>
    <row r="15" spans="1:36"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33"/>
      <c r="AF15" s="23"/>
      <c r="AG15" s="23"/>
      <c r="AH15" s="23"/>
      <c r="AI15" s="23"/>
      <c r="AJ15" s="23"/>
    </row>
    <row r="16" spans="1:36"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33"/>
      <c r="AF16" s="23"/>
      <c r="AG16" s="23"/>
      <c r="AH16" s="23"/>
      <c r="AI16" s="23"/>
      <c r="AJ16" s="23"/>
    </row>
    <row r="17" spans="1:36"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33"/>
      <c r="AF17" s="23"/>
      <c r="AG17" s="23"/>
      <c r="AH17" s="23"/>
      <c r="AI17" s="23"/>
      <c r="AJ17" s="23"/>
    </row>
    <row r="18" spans="1:36"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33"/>
      <c r="AF18" s="23"/>
      <c r="AG18" s="23"/>
      <c r="AH18" s="23"/>
      <c r="AI18" s="23"/>
      <c r="AJ18" s="23"/>
    </row>
    <row r="19" spans="1:36"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33"/>
      <c r="AF19" s="23"/>
      <c r="AG19" s="23"/>
      <c r="AH19" s="23"/>
      <c r="AI19" s="23"/>
      <c r="AJ19" s="23"/>
    </row>
    <row r="20" spans="1:36"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33"/>
      <c r="AF20" s="23"/>
      <c r="AG20" s="23"/>
      <c r="AH20" s="23"/>
      <c r="AI20" s="23"/>
      <c r="AJ20" s="23"/>
    </row>
    <row r="21" spans="1:36"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33"/>
      <c r="AF21" s="23"/>
      <c r="AG21" s="23"/>
      <c r="AH21" s="23"/>
      <c r="AI21" s="23"/>
      <c r="AJ21" s="23"/>
    </row>
    <row r="22" spans="1:36"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33"/>
      <c r="AF22" s="23"/>
      <c r="AG22" s="23"/>
      <c r="AH22" s="23"/>
      <c r="AI22" s="23"/>
      <c r="AJ22" s="23"/>
    </row>
    <row r="23" spans="1:36"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33"/>
      <c r="AF23" s="23"/>
      <c r="AG23" s="23"/>
      <c r="AH23" s="23"/>
      <c r="AI23" s="23"/>
      <c r="AJ23" s="23"/>
    </row>
    <row r="24" spans="1:36"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33"/>
      <c r="AF24" s="23"/>
      <c r="AG24" s="23"/>
      <c r="AH24" s="23"/>
      <c r="AI24" s="23"/>
      <c r="AJ24" s="23"/>
    </row>
    <row r="25" spans="1:36"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33"/>
      <c r="AF25" s="23"/>
      <c r="AG25" s="23"/>
      <c r="AH25" s="23"/>
      <c r="AI25" s="23"/>
      <c r="AJ25" s="23"/>
    </row>
    <row r="26" spans="1:36"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33"/>
      <c r="AF26" s="23"/>
      <c r="AG26" s="23"/>
      <c r="AH26" s="23"/>
      <c r="AI26" s="23"/>
      <c r="AJ26" s="23"/>
    </row>
    <row r="27" spans="1:36" ht="14.4" customHeight="1" x14ac:dyDescent="0.3">
      <c r="A27" s="23"/>
      <c r="B27" s="23"/>
      <c r="C27" s="23"/>
      <c r="D27" s="23"/>
      <c r="E27" s="23"/>
      <c r="F27" s="23"/>
      <c r="G27" s="23"/>
      <c r="H27" s="23"/>
      <c r="I27" s="23"/>
      <c r="J27" s="23"/>
      <c r="K27" s="23"/>
      <c r="L27" s="23"/>
      <c r="M27" s="23"/>
      <c r="N27" s="23"/>
      <c r="O27" s="58" t="s">
        <v>599</v>
      </c>
      <c r="P27" s="59"/>
      <c r="Q27" s="59"/>
      <c r="R27" s="59"/>
      <c r="S27" s="59"/>
      <c r="T27" s="59"/>
      <c r="U27" s="59"/>
      <c r="V27" s="59"/>
      <c r="W27" s="59"/>
      <c r="X27" s="59"/>
      <c r="Y27" s="59"/>
      <c r="Z27" s="59"/>
      <c r="AA27" s="59"/>
      <c r="AB27" s="59"/>
      <c r="AC27" s="59"/>
      <c r="AD27" s="60"/>
      <c r="AE27" s="33"/>
      <c r="AF27" s="108" t="s">
        <v>610</v>
      </c>
      <c r="AG27" s="108" t="s">
        <v>544</v>
      </c>
      <c r="AH27" s="108" t="s">
        <v>545</v>
      </c>
      <c r="AI27" s="109" t="s">
        <v>625</v>
      </c>
      <c r="AJ27" s="23"/>
    </row>
    <row r="28" spans="1:36" ht="14.4" customHeight="1" x14ac:dyDescent="0.3">
      <c r="A28" s="23"/>
      <c r="B28" s="23"/>
      <c r="C28" s="23"/>
      <c r="D28" s="23"/>
      <c r="E28" s="23"/>
      <c r="F28" s="23"/>
      <c r="G28" s="23"/>
      <c r="H28" s="23"/>
      <c r="I28" s="23"/>
      <c r="J28" s="23"/>
      <c r="K28" s="23"/>
      <c r="L28" s="23"/>
      <c r="M28" s="23"/>
      <c r="N28" s="23"/>
      <c r="O28" s="61"/>
      <c r="P28" s="62"/>
      <c r="Q28" s="62"/>
      <c r="R28" s="62"/>
      <c r="S28" s="62"/>
      <c r="T28" s="62"/>
      <c r="U28" s="62"/>
      <c r="V28" s="62"/>
      <c r="W28" s="62"/>
      <c r="X28" s="62"/>
      <c r="Y28" s="62"/>
      <c r="Z28" s="62"/>
      <c r="AA28" s="62"/>
      <c r="AB28" s="62"/>
      <c r="AC28" s="62"/>
      <c r="AD28" s="63"/>
      <c r="AE28" s="33"/>
      <c r="AF28" s="108"/>
      <c r="AG28" s="108"/>
      <c r="AH28" s="108"/>
      <c r="AI28" s="110"/>
      <c r="AJ28" s="23"/>
    </row>
    <row r="29" spans="1:36" ht="15" customHeight="1" thickBot="1" x14ac:dyDescent="0.35">
      <c r="A29" s="23"/>
      <c r="B29" s="23"/>
      <c r="C29" s="23"/>
      <c r="D29" s="23"/>
      <c r="E29" s="23"/>
      <c r="F29" s="23"/>
      <c r="G29" s="23"/>
      <c r="H29" s="23"/>
      <c r="I29" s="23"/>
      <c r="J29" s="23"/>
      <c r="K29" s="23"/>
      <c r="L29" s="23"/>
      <c r="M29" s="23"/>
      <c r="N29" s="23"/>
      <c r="O29" s="36"/>
      <c r="P29" s="37"/>
      <c r="Q29" s="37"/>
      <c r="R29" s="37"/>
      <c r="S29" s="37"/>
      <c r="T29" s="37"/>
      <c r="U29" s="37"/>
      <c r="V29" s="37"/>
      <c r="W29" s="37"/>
      <c r="X29" s="37"/>
      <c r="Y29" s="37"/>
      <c r="Z29" s="37"/>
      <c r="AA29" s="37"/>
      <c r="AB29" s="37"/>
      <c r="AC29" s="37"/>
      <c r="AD29" s="38"/>
      <c r="AE29" s="33"/>
      <c r="AF29" s="111" t="s">
        <v>622</v>
      </c>
      <c r="AG29" s="112">
        <f>'pivot charts'!C104</f>
        <v>544.19233372093049</v>
      </c>
      <c r="AH29" s="112">
        <f>'pivot charts'!D104</f>
        <v>313.31054708029222</v>
      </c>
      <c r="AI29" s="113">
        <f>'pivot charts'!E104</f>
        <v>0.73691035553128093</v>
      </c>
      <c r="AJ29" s="23"/>
    </row>
    <row r="30" spans="1:36" ht="14.4" customHeight="1" x14ac:dyDescent="0.3">
      <c r="A30" s="23"/>
      <c r="B30" s="23"/>
      <c r="C30" s="23"/>
      <c r="D30" s="23"/>
      <c r="E30" s="23"/>
      <c r="F30" s="23"/>
      <c r="G30" s="23"/>
      <c r="H30" s="23"/>
      <c r="I30" s="23"/>
      <c r="J30" s="23"/>
      <c r="K30" s="23"/>
      <c r="L30" s="23"/>
      <c r="M30" s="23"/>
      <c r="N30" s="23"/>
      <c r="O30" s="41"/>
      <c r="P30" s="64" t="s">
        <v>590</v>
      </c>
      <c r="Q30" s="73"/>
      <c r="R30" s="73"/>
      <c r="S30" s="74"/>
      <c r="T30" s="23"/>
      <c r="U30" s="64" t="s">
        <v>591</v>
      </c>
      <c r="V30" s="73"/>
      <c r="W30" s="73"/>
      <c r="X30" s="74"/>
      <c r="Y30" s="23"/>
      <c r="Z30" s="64" t="s">
        <v>592</v>
      </c>
      <c r="AA30" s="65"/>
      <c r="AB30" s="65"/>
      <c r="AC30" s="66"/>
      <c r="AD30" s="42"/>
      <c r="AE30" s="33"/>
      <c r="AF30" s="111"/>
      <c r="AG30" s="111"/>
      <c r="AH30" s="111"/>
      <c r="AI30" s="113"/>
      <c r="AJ30" s="23"/>
    </row>
    <row r="31" spans="1:36" ht="15" customHeight="1" thickBot="1" x14ac:dyDescent="0.35">
      <c r="A31" s="23"/>
      <c r="B31" s="23"/>
      <c r="C31" s="23"/>
      <c r="D31" s="23"/>
      <c r="E31" s="23"/>
      <c r="F31" s="23"/>
      <c r="G31" s="23"/>
      <c r="H31" s="23"/>
      <c r="I31" s="23"/>
      <c r="J31" s="23"/>
      <c r="K31" s="23"/>
      <c r="L31" s="23"/>
      <c r="M31" s="23"/>
      <c r="N31" s="33"/>
      <c r="O31" s="43"/>
      <c r="P31" s="75"/>
      <c r="Q31" s="76"/>
      <c r="R31" s="76"/>
      <c r="S31" s="77"/>
      <c r="T31" s="33"/>
      <c r="U31" s="75"/>
      <c r="V31" s="76"/>
      <c r="W31" s="76"/>
      <c r="X31" s="77"/>
      <c r="Y31" s="23"/>
      <c r="Z31" s="67"/>
      <c r="AA31" s="68"/>
      <c r="AB31" s="68"/>
      <c r="AC31" s="69"/>
      <c r="AD31" s="42"/>
      <c r="AE31" s="33"/>
      <c r="AF31" s="111" t="s">
        <v>623</v>
      </c>
      <c r="AG31" s="112">
        <f>'pivot charts'!C105</f>
        <v>265.39465116279069</v>
      </c>
      <c r="AH31" s="112">
        <f>'pivot charts'!D105</f>
        <v>154.4721167883211</v>
      </c>
      <c r="AI31" s="113">
        <f>'pivot charts'!E105</f>
        <v>0.7180748000396141</v>
      </c>
      <c r="AJ31" s="23"/>
    </row>
    <row r="32" spans="1:36" ht="21.6" thickBot="1" x14ac:dyDescent="0.45">
      <c r="A32" s="23"/>
      <c r="B32" s="23"/>
      <c r="C32" s="23"/>
      <c r="D32" s="23"/>
      <c r="E32" s="23"/>
      <c r="F32" s="23"/>
      <c r="G32" s="23"/>
      <c r="H32" s="23"/>
      <c r="I32" s="23"/>
      <c r="J32" s="23"/>
      <c r="K32" s="23"/>
      <c r="L32" s="23"/>
      <c r="M32" s="23"/>
      <c r="N32" s="33"/>
      <c r="O32" s="43"/>
      <c r="P32" s="78" t="s">
        <v>429</v>
      </c>
      <c r="Q32" s="79"/>
      <c r="R32" s="79"/>
      <c r="S32" s="80"/>
      <c r="T32" s="33"/>
      <c r="U32" s="78" t="s">
        <v>448</v>
      </c>
      <c r="V32" s="79"/>
      <c r="W32" s="79"/>
      <c r="X32" s="80"/>
      <c r="Y32" s="23"/>
      <c r="Z32" s="81">
        <v>0.05</v>
      </c>
      <c r="AA32" s="82"/>
      <c r="AB32" s="82"/>
      <c r="AC32" s="83"/>
      <c r="AD32" s="42"/>
      <c r="AE32" s="23"/>
      <c r="AF32" s="111"/>
      <c r="AG32" s="111"/>
      <c r="AH32" s="111"/>
      <c r="AI32" s="113"/>
      <c r="AJ32" s="23"/>
    </row>
    <row r="33" spans="1:36" ht="14.4" customHeight="1" x14ac:dyDescent="0.3">
      <c r="A33" s="23"/>
      <c r="B33" s="23"/>
      <c r="C33" s="23"/>
      <c r="D33" s="23"/>
      <c r="E33" s="23"/>
      <c r="F33" s="23"/>
      <c r="G33" s="23"/>
      <c r="H33" s="23"/>
      <c r="I33" s="23"/>
      <c r="J33" s="23"/>
      <c r="K33" s="23"/>
      <c r="L33" s="23"/>
      <c r="M33" s="23"/>
      <c r="N33" s="33"/>
      <c r="O33" s="43"/>
      <c r="P33" s="33"/>
      <c r="Q33" s="33"/>
      <c r="R33" s="33"/>
      <c r="S33" s="33"/>
      <c r="T33" s="33"/>
      <c r="U33" s="23"/>
      <c r="V33" s="23"/>
      <c r="W33" s="23"/>
      <c r="X33" s="23"/>
      <c r="Y33" s="23"/>
      <c r="Z33" s="23"/>
      <c r="AA33" s="23"/>
      <c r="AB33" s="23"/>
      <c r="AC33" s="23"/>
      <c r="AD33" s="42"/>
      <c r="AE33" s="23"/>
      <c r="AF33" s="111" t="s">
        <v>624</v>
      </c>
      <c r="AG33" s="112">
        <f>'pivot charts'!C106</f>
        <v>278.79768255813946</v>
      </c>
      <c r="AH33" s="112">
        <f>'pivot charts'!D106</f>
        <v>158.83843029197089</v>
      </c>
      <c r="AI33" s="113">
        <f>'pivot charts'!E106</f>
        <v>0.75522813997635163</v>
      </c>
      <c r="AJ33" s="23"/>
    </row>
    <row r="34" spans="1:36" ht="15" customHeight="1" thickBot="1" x14ac:dyDescent="0.35">
      <c r="A34" s="23"/>
      <c r="B34" s="23"/>
      <c r="C34" s="23"/>
      <c r="D34" s="23"/>
      <c r="E34" s="23"/>
      <c r="F34" s="23"/>
      <c r="G34" s="23"/>
      <c r="H34" s="23"/>
      <c r="I34" s="23"/>
      <c r="J34" s="23"/>
      <c r="K34" s="23"/>
      <c r="L34" s="23"/>
      <c r="M34" s="23"/>
      <c r="N34" s="23"/>
      <c r="O34" s="41"/>
      <c r="P34" s="23"/>
      <c r="Q34" s="23"/>
      <c r="R34" s="23"/>
      <c r="S34" s="23"/>
      <c r="T34" s="23"/>
      <c r="U34" s="23"/>
      <c r="V34" s="23"/>
      <c r="W34" s="23"/>
      <c r="X34" s="23"/>
      <c r="Y34" s="23"/>
      <c r="Z34" s="23"/>
      <c r="AA34" s="23"/>
      <c r="AB34" s="23"/>
      <c r="AC34" s="33"/>
      <c r="AD34" s="44"/>
      <c r="AE34" s="23"/>
      <c r="AF34" s="111"/>
      <c r="AG34" s="111"/>
      <c r="AH34" s="111"/>
      <c r="AI34" s="113"/>
      <c r="AJ34" s="23"/>
    </row>
    <row r="35" spans="1:36" ht="14.4" customHeight="1" x14ac:dyDescent="0.3">
      <c r="A35" s="23"/>
      <c r="B35" s="23"/>
      <c r="C35" s="23"/>
      <c r="D35" s="23"/>
      <c r="E35" s="23"/>
      <c r="F35" s="23"/>
      <c r="G35" s="23"/>
      <c r="H35" s="23"/>
      <c r="I35" s="23"/>
      <c r="J35" s="23"/>
      <c r="K35" s="23"/>
      <c r="L35" s="23"/>
      <c r="M35" s="23"/>
      <c r="N35" s="23"/>
      <c r="O35" s="41"/>
      <c r="P35" s="64" t="s">
        <v>593</v>
      </c>
      <c r="Q35" s="65"/>
      <c r="R35" s="65"/>
      <c r="S35" s="66"/>
      <c r="T35" s="23"/>
      <c r="U35" s="64" t="s">
        <v>594</v>
      </c>
      <c r="V35" s="65"/>
      <c r="W35" s="65"/>
      <c r="X35" s="66"/>
      <c r="Y35" s="23"/>
      <c r="Z35" s="64" t="s">
        <v>595</v>
      </c>
      <c r="AA35" s="65"/>
      <c r="AB35" s="65"/>
      <c r="AC35" s="66"/>
      <c r="AD35" s="44"/>
      <c r="AE35" s="23"/>
      <c r="AF35" s="111" t="s">
        <v>535</v>
      </c>
      <c r="AG35" s="114">
        <f>'pivot charts'!C107</f>
        <v>0.51231460879254354</v>
      </c>
      <c r="AH35" s="114">
        <f>'pivot charts'!D107</f>
        <v>0.50696802827791665</v>
      </c>
      <c r="AI35" s="114">
        <f>'pivot charts'!E107</f>
        <v>5.3465805146268863E-3</v>
      </c>
      <c r="AJ35" s="23"/>
    </row>
    <row r="36" spans="1:36" ht="15" customHeight="1" thickBot="1" x14ac:dyDescent="0.35">
      <c r="A36" s="23"/>
      <c r="B36" s="23"/>
      <c r="C36" s="23"/>
      <c r="D36" s="23"/>
      <c r="E36" s="23"/>
      <c r="F36" s="23"/>
      <c r="G36" s="23"/>
      <c r="H36" s="23"/>
      <c r="I36" s="23"/>
      <c r="J36" s="23"/>
      <c r="K36" s="23"/>
      <c r="L36" s="23"/>
      <c r="M36" s="23"/>
      <c r="N36" s="23"/>
      <c r="O36" s="41"/>
      <c r="P36" s="67"/>
      <c r="Q36" s="68"/>
      <c r="R36" s="68"/>
      <c r="S36" s="69"/>
      <c r="T36" s="23"/>
      <c r="U36" s="67"/>
      <c r="V36" s="68"/>
      <c r="W36" s="68"/>
      <c r="X36" s="69"/>
      <c r="Y36" s="23"/>
      <c r="Z36" s="67"/>
      <c r="AA36" s="68"/>
      <c r="AB36" s="68"/>
      <c r="AC36" s="69"/>
      <c r="AD36" s="44"/>
      <c r="AE36" s="23"/>
      <c r="AF36" s="111"/>
      <c r="AG36" s="114"/>
      <c r="AH36" s="114"/>
      <c r="AI36" s="114"/>
      <c r="AJ36" s="23"/>
    </row>
    <row r="37" spans="1:36" ht="21.6" thickBot="1" x14ac:dyDescent="0.45">
      <c r="A37" s="23"/>
      <c r="B37" s="23"/>
      <c r="C37" s="23"/>
      <c r="D37" s="23"/>
      <c r="E37" s="23"/>
      <c r="F37" s="23"/>
      <c r="G37" s="23"/>
      <c r="H37" s="23"/>
      <c r="I37" s="23"/>
      <c r="J37" s="23"/>
      <c r="K37" s="23"/>
      <c r="L37" s="23"/>
      <c r="M37" s="23"/>
      <c r="N37" s="23"/>
      <c r="O37" s="41"/>
      <c r="P37" s="78" cm="1">
        <f t="array" ref="P37">SUM(_xlfn._xlws.FILTER(Menu[UnitCost],Menu[ItemName]=$P$32),_xlfn._xlws.FILTER(Menu[UnitCost],Menu[ItemName]=$U$32))</f>
        <v>94.81</v>
      </c>
      <c r="Q37" s="79"/>
      <c r="R37" s="79"/>
      <c r="S37" s="80"/>
      <c r="T37" s="23"/>
      <c r="U37" s="93" cm="1">
        <f t="array" ref="U37">(SUM(_xlfn._xlws.FILTER(Menu[UnitPrice],Menu[ItemName]=$P$32),_xlfn._xlws.FILTER(Menu[UnitPrice],Menu[ItemName]=$U$32)))*(1-$Z$32)</f>
        <v>166.08850000000001</v>
      </c>
      <c r="V37" s="94"/>
      <c r="W37" s="94"/>
      <c r="X37" s="95"/>
      <c r="Y37" s="23"/>
      <c r="Z37" s="93">
        <f>$U$37-$P$37</f>
        <v>71.278500000000008</v>
      </c>
      <c r="AA37" s="79"/>
      <c r="AB37" s="79"/>
      <c r="AC37" s="80"/>
      <c r="AD37" s="44"/>
      <c r="AE37" s="23"/>
      <c r="AF37" s="103"/>
      <c r="AG37" s="103"/>
      <c r="AH37" s="23"/>
      <c r="AI37" s="23"/>
      <c r="AJ37" s="23"/>
    </row>
    <row r="38" spans="1:36" ht="18" customHeight="1" x14ac:dyDescent="0.3">
      <c r="A38" s="23"/>
      <c r="B38" s="23"/>
      <c r="C38" s="23"/>
      <c r="D38" s="23"/>
      <c r="E38" s="23"/>
      <c r="F38" s="23"/>
      <c r="G38" s="23"/>
      <c r="H38" s="23"/>
      <c r="I38" s="23"/>
      <c r="J38" s="23"/>
      <c r="K38" s="23"/>
      <c r="L38" s="23"/>
      <c r="M38" s="23"/>
      <c r="N38" s="33"/>
      <c r="O38" s="43"/>
      <c r="P38" s="33"/>
      <c r="Q38" s="33"/>
      <c r="R38" s="33"/>
      <c r="S38" s="33"/>
      <c r="T38" s="33"/>
      <c r="U38" s="33"/>
      <c r="V38" s="33"/>
      <c r="W38" s="33"/>
      <c r="X38" s="33"/>
      <c r="Y38" s="33"/>
      <c r="Z38" s="33"/>
      <c r="AA38" s="33"/>
      <c r="AB38" s="33"/>
      <c r="AC38" s="33"/>
      <c r="AD38" s="44"/>
      <c r="AE38" s="23"/>
      <c r="AF38" s="107" t="s">
        <v>626</v>
      </c>
      <c r="AG38" s="105"/>
      <c r="AH38" s="105"/>
      <c r="AI38" s="105"/>
      <c r="AJ38" s="23"/>
    </row>
    <row r="39" spans="1:36" ht="18.600000000000001" customHeight="1" thickBot="1" x14ac:dyDescent="0.35">
      <c r="A39" s="23"/>
      <c r="B39" s="23"/>
      <c r="C39" s="23"/>
      <c r="D39" s="23"/>
      <c r="E39" s="23"/>
      <c r="F39" s="23"/>
      <c r="G39" s="23"/>
      <c r="H39" s="23"/>
      <c r="I39" s="23"/>
      <c r="J39" s="23"/>
      <c r="K39" s="23"/>
      <c r="L39" s="23"/>
      <c r="M39" s="23"/>
      <c r="N39" s="23"/>
      <c r="O39" s="41"/>
      <c r="P39" s="23"/>
      <c r="Q39" s="23"/>
      <c r="R39" s="23"/>
      <c r="S39" s="23"/>
      <c r="T39" s="23"/>
      <c r="U39" s="23"/>
      <c r="V39" s="23"/>
      <c r="W39" s="23"/>
      <c r="X39" s="23"/>
      <c r="Y39" s="23"/>
      <c r="Z39" s="23"/>
      <c r="AA39" s="23"/>
      <c r="AB39" s="23"/>
      <c r="AC39" s="23"/>
      <c r="AD39" s="42"/>
      <c r="AE39" s="23"/>
      <c r="AF39" s="105"/>
      <c r="AG39" s="105"/>
      <c r="AH39" s="105"/>
      <c r="AI39" s="105"/>
      <c r="AJ39" s="23"/>
    </row>
    <row r="40" spans="1:36" ht="18" x14ac:dyDescent="0.35">
      <c r="A40" s="23"/>
      <c r="B40" s="23"/>
      <c r="C40" s="23"/>
      <c r="D40" s="23"/>
      <c r="E40" s="23"/>
      <c r="F40" s="23"/>
      <c r="G40" s="23"/>
      <c r="H40" s="23"/>
      <c r="I40" s="23"/>
      <c r="J40" s="23"/>
      <c r="K40" s="23"/>
      <c r="L40" s="23"/>
      <c r="M40" s="23"/>
      <c r="N40" s="23"/>
      <c r="O40" s="41"/>
      <c r="P40" s="23"/>
      <c r="Q40" s="23"/>
      <c r="R40" s="64" t="s">
        <v>597</v>
      </c>
      <c r="S40" s="65"/>
      <c r="T40" s="65"/>
      <c r="U40" s="66"/>
      <c r="V40" s="23"/>
      <c r="W40" s="23"/>
      <c r="X40" s="64" t="s">
        <v>596</v>
      </c>
      <c r="Y40" s="65"/>
      <c r="Z40" s="65"/>
      <c r="AA40" s="66"/>
      <c r="AB40" s="23"/>
      <c r="AC40" s="23"/>
      <c r="AD40" s="42"/>
      <c r="AE40" s="23"/>
      <c r="AF40" s="103"/>
      <c r="AG40" s="103"/>
      <c r="AH40" s="23"/>
      <c r="AI40" s="23"/>
      <c r="AJ40" s="23"/>
    </row>
    <row r="41" spans="1:36" ht="18.600000000000001" thickBot="1" x14ac:dyDescent="0.4">
      <c r="A41" s="23"/>
      <c r="B41" s="23"/>
      <c r="C41" s="23"/>
      <c r="D41" s="23"/>
      <c r="E41" s="23"/>
      <c r="F41" s="23"/>
      <c r="G41" s="23"/>
      <c r="H41" s="23"/>
      <c r="I41" s="23"/>
      <c r="J41" s="23"/>
      <c r="K41" s="23"/>
      <c r="L41" s="23"/>
      <c r="M41" s="23"/>
      <c r="N41" s="23"/>
      <c r="O41" s="41"/>
      <c r="P41" s="23"/>
      <c r="Q41" s="23"/>
      <c r="R41" s="67"/>
      <c r="S41" s="68"/>
      <c r="T41" s="68"/>
      <c r="U41" s="69"/>
      <c r="V41" s="23"/>
      <c r="W41" s="23"/>
      <c r="X41" s="67"/>
      <c r="Y41" s="68"/>
      <c r="Z41" s="68"/>
      <c r="AA41" s="69"/>
      <c r="AB41" s="23"/>
      <c r="AC41" s="23"/>
      <c r="AD41" s="42"/>
      <c r="AE41" s="23"/>
      <c r="AF41" s="103"/>
      <c r="AG41" s="103"/>
      <c r="AH41" s="23"/>
      <c r="AI41" s="23"/>
      <c r="AJ41" s="23"/>
    </row>
    <row r="42" spans="1:36" ht="21.6" thickBot="1" x14ac:dyDescent="0.45">
      <c r="A42" s="23"/>
      <c r="B42" s="23"/>
      <c r="C42" s="23"/>
      <c r="D42" s="23"/>
      <c r="E42" s="23"/>
      <c r="F42" s="23"/>
      <c r="G42" s="23"/>
      <c r="H42" s="23"/>
      <c r="I42" s="23"/>
      <c r="J42" s="23"/>
      <c r="K42" s="23"/>
      <c r="L42" s="23"/>
      <c r="M42" s="23"/>
      <c r="N42" s="23"/>
      <c r="O42" s="41"/>
      <c r="P42" s="23"/>
      <c r="Q42" s="23"/>
      <c r="R42" s="90">
        <f>$Z$37/$U$37</f>
        <v>0.42915975519075678</v>
      </c>
      <c r="S42" s="91"/>
      <c r="T42" s="91"/>
      <c r="U42" s="92"/>
      <c r="V42" s="23"/>
      <c r="W42" s="23"/>
      <c r="X42" s="78">
        <f>_xlfn.XLOOKUP($U$32,Inventory[ItemName],Inventory[OnHandQty],"Not Available",0)</f>
        <v>199</v>
      </c>
      <c r="Y42" s="79"/>
      <c r="Z42" s="79"/>
      <c r="AA42" s="80"/>
      <c r="AB42" s="23"/>
      <c r="AC42" s="23"/>
      <c r="AD42" s="42"/>
      <c r="AE42" s="23"/>
      <c r="AF42" s="103"/>
      <c r="AG42" s="103"/>
      <c r="AH42" s="23"/>
      <c r="AI42" s="23"/>
      <c r="AJ42" s="23"/>
    </row>
    <row r="43" spans="1:36" x14ac:dyDescent="0.3">
      <c r="A43" s="23"/>
      <c r="B43" s="23"/>
      <c r="C43" s="23"/>
      <c r="D43" s="23"/>
      <c r="E43" s="23"/>
      <c r="F43" s="23"/>
      <c r="G43" s="23"/>
      <c r="H43" s="23"/>
      <c r="I43" s="23"/>
      <c r="J43" s="23"/>
      <c r="K43" s="23"/>
      <c r="L43" s="23"/>
      <c r="M43" s="23"/>
      <c r="N43" s="23"/>
      <c r="O43" s="40"/>
      <c r="P43" s="39"/>
      <c r="Q43" s="39"/>
      <c r="R43" s="39"/>
      <c r="S43" s="39"/>
      <c r="T43" s="39"/>
      <c r="U43" s="39"/>
      <c r="V43" s="39"/>
      <c r="W43" s="39"/>
      <c r="X43" s="39"/>
      <c r="Y43" s="39"/>
      <c r="Z43" s="39"/>
      <c r="AA43" s="39"/>
      <c r="AB43" s="39"/>
      <c r="AC43" s="39"/>
      <c r="AD43" s="45"/>
      <c r="AE43" s="23"/>
      <c r="AF43" s="23"/>
      <c r="AG43" s="23"/>
      <c r="AH43" s="23"/>
      <c r="AI43" s="23"/>
      <c r="AJ43" s="23"/>
    </row>
    <row r="44" spans="1:36"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row>
  </sheetData>
  <mergeCells count="51">
    <mergeCell ref="AI35:AI36"/>
    <mergeCell ref="AF38:AI39"/>
    <mergeCell ref="AI29:AI30"/>
    <mergeCell ref="AI27:AI28"/>
    <mergeCell ref="AI31:AI32"/>
    <mergeCell ref="AI33:AI34"/>
    <mergeCell ref="AF31:AF32"/>
    <mergeCell ref="AF33:AF34"/>
    <mergeCell ref="AF35:AF36"/>
    <mergeCell ref="AG31:AG32"/>
    <mergeCell ref="AH31:AH32"/>
    <mergeCell ref="AG33:AG34"/>
    <mergeCell ref="AG35:AG36"/>
    <mergeCell ref="AH33:AH34"/>
    <mergeCell ref="AH35:AH36"/>
    <mergeCell ref="AF27:AF28"/>
    <mergeCell ref="AG27:AG28"/>
    <mergeCell ref="AH27:AH28"/>
    <mergeCell ref="AF29:AF30"/>
    <mergeCell ref="AG29:AG30"/>
    <mergeCell ref="AH29:AH30"/>
    <mergeCell ref="V8:Y8"/>
    <mergeCell ref="B6:E7"/>
    <mergeCell ref="B8:E8"/>
    <mergeCell ref="G6:J7"/>
    <mergeCell ref="G8:J8"/>
    <mergeCell ref="R42:U42"/>
    <mergeCell ref="X40:AA41"/>
    <mergeCell ref="X42:AA42"/>
    <mergeCell ref="P35:S36"/>
    <mergeCell ref="P37:S37"/>
    <mergeCell ref="U35:X36"/>
    <mergeCell ref="U37:X37"/>
    <mergeCell ref="Z35:AC36"/>
    <mergeCell ref="Z37:AC37"/>
    <mergeCell ref="A2:AH4"/>
    <mergeCell ref="L6:O7"/>
    <mergeCell ref="L8:O8"/>
    <mergeCell ref="O27:AD28"/>
    <mergeCell ref="R40:U41"/>
    <mergeCell ref="AA6:AD7"/>
    <mergeCell ref="AA8:AD8"/>
    <mergeCell ref="P30:S31"/>
    <mergeCell ref="P32:S32"/>
    <mergeCell ref="U30:X31"/>
    <mergeCell ref="U32:X32"/>
    <mergeCell ref="Z30:AC31"/>
    <mergeCell ref="Z32:AC32"/>
    <mergeCell ref="Q6:T7"/>
    <mergeCell ref="Q8:T8"/>
    <mergeCell ref="V6:Y7"/>
  </mergeCells>
  <conditionalFormatting sqref="AG40:AG42 AG37">
    <cfRule type="dataBar" priority="1">
      <dataBar>
        <cfvo type="min"/>
        <cfvo type="max"/>
        <color rgb="FF638EC6"/>
      </dataBar>
      <extLst>
        <ext xmlns:x14="http://schemas.microsoft.com/office/spreadsheetml/2009/9/main" uri="{B025F937-C7B1-47D3-B67F-A62EFF666E3E}">
          <x14:id>{677F8A79-D3CE-47D5-90F0-16ED4A878930}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77F8A79-D3CE-47D5-90F0-16ED4A878930}">
            <x14:dataBar minLength="0" maxLength="100" border="1" negativeBarBorderColorSameAsPositive="0">
              <x14:cfvo type="autoMin"/>
              <x14:cfvo type="autoMax"/>
              <x14:borderColor rgb="FF638EC6"/>
              <x14:negativeFillColor rgb="FFFF0000"/>
              <x14:negativeBorderColor rgb="FFFF0000"/>
              <x14:axisColor rgb="FF000000"/>
            </x14:dataBar>
          </x14:cfRule>
          <xm:sqref>AG40:AG42 AG37</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983BD84E-3C93-46FD-A9CE-D36B89358081}">
          <x14:formula1>
            <xm:f>'Menu (Day 6 Ans)'!$B$2:$B$6</xm:f>
          </x14:formula1>
          <xm:sqref>P32:S32</xm:sqref>
        </x14:dataValidation>
        <x14:dataValidation type="list" allowBlank="1" showInputMessage="1" showErrorMessage="1" xr:uid="{AA384313-24B8-4170-90D3-DE69059F1728}">
          <x14:formula1>
            <xm:f>'Menu (Day 6 Ans)'!$B$12:$B$16</xm:f>
          </x14:formula1>
          <xm:sqref>U32:X32</xm:sqref>
        </x14:dataValidation>
      </x14:dataValidation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18BEC-B133-41BE-9072-03A8B8693655}">
  <dimension ref="B1:N23"/>
  <sheetViews>
    <sheetView workbookViewId="0">
      <selection activeCell="J11" sqref="J11"/>
    </sheetView>
  </sheetViews>
  <sheetFormatPr defaultRowHeight="14.4" x14ac:dyDescent="0.3"/>
  <cols>
    <col min="3" max="3" width="14.33203125" bestFit="1" customWidth="1"/>
    <col min="4" max="4" width="12" bestFit="1" customWidth="1"/>
    <col min="12" max="13" width="12.5546875" bestFit="1" customWidth="1"/>
    <col min="14" max="14" width="18.109375" bestFit="1" customWidth="1"/>
    <col min="15" max="15" width="10.77734375" bestFit="1" customWidth="1"/>
    <col min="16" max="16" width="11.6640625" bestFit="1" customWidth="1"/>
  </cols>
  <sheetData>
    <row r="1" spans="2:14" x14ac:dyDescent="0.3">
      <c r="B1" s="6">
        <v>1</v>
      </c>
      <c r="C1" t="s">
        <v>526</v>
      </c>
      <c r="D1" s="8">
        <f>SUM(OrderLines[LineNetAmount])</f>
        <v>132647.63059999992</v>
      </c>
    </row>
    <row r="3" spans="2:14" x14ac:dyDescent="0.3">
      <c r="L3" s="11" t="s">
        <v>543</v>
      </c>
      <c r="M3" t="s">
        <v>603</v>
      </c>
      <c r="N3" t="s">
        <v>602</v>
      </c>
    </row>
    <row r="4" spans="2:14" ht="15.6" x14ac:dyDescent="0.3">
      <c r="B4" s="6">
        <v>2</v>
      </c>
      <c r="C4" t="s">
        <v>523</v>
      </c>
      <c r="D4" s="8">
        <f>SUMIFS(OrderLines[LineNetAmount],OrderLines[OrderDateTime],"&gt;=2025-7-1",OrderLines[OrderDateTime],"&lt;=2025-7-31")</f>
        <v>63939.190700000021</v>
      </c>
      <c r="F4" t="s">
        <v>525</v>
      </c>
      <c r="G4" s="7">
        <f>(D5-D4)/D4</f>
        <v>7.4590390459853717E-2</v>
      </c>
      <c r="L4" s="21" t="s">
        <v>601</v>
      </c>
      <c r="M4" s="102">
        <v>63939.190699999992</v>
      </c>
      <c r="N4" s="12"/>
    </row>
    <row r="5" spans="2:14" x14ac:dyDescent="0.3">
      <c r="C5" t="s">
        <v>524</v>
      </c>
      <c r="D5" s="8">
        <f>SUMIFS(OrderLines[LineNetAmount],OrderLines[OrderDateTime],"&gt;=2025-8-1",OrderLines[OrderDateTime],"&lt;=2025-8-31")</f>
        <v>68708.43990000007</v>
      </c>
      <c r="L5" s="21" t="s">
        <v>530</v>
      </c>
      <c r="M5" s="102">
        <v>68708.439900000027</v>
      </c>
      <c r="N5" s="12">
        <v>7.4590390459853523E-2</v>
      </c>
    </row>
    <row r="6" spans="2:14" x14ac:dyDescent="0.3">
      <c r="D6" s="8"/>
      <c r="L6" s="21"/>
      <c r="N6" s="12"/>
    </row>
    <row r="7" spans="2:14" x14ac:dyDescent="0.3">
      <c r="L7" s="11" t="s">
        <v>5</v>
      </c>
      <c r="M7" t="s">
        <v>604</v>
      </c>
    </row>
    <row r="8" spans="2:14" x14ac:dyDescent="0.3">
      <c r="L8" s="11" t="s">
        <v>2</v>
      </c>
      <c r="M8" t="s">
        <v>604</v>
      </c>
    </row>
    <row r="9" spans="2:14" x14ac:dyDescent="0.3">
      <c r="B9" s="6">
        <v>3</v>
      </c>
      <c r="C9" s="8">
        <f>SUMIFS(OrderLines[LineNetAmount],OrderLines[Branch],"Head Office Café",OrderLines[Shift],"Lunch",OrderLines[OrderDateTime],"&gt;=2025-08-01",OrderLines[OrderDateTime],"&lt;=2025-08-31")</f>
        <v>7403.6595000000016</v>
      </c>
    </row>
    <row r="10" spans="2:14" x14ac:dyDescent="0.3">
      <c r="L10" s="11" t="s">
        <v>543</v>
      </c>
      <c r="M10" t="s">
        <v>602</v>
      </c>
    </row>
    <row r="11" spans="2:14" x14ac:dyDescent="0.3">
      <c r="L11" s="21" t="s">
        <v>530</v>
      </c>
      <c r="M11" s="102">
        <v>68708.439900000012</v>
      </c>
    </row>
    <row r="12" spans="2:14" x14ac:dyDescent="0.3">
      <c r="L12" s="21"/>
    </row>
    <row r="13" spans="2:14" x14ac:dyDescent="0.3">
      <c r="B13" s="6">
        <v>4</v>
      </c>
      <c r="C13" cm="1">
        <f t="array" ref="C13">COUNTA(_xlfn.UNIQUE(_xlfn._xlws.FILTER(OrderLines[OrderID],(OrderLines[Category]="Beverage")*(OrderLines[PaymentType]="UPI"))))</f>
        <v>70</v>
      </c>
      <c r="L13" s="11" t="s">
        <v>606</v>
      </c>
      <c r="M13" t="s">
        <v>607</v>
      </c>
    </row>
    <row r="15" spans="2:14" x14ac:dyDescent="0.3">
      <c r="L15" s="11" t="s">
        <v>543</v>
      </c>
      <c r="M15" t="s">
        <v>605</v>
      </c>
    </row>
    <row r="16" spans="2:14" x14ac:dyDescent="0.3">
      <c r="C16" s="9" t="s">
        <v>5</v>
      </c>
      <c r="L16" s="21" t="s">
        <v>11</v>
      </c>
      <c r="M16" s="102">
        <v>70</v>
      </c>
    </row>
    <row r="17" spans="2:14" x14ac:dyDescent="0.3">
      <c r="B17" s="6">
        <v>5</v>
      </c>
      <c r="C17" t="s">
        <v>12</v>
      </c>
      <c r="D17" s="8" cm="1">
        <f t="array" ref="D17">SUMIFS(OrderLines[LineNetAmount],OrderLines[Shift],C17)/COUNTA(_xlfn.UNIQUE(_xlfn._xlws.FILTER(OrderLines[OrderID],OrderLines[Shift]=C17)))</f>
        <v>360.57145141242927</v>
      </c>
    </row>
    <row r="18" spans="2:14" x14ac:dyDescent="0.3">
      <c r="C18" t="s">
        <v>22</v>
      </c>
      <c r="D18" s="8" cm="1">
        <f t="array" ref="D18">SUMIFS(OrderLines[LineNetAmount],OrderLines[Shift],C18)/COUNTA(_xlfn.UNIQUE(_xlfn._xlws.FILTER(OrderLines[OrderID],OrderLines[Shift]=C18)))</f>
        <v>372.02586849315099</v>
      </c>
    </row>
    <row r="19" spans="2:14" x14ac:dyDescent="0.3">
      <c r="C19" t="s">
        <v>18</v>
      </c>
      <c r="D19" s="8" cm="1">
        <f t="array" ref="D19">SUMIFS(OrderLines[LineNetAmount],OrderLines[Shift],C19)/COUNTA(_xlfn.UNIQUE(_xlfn._xlws.FILTER(OrderLines[OrderID],OrderLines[Shift]=C19)))</f>
        <v>378.80541181818205</v>
      </c>
    </row>
    <row r="20" spans="2:14" x14ac:dyDescent="0.3">
      <c r="M20" s="11" t="s">
        <v>543</v>
      </c>
      <c r="N20" t="s">
        <v>608</v>
      </c>
    </row>
    <row r="21" spans="2:14" x14ac:dyDescent="0.3">
      <c r="M21" s="21" t="s">
        <v>12</v>
      </c>
      <c r="N21" s="8">
        <v>360.57145141242933</v>
      </c>
    </row>
    <row r="22" spans="2:14" x14ac:dyDescent="0.3">
      <c r="M22" s="21" t="s">
        <v>18</v>
      </c>
      <c r="N22" s="8">
        <v>378.80541181818211</v>
      </c>
    </row>
    <row r="23" spans="2:14" x14ac:dyDescent="0.3">
      <c r="M23" s="21" t="s">
        <v>22</v>
      </c>
      <c r="N23" s="8">
        <v>372.02586849315071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913E-6A36-4396-845C-DD35D5ED25D4}">
  <dimension ref="A2:I26"/>
  <sheetViews>
    <sheetView topLeftCell="B9" workbookViewId="0">
      <selection activeCell="H16" sqref="H16"/>
    </sheetView>
  </sheetViews>
  <sheetFormatPr defaultRowHeight="14.4" x14ac:dyDescent="0.3"/>
  <cols>
    <col min="1" max="1" width="15" bestFit="1" customWidth="1"/>
    <col min="2" max="2" width="10.77734375" bestFit="1" customWidth="1"/>
    <col min="3" max="3" width="21" bestFit="1" customWidth="1"/>
    <col min="4" max="4" width="8.6640625" bestFit="1" customWidth="1"/>
    <col min="5" max="5" width="21" bestFit="1" customWidth="1"/>
    <col min="6" max="6" width="10.77734375" bestFit="1" customWidth="1"/>
    <col min="7" max="7" width="15" bestFit="1" customWidth="1"/>
    <col min="8" max="8" width="5.44140625" bestFit="1" customWidth="1"/>
    <col min="9" max="9" width="21" bestFit="1" customWidth="1"/>
    <col min="10" max="11" width="20.21875" bestFit="1" customWidth="1"/>
    <col min="12" max="12" width="16.33203125" bestFit="1" customWidth="1"/>
    <col min="13" max="13" width="7.5546875" bestFit="1" customWidth="1"/>
    <col min="14" max="14" width="8.6640625" bestFit="1" customWidth="1"/>
    <col min="15" max="15" width="7.5546875" bestFit="1" customWidth="1"/>
    <col min="16" max="16" width="19.109375" bestFit="1" customWidth="1"/>
    <col min="17" max="17" width="10.77734375" bestFit="1" customWidth="1"/>
  </cols>
  <sheetData>
    <row r="2" spans="1:9" x14ac:dyDescent="0.3">
      <c r="A2" s="13">
        <v>1</v>
      </c>
    </row>
    <row r="3" spans="1:9" x14ac:dyDescent="0.3">
      <c r="A3" s="18"/>
      <c r="B3" s="11" t="s">
        <v>2</v>
      </c>
      <c r="C3" s="11" t="s">
        <v>610</v>
      </c>
    </row>
    <row r="4" spans="1:9" x14ac:dyDescent="0.3">
      <c r="A4" s="18"/>
      <c r="B4" t="s">
        <v>9</v>
      </c>
      <c r="D4" t="s">
        <v>27</v>
      </c>
      <c r="F4" t="s">
        <v>15</v>
      </c>
    </row>
    <row r="5" spans="1:9" x14ac:dyDescent="0.3">
      <c r="A5" s="11" t="s">
        <v>421</v>
      </c>
      <c r="B5" t="s">
        <v>531</v>
      </c>
      <c r="C5" t="s">
        <v>560</v>
      </c>
      <c r="D5" t="s">
        <v>531</v>
      </c>
      <c r="E5" t="s">
        <v>560</v>
      </c>
      <c r="F5" t="s">
        <v>531</v>
      </c>
      <c r="G5" t="s">
        <v>560</v>
      </c>
    </row>
    <row r="6" spans="1:9" x14ac:dyDescent="0.3">
      <c r="A6" t="s">
        <v>444</v>
      </c>
      <c r="B6" s="12">
        <v>7.1247851354885275E-2</v>
      </c>
      <c r="C6" s="8">
        <v>3489.8726999999994</v>
      </c>
      <c r="D6" s="12">
        <v>8.7079621453465456E-2</v>
      </c>
      <c r="E6" s="8">
        <v>2895.3357000000015</v>
      </c>
      <c r="F6" s="12">
        <v>7.8081062634465848E-2</v>
      </c>
      <c r="G6" s="8">
        <v>3936.5499000000009</v>
      </c>
    </row>
    <row r="7" spans="1:9" x14ac:dyDescent="0.3">
      <c r="A7" t="s">
        <v>450</v>
      </c>
      <c r="B7" s="12">
        <v>0.19484685467010548</v>
      </c>
      <c r="C7" s="8">
        <v>9544.017200000002</v>
      </c>
      <c r="D7" s="12">
        <v>0.19542263747438127</v>
      </c>
      <c r="E7" s="8">
        <v>6497.6641999999974</v>
      </c>
      <c r="F7" s="12">
        <v>0.16888445445822006</v>
      </c>
      <c r="G7" s="8">
        <v>8514.511199999999</v>
      </c>
    </row>
    <row r="8" spans="1:9" x14ac:dyDescent="0.3">
      <c r="A8" t="s">
        <v>425</v>
      </c>
      <c r="B8" s="12">
        <v>0.62481556698456331</v>
      </c>
      <c r="C8" s="8">
        <v>30604.807700000001</v>
      </c>
      <c r="D8" s="12">
        <v>0.52355178168865213</v>
      </c>
      <c r="E8" s="8">
        <v>17407.725699999995</v>
      </c>
      <c r="F8" s="12">
        <v>0.61734406810929221</v>
      </c>
      <c r="G8" s="8">
        <v>31124.137500000012</v>
      </c>
    </row>
    <row r="9" spans="1:9" x14ac:dyDescent="0.3">
      <c r="A9" t="s">
        <v>436</v>
      </c>
      <c r="B9" s="12">
        <v>0.1090897269904459</v>
      </c>
      <c r="C9" s="8">
        <v>5343.4489999999978</v>
      </c>
      <c r="D9" s="12">
        <v>0.1939459593835012</v>
      </c>
      <c r="E9" s="8">
        <v>6448.5656999999983</v>
      </c>
      <c r="F9" s="12">
        <v>0.13569041479802185</v>
      </c>
      <c r="G9" s="8">
        <v>6840.9941000000035</v>
      </c>
    </row>
    <row r="10" spans="1:9" x14ac:dyDescent="0.3">
      <c r="A10" t="s">
        <v>529</v>
      </c>
      <c r="B10" s="12">
        <v>1</v>
      </c>
      <c r="C10" s="8">
        <v>48982.1466</v>
      </c>
      <c r="D10" s="12">
        <v>1</v>
      </c>
      <c r="E10" s="8">
        <v>33249.29129999999</v>
      </c>
      <c r="F10" s="12">
        <v>1</v>
      </c>
      <c r="G10" s="8">
        <v>50416.192700000014</v>
      </c>
    </row>
    <row r="11" spans="1:9" x14ac:dyDescent="0.3">
      <c r="B11" s="12"/>
      <c r="C11" s="8"/>
      <c r="D11" s="12"/>
      <c r="E11" s="8"/>
      <c r="F11" s="12"/>
      <c r="G11" s="8"/>
    </row>
    <row r="12" spans="1:9" x14ac:dyDescent="0.3">
      <c r="A12" s="6">
        <v>2</v>
      </c>
    </row>
    <row r="13" spans="1:9" x14ac:dyDescent="0.3">
      <c r="A13" s="11" t="s">
        <v>534</v>
      </c>
      <c r="B13" t="s">
        <v>530</v>
      </c>
      <c r="G13" s="6">
        <v>3</v>
      </c>
    </row>
    <row r="14" spans="1:9" x14ac:dyDescent="0.3">
      <c r="G14" s="11" t="s">
        <v>2</v>
      </c>
      <c r="H14" t="s">
        <v>535</v>
      </c>
      <c r="I14" t="s">
        <v>560</v>
      </c>
    </row>
    <row r="15" spans="1:9" x14ac:dyDescent="0.3">
      <c r="A15" s="11" t="s">
        <v>398</v>
      </c>
      <c r="B15" t="s">
        <v>531</v>
      </c>
      <c r="C15" t="s">
        <v>532</v>
      </c>
      <c r="G15" t="s">
        <v>9</v>
      </c>
      <c r="H15" s="14">
        <v>0.50999942497416084</v>
      </c>
      <c r="I15" s="8">
        <v>48982.146600000022</v>
      </c>
    </row>
    <row r="16" spans="1:9" x14ac:dyDescent="0.3">
      <c r="A16" t="s">
        <v>416</v>
      </c>
      <c r="B16" s="8">
        <v>10470.060000000001</v>
      </c>
      <c r="C16">
        <v>49</v>
      </c>
      <c r="G16" t="s">
        <v>27</v>
      </c>
      <c r="H16" s="14">
        <v>0.49711649944250086</v>
      </c>
      <c r="I16" s="8">
        <v>33249.291299999997</v>
      </c>
    </row>
    <row r="17" spans="1:9" x14ac:dyDescent="0.3">
      <c r="A17" t="s">
        <v>415</v>
      </c>
      <c r="B17" s="8">
        <v>9230.7763000000014</v>
      </c>
      <c r="C17">
        <v>38</v>
      </c>
      <c r="G17" t="s">
        <v>15</v>
      </c>
      <c r="H17" s="14">
        <v>0.51548304836592751</v>
      </c>
      <c r="I17" s="8">
        <v>50416.192700000007</v>
      </c>
    </row>
    <row r="18" spans="1:9" x14ac:dyDescent="0.3">
      <c r="A18" t="s">
        <v>407</v>
      </c>
      <c r="B18" s="8">
        <v>8283.3893999999982</v>
      </c>
      <c r="C18">
        <v>36</v>
      </c>
      <c r="H18" s="14"/>
    </row>
    <row r="19" spans="1:9" x14ac:dyDescent="0.3">
      <c r="A19" t="s">
        <v>417</v>
      </c>
      <c r="B19" s="8">
        <v>6563.1120000000001</v>
      </c>
      <c r="C19">
        <v>48</v>
      </c>
    </row>
    <row r="20" spans="1:9" x14ac:dyDescent="0.3">
      <c r="A20" t="s">
        <v>405</v>
      </c>
      <c r="B20" s="8">
        <v>5927.8009999999986</v>
      </c>
      <c r="C20">
        <v>37</v>
      </c>
    </row>
    <row r="21" spans="1:9" x14ac:dyDescent="0.3">
      <c r="A21" t="s">
        <v>414</v>
      </c>
      <c r="B21" s="8">
        <v>4925.4559999999992</v>
      </c>
      <c r="C21">
        <v>45</v>
      </c>
    </row>
    <row r="22" spans="1:9" x14ac:dyDescent="0.3">
      <c r="A22" t="s">
        <v>403</v>
      </c>
      <c r="B22" s="8">
        <v>3714.9714999999992</v>
      </c>
      <c r="C22">
        <v>52</v>
      </c>
    </row>
    <row r="23" spans="1:9" x14ac:dyDescent="0.3">
      <c r="A23" t="s">
        <v>408</v>
      </c>
      <c r="B23" s="8">
        <v>2910.4804000000008</v>
      </c>
      <c r="C23">
        <v>44</v>
      </c>
    </row>
    <row r="24" spans="1:9" x14ac:dyDescent="0.3">
      <c r="A24" t="s">
        <v>413</v>
      </c>
      <c r="B24" s="8">
        <v>2362.578</v>
      </c>
      <c r="C24">
        <v>46</v>
      </c>
    </row>
    <row r="25" spans="1:9" x14ac:dyDescent="0.3">
      <c r="A25" t="s">
        <v>419</v>
      </c>
      <c r="B25" s="8">
        <v>2318.7779999999998</v>
      </c>
      <c r="C25">
        <v>49</v>
      </c>
    </row>
    <row r="26" spans="1:9" x14ac:dyDescent="0.3">
      <c r="A26" t="s">
        <v>529</v>
      </c>
      <c r="B26" s="8">
        <v>56707.402599999994</v>
      </c>
      <c r="C26">
        <v>444</v>
      </c>
    </row>
  </sheetData>
  <conditionalFormatting sqref="G15:G17">
    <cfRule type="expression" dxfId="46" priority="1">
      <formula>$H15&lt;55%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B130-81E8-4682-AFAD-EC3444D76A2C}">
  <dimension ref="B1:N63"/>
  <sheetViews>
    <sheetView zoomScale="81" workbookViewId="0">
      <pane ySplit="1" topLeftCell="A2" activePane="bottomLeft" state="frozen"/>
      <selection pane="bottomLeft" activeCell="I8" sqref="I8"/>
    </sheetView>
  </sheetViews>
  <sheetFormatPr defaultRowHeight="14.4" x14ac:dyDescent="0.3"/>
  <cols>
    <col min="2" max="2" width="10.44140625" bestFit="1" customWidth="1"/>
    <col min="3" max="3" width="11.21875" bestFit="1" customWidth="1"/>
    <col min="4" max="4" width="21.33203125" bestFit="1" customWidth="1"/>
    <col min="5" max="5" width="19" bestFit="1" customWidth="1"/>
    <col min="6" max="10" width="19" customWidth="1"/>
    <col min="11" max="11" width="5.88671875" bestFit="1" customWidth="1"/>
    <col min="13" max="13" width="10.33203125" bestFit="1" customWidth="1"/>
    <col min="14" max="14" width="10.5546875" bestFit="1" customWidth="1"/>
  </cols>
  <sheetData>
    <row r="1" spans="2:14" x14ac:dyDescent="0.3">
      <c r="B1" s="15" t="s">
        <v>507</v>
      </c>
      <c r="C1" s="15" t="s">
        <v>531</v>
      </c>
      <c r="D1" s="15" t="s">
        <v>536</v>
      </c>
      <c r="E1" s="15" t="s">
        <v>537</v>
      </c>
      <c r="F1" s="18"/>
      <c r="G1" s="18"/>
      <c r="H1" s="18"/>
      <c r="I1" s="18"/>
      <c r="J1" s="18"/>
      <c r="N1" s="2"/>
    </row>
    <row r="2" spans="2:14" x14ac:dyDescent="0.3">
      <c r="B2" s="16" cm="1">
        <f t="array" ref="B2:B63">_xlfn.SEQUENCE(DATEDIF(DATE(2025,7,1),DATE(2025,8,31),"d")+1,1,DATE(2025,7,1),1)</f>
        <v>45839</v>
      </c>
      <c r="C2" s="15">
        <f>SUMIFS(OrderLines[LineNetAmount],OrderLines[OrderDateTime],$B2)</f>
        <v>198.822</v>
      </c>
      <c r="D2" s="17">
        <f>IFERROR(AVERAGEIFS(Feedback[Rating],Feedback[Date],$B2),0)</f>
        <v>3.8571428571428572</v>
      </c>
      <c r="E2" s="15">
        <f>IFERROR(ROUND(AVERAGEIFS(WasteLog[Waste cost],WasteLog[Date],$B2),2),0)</f>
        <v>0</v>
      </c>
      <c r="F2" s="18"/>
      <c r="G2" s="18"/>
      <c r="H2" s="19"/>
      <c r="I2" s="18"/>
      <c r="J2" s="18"/>
    </row>
    <row r="3" spans="2:14" x14ac:dyDescent="0.3">
      <c r="B3" s="16">
        <v>45840</v>
      </c>
      <c r="C3" s="15">
        <f>SUMIFS(OrderLines[LineNetAmount],OrderLines[OrderDateTime],$B3)</f>
        <v>3202.8500000000008</v>
      </c>
      <c r="D3" s="17">
        <f>IFERROR(AVERAGEIFS(Feedback[Rating],Feedback[Date],$B3),0)</f>
        <v>3.6</v>
      </c>
      <c r="E3" s="15">
        <f>IFERROR(ROUND(AVERAGEIFS(WasteLog[Waste cost],WasteLog[Date],$B3),2),0)</f>
        <v>92.48</v>
      </c>
      <c r="F3" s="18"/>
      <c r="G3" s="18"/>
      <c r="H3" s="19"/>
      <c r="I3" s="18"/>
      <c r="J3" s="18"/>
    </row>
    <row r="4" spans="2:14" x14ac:dyDescent="0.3">
      <c r="B4" s="16">
        <v>45841</v>
      </c>
      <c r="C4" s="15">
        <f>SUMIFS(OrderLines[LineNetAmount],OrderLines[OrderDateTime],$B4)</f>
        <v>1027.7541000000001</v>
      </c>
      <c r="D4" s="17">
        <f>IFERROR(AVERAGEIFS(Feedback[Rating],Feedback[Date],$B4),0)</f>
        <v>4</v>
      </c>
      <c r="E4" s="15">
        <f>IFERROR(ROUND(AVERAGEIFS(WasteLog[Waste cost],WasteLog[Date],$B4),2),0)</f>
        <v>0</v>
      </c>
      <c r="F4" s="18"/>
      <c r="G4" s="18"/>
      <c r="H4" s="19"/>
      <c r="I4" s="18"/>
      <c r="J4" s="18"/>
    </row>
    <row r="5" spans="2:14" x14ac:dyDescent="0.3">
      <c r="B5" s="16">
        <v>45842</v>
      </c>
      <c r="C5" s="15">
        <f>SUMIFS(OrderLines[LineNetAmount],OrderLines[OrderDateTime],$B5)</f>
        <v>1622.0684000000001</v>
      </c>
      <c r="D5" s="17">
        <f>IFERROR(AVERAGEIFS(Feedback[Rating],Feedback[Date],$B5),0)</f>
        <v>4.5</v>
      </c>
      <c r="E5" s="15">
        <f>IFERROR(ROUND(AVERAGEIFS(WasteLog[Waste cost],WasteLog[Date],$B5),2),0)</f>
        <v>80.92</v>
      </c>
      <c r="F5" s="18"/>
      <c r="G5" s="18"/>
      <c r="H5" s="19"/>
      <c r="I5" s="18"/>
      <c r="J5" s="18"/>
    </row>
    <row r="6" spans="2:14" x14ac:dyDescent="0.3">
      <c r="B6" s="16">
        <v>45843</v>
      </c>
      <c r="C6" s="15">
        <f>SUMIFS(OrderLines[LineNetAmount],OrderLines[OrderDateTime],$B6)</f>
        <v>626.24789999999996</v>
      </c>
      <c r="D6" s="17">
        <f>IFERROR(AVERAGEIFS(Feedback[Rating],Feedback[Date],$B6),0)</f>
        <v>4</v>
      </c>
      <c r="E6" s="15">
        <f>IFERROR(ROUND(AVERAGEIFS(WasteLog[Waste cost],WasteLog[Date],$B6),2),0)</f>
        <v>84.55</v>
      </c>
      <c r="F6" s="18"/>
      <c r="G6" s="18"/>
      <c r="H6" s="19"/>
      <c r="I6" s="18"/>
      <c r="J6" s="18"/>
    </row>
    <row r="7" spans="2:14" x14ac:dyDescent="0.3">
      <c r="B7" s="16">
        <v>45844</v>
      </c>
      <c r="C7" s="15">
        <f>SUMIFS(OrderLines[LineNetAmount],OrderLines[OrderDateTime],$B7)</f>
        <v>2758.1275999999998</v>
      </c>
      <c r="D7" s="17">
        <f>IFERROR(AVERAGEIFS(Feedback[Rating],Feedback[Date],$B7),0)</f>
        <v>3.5</v>
      </c>
      <c r="E7" s="15">
        <f>IFERROR(ROUND(AVERAGEIFS(WasteLog[Waste cost],WasteLog[Date],$B7),2),0)</f>
        <v>108.7</v>
      </c>
      <c r="F7" s="18"/>
      <c r="G7" s="18"/>
      <c r="H7" s="19"/>
      <c r="I7" s="18"/>
      <c r="J7" s="18"/>
      <c r="N7" s="2"/>
    </row>
    <row r="8" spans="2:14" x14ac:dyDescent="0.3">
      <c r="B8" s="16">
        <v>45845</v>
      </c>
      <c r="C8" s="15">
        <f>SUMIFS(OrderLines[LineNetAmount],OrderLines[OrderDateTime],$B8)</f>
        <v>1619.6286</v>
      </c>
      <c r="D8" s="17">
        <f>IFERROR(AVERAGEIFS(Feedback[Rating],Feedback[Date],$B8),0)</f>
        <v>4.75</v>
      </c>
      <c r="E8" s="15">
        <f>IFERROR(ROUND(AVERAGEIFS(WasteLog[Waste cost],WasteLog[Date],$B8),2),0)</f>
        <v>74.069999999999993</v>
      </c>
      <c r="F8" s="18"/>
      <c r="G8" s="18"/>
      <c r="H8" s="19"/>
      <c r="I8" s="18"/>
      <c r="J8" s="18"/>
    </row>
    <row r="9" spans="2:14" x14ac:dyDescent="0.3">
      <c r="B9" s="16">
        <v>45846</v>
      </c>
      <c r="C9" s="15">
        <f>SUMIFS(OrderLines[LineNetAmount],OrderLines[OrderDateTime],$B9)</f>
        <v>425.19910000000004</v>
      </c>
      <c r="D9" s="17">
        <f>IFERROR(AVERAGEIFS(Feedback[Rating],Feedback[Date],$B9),0)</f>
        <v>4</v>
      </c>
      <c r="E9" s="15">
        <f>IFERROR(ROUND(AVERAGEIFS(WasteLog[Waste cost],WasteLog[Date],$B9),2),0)</f>
        <v>35.32</v>
      </c>
      <c r="F9" s="18"/>
      <c r="G9" s="18"/>
      <c r="H9" s="19"/>
      <c r="I9" s="18"/>
      <c r="J9" s="18"/>
    </row>
    <row r="10" spans="2:14" x14ac:dyDescent="0.3">
      <c r="B10" s="16">
        <v>45847</v>
      </c>
      <c r="C10" s="15">
        <f>SUMIFS(OrderLines[LineNetAmount],OrderLines[OrderDateTime],$B10)</f>
        <v>2706.5737000000004</v>
      </c>
      <c r="D10" s="17">
        <f>IFERROR(AVERAGEIFS(Feedback[Rating],Feedback[Date],$B10),0)</f>
        <v>3.1666666666666665</v>
      </c>
      <c r="E10" s="15">
        <f>IFERROR(ROUND(AVERAGEIFS(WasteLog[Waste cost],WasteLog[Date],$B10),2),0)</f>
        <v>37.26</v>
      </c>
      <c r="F10" s="18"/>
      <c r="G10" s="18"/>
      <c r="H10" s="19"/>
      <c r="I10" s="18"/>
      <c r="J10" s="18"/>
    </row>
    <row r="11" spans="2:14" x14ac:dyDescent="0.3">
      <c r="B11" s="16">
        <v>45848</v>
      </c>
      <c r="C11" s="15">
        <f>SUMIFS(OrderLines[LineNetAmount],OrderLines[OrderDateTime],$B11)</f>
        <v>3654.4445999999998</v>
      </c>
      <c r="D11" s="17">
        <f>IFERROR(AVERAGEIFS(Feedback[Rating],Feedback[Date],$B11),0)</f>
        <v>4</v>
      </c>
      <c r="E11" s="15">
        <f>IFERROR(ROUND(AVERAGEIFS(WasteLog[Waste cost],WasteLog[Date],$B11),2),0)</f>
        <v>8</v>
      </c>
      <c r="F11" s="18"/>
      <c r="G11" s="18"/>
      <c r="H11" s="19"/>
      <c r="I11" s="18"/>
      <c r="J11" s="18"/>
    </row>
    <row r="12" spans="2:14" x14ac:dyDescent="0.3">
      <c r="B12" s="16">
        <v>45849</v>
      </c>
      <c r="C12" s="15">
        <f>SUMIFS(OrderLines[LineNetAmount],OrderLines[OrderDateTime],$B12)</f>
        <v>3744.4974999999999</v>
      </c>
      <c r="D12" s="17">
        <f>IFERROR(AVERAGEIFS(Feedback[Rating],Feedback[Date],$B12),0)</f>
        <v>3.5</v>
      </c>
      <c r="E12" s="15">
        <f>IFERROR(ROUND(AVERAGEIFS(WasteLog[Waste cost],WasteLog[Date],$B12),2),0)</f>
        <v>195.31</v>
      </c>
      <c r="F12" s="18"/>
      <c r="G12" s="18"/>
      <c r="H12" s="19"/>
      <c r="I12" s="18"/>
      <c r="J12" s="18"/>
    </row>
    <row r="13" spans="2:14" x14ac:dyDescent="0.3">
      <c r="B13" s="16">
        <v>45850</v>
      </c>
      <c r="C13" s="15">
        <f>SUMIFS(OrderLines[LineNetAmount],OrderLines[OrderDateTime],$B13)</f>
        <v>3559.4395</v>
      </c>
      <c r="D13" s="17">
        <f>IFERROR(AVERAGEIFS(Feedback[Rating],Feedback[Date],$B13),0)</f>
        <v>4</v>
      </c>
      <c r="E13" s="15">
        <f>IFERROR(ROUND(AVERAGEIFS(WasteLog[Waste cost],WasteLog[Date],$B13),2),0)</f>
        <v>143.24</v>
      </c>
      <c r="F13" s="18"/>
      <c r="G13" s="18"/>
      <c r="H13" s="19"/>
      <c r="I13" s="18"/>
      <c r="J13" s="18"/>
    </row>
    <row r="14" spans="2:14" x14ac:dyDescent="0.3">
      <c r="B14" s="16">
        <v>45851</v>
      </c>
      <c r="C14" s="15">
        <f>SUMIFS(OrderLines[LineNetAmount],OrderLines[OrderDateTime],$B14)</f>
        <v>2567.5367999999999</v>
      </c>
      <c r="D14" s="17">
        <f>IFERROR(AVERAGEIFS(Feedback[Rating],Feedback[Date],$B14),0)</f>
        <v>3.8</v>
      </c>
      <c r="E14" s="15">
        <f>IFERROR(ROUND(AVERAGEIFS(WasteLog[Waste cost],WasteLog[Date],$B14),2),0)</f>
        <v>0</v>
      </c>
      <c r="F14" s="18"/>
      <c r="G14" s="18"/>
      <c r="H14" s="19"/>
      <c r="I14" s="18"/>
      <c r="J14" s="18"/>
    </row>
    <row r="15" spans="2:14" x14ac:dyDescent="0.3">
      <c r="B15" s="16">
        <v>45852</v>
      </c>
      <c r="C15" s="15">
        <f>SUMIFS(OrderLines[LineNetAmount],OrderLines[OrderDateTime],$B15)</f>
        <v>1450.0475999999999</v>
      </c>
      <c r="D15" s="17">
        <f>IFERROR(AVERAGEIFS(Feedback[Rating],Feedback[Date],$B15),0)</f>
        <v>2.6666666666666665</v>
      </c>
      <c r="E15" s="15">
        <f>IFERROR(ROUND(AVERAGEIFS(WasteLog[Waste cost],WasteLog[Date],$B15),2),0)</f>
        <v>53.81</v>
      </c>
      <c r="F15" s="18"/>
      <c r="G15" s="18"/>
      <c r="H15" s="19"/>
      <c r="I15" s="18"/>
      <c r="J15" s="18"/>
    </row>
    <row r="16" spans="2:14" x14ac:dyDescent="0.3">
      <c r="B16" s="16">
        <v>45853</v>
      </c>
      <c r="C16" s="15">
        <f>SUMIFS(OrderLines[LineNetAmount],OrderLines[OrderDateTime],$B16)</f>
        <v>1530.5968</v>
      </c>
      <c r="D16" s="17">
        <f>IFERROR(AVERAGEIFS(Feedback[Rating],Feedback[Date],$B16),0)</f>
        <v>4</v>
      </c>
      <c r="E16" s="15">
        <f>IFERROR(ROUND(AVERAGEIFS(WasteLog[Waste cost],WasteLog[Date],$B16),2),0)</f>
        <v>78.040000000000006</v>
      </c>
      <c r="F16" s="18"/>
      <c r="G16" s="18"/>
      <c r="H16" s="19"/>
      <c r="I16" s="18"/>
      <c r="J16" s="18"/>
    </row>
    <row r="17" spans="2:10" x14ac:dyDescent="0.3">
      <c r="B17" s="16">
        <v>45854</v>
      </c>
      <c r="C17" s="15">
        <f>SUMIFS(OrderLines[LineNetAmount],OrderLines[OrderDateTime],$B17)</f>
        <v>1691.1957999999997</v>
      </c>
      <c r="D17" s="17">
        <f>IFERROR(AVERAGEIFS(Feedback[Rating],Feedback[Date],$B17),0)</f>
        <v>3</v>
      </c>
      <c r="E17" s="15">
        <f>IFERROR(ROUND(AVERAGEIFS(WasteLog[Waste cost],WasteLog[Date],$B17),2),0)</f>
        <v>54.3</v>
      </c>
      <c r="F17" s="18"/>
      <c r="G17" s="18"/>
      <c r="H17" s="19"/>
      <c r="I17" s="18"/>
      <c r="J17" s="18"/>
    </row>
    <row r="18" spans="2:10" x14ac:dyDescent="0.3">
      <c r="B18" s="16">
        <v>45855</v>
      </c>
      <c r="C18" s="15">
        <f>SUMIFS(OrderLines[LineNetAmount],OrderLines[OrderDateTime],$B18)</f>
        <v>1489.3910000000001</v>
      </c>
      <c r="D18" s="17">
        <f>IFERROR(AVERAGEIFS(Feedback[Rating],Feedback[Date],$B18),0)</f>
        <v>3.5</v>
      </c>
      <c r="E18" s="15">
        <f>IFERROR(ROUND(AVERAGEIFS(WasteLog[Waste cost],WasteLog[Date],$B18),2),0)</f>
        <v>18.760000000000002</v>
      </c>
      <c r="F18" s="18"/>
      <c r="G18" s="18"/>
      <c r="H18" s="19"/>
      <c r="I18" s="18"/>
      <c r="J18" s="18"/>
    </row>
    <row r="19" spans="2:10" x14ac:dyDescent="0.3">
      <c r="B19" s="16">
        <v>45856</v>
      </c>
      <c r="C19" s="15">
        <f>SUMIFS(OrderLines[LineNetAmount],OrderLines[OrderDateTime],$B19)</f>
        <v>2741.2235000000005</v>
      </c>
      <c r="D19" s="17">
        <f>IFERROR(AVERAGEIFS(Feedback[Rating],Feedback[Date],$B19),0)</f>
        <v>2.6666666666666665</v>
      </c>
      <c r="E19" s="15">
        <f>IFERROR(ROUND(AVERAGEIFS(WasteLog[Waste cost],WasteLog[Date],$B19),2),0)</f>
        <v>52.85</v>
      </c>
      <c r="F19" s="18"/>
      <c r="G19" s="18"/>
      <c r="H19" s="19"/>
      <c r="I19" s="18"/>
      <c r="J19" s="18"/>
    </row>
    <row r="20" spans="2:10" x14ac:dyDescent="0.3">
      <c r="B20" s="16">
        <v>45857</v>
      </c>
      <c r="C20" s="15">
        <f>SUMIFS(OrderLines[LineNetAmount],OrderLines[OrderDateTime],$B20)</f>
        <v>1258.1079999999999</v>
      </c>
      <c r="D20" s="17">
        <f>IFERROR(AVERAGEIFS(Feedback[Rating],Feedback[Date],$B20),0)</f>
        <v>4.333333333333333</v>
      </c>
      <c r="E20" s="15">
        <f>IFERROR(ROUND(AVERAGEIFS(WasteLog[Waste cost],WasteLog[Date],$B20),2),0)</f>
        <v>148.13999999999999</v>
      </c>
      <c r="F20" s="18"/>
      <c r="G20" s="18"/>
      <c r="H20" s="19"/>
      <c r="I20" s="18"/>
      <c r="J20" s="18"/>
    </row>
    <row r="21" spans="2:10" x14ac:dyDescent="0.3">
      <c r="B21" s="16">
        <v>45858</v>
      </c>
      <c r="C21" s="15">
        <f>SUMIFS(OrderLines[LineNetAmount],OrderLines[OrderDateTime],$B21)</f>
        <v>2912.7894999999999</v>
      </c>
      <c r="D21" s="17">
        <f>IFERROR(AVERAGEIFS(Feedback[Rating],Feedback[Date],$B21),0)</f>
        <v>3.3333333333333335</v>
      </c>
      <c r="E21" s="15">
        <f>IFERROR(ROUND(AVERAGEIFS(WasteLog[Waste cost],WasteLog[Date],$B21),2),0)</f>
        <v>14.18</v>
      </c>
      <c r="F21" s="18"/>
      <c r="G21" s="18"/>
      <c r="H21" s="19"/>
      <c r="I21" s="18"/>
      <c r="J21" s="18"/>
    </row>
    <row r="22" spans="2:10" x14ac:dyDescent="0.3">
      <c r="B22" s="16">
        <v>45859</v>
      </c>
      <c r="C22" s="15">
        <f>SUMIFS(OrderLines[LineNetAmount],OrderLines[OrderDateTime],$B22)</f>
        <v>714.59739999999999</v>
      </c>
      <c r="D22" s="17">
        <f>IFERROR(AVERAGEIFS(Feedback[Rating],Feedback[Date],$B22),0)</f>
        <v>4</v>
      </c>
      <c r="E22" s="15">
        <f>IFERROR(ROUND(AVERAGEIFS(WasteLog[Waste cost],WasteLog[Date],$B22),2),0)</f>
        <v>58.28</v>
      </c>
      <c r="F22" s="18"/>
      <c r="G22" s="18"/>
      <c r="H22" s="19"/>
      <c r="I22" s="18"/>
      <c r="J22" s="18"/>
    </row>
    <row r="23" spans="2:10" x14ac:dyDescent="0.3">
      <c r="B23" s="16">
        <v>45860</v>
      </c>
      <c r="C23" s="15">
        <f>SUMIFS(OrderLines[LineNetAmount],OrderLines[OrderDateTime],$B23)</f>
        <v>933.67669999999998</v>
      </c>
      <c r="D23" s="17">
        <f>IFERROR(AVERAGEIFS(Feedback[Rating],Feedback[Date],$B23),0)</f>
        <v>2</v>
      </c>
      <c r="E23" s="15">
        <f>IFERROR(ROUND(AVERAGEIFS(WasteLog[Waste cost],WasteLog[Date],$B23),2),0)</f>
        <v>254.26</v>
      </c>
      <c r="F23" s="18"/>
      <c r="G23" s="18"/>
      <c r="H23" s="19"/>
      <c r="I23" s="18"/>
      <c r="J23" s="18"/>
    </row>
    <row r="24" spans="2:10" x14ac:dyDescent="0.3">
      <c r="B24" s="16">
        <v>45861</v>
      </c>
      <c r="C24" s="15">
        <f>SUMIFS(OrderLines[LineNetAmount],OrderLines[OrderDateTime],$B24)</f>
        <v>1650.5281</v>
      </c>
      <c r="D24" s="17">
        <f>IFERROR(AVERAGEIFS(Feedback[Rating],Feedback[Date],$B24),0)</f>
        <v>2</v>
      </c>
      <c r="E24" s="15">
        <f>IFERROR(ROUND(AVERAGEIFS(WasteLog[Waste cost],WasteLog[Date],$B24),2),0)</f>
        <v>68.2</v>
      </c>
      <c r="F24" s="18"/>
      <c r="G24" s="18"/>
      <c r="H24" s="19"/>
      <c r="I24" s="18"/>
      <c r="J24" s="18"/>
    </row>
    <row r="25" spans="2:10" x14ac:dyDescent="0.3">
      <c r="B25" s="16">
        <v>45862</v>
      </c>
      <c r="C25" s="15">
        <f>SUMIFS(OrderLines[LineNetAmount],OrderLines[OrderDateTime],$B25)</f>
        <v>2173.3865000000001</v>
      </c>
      <c r="D25" s="17">
        <f>IFERROR(AVERAGEIFS(Feedback[Rating],Feedback[Date],$B25),0)</f>
        <v>4.25</v>
      </c>
      <c r="E25" s="15">
        <f>IFERROR(ROUND(AVERAGEIFS(WasteLog[Waste cost],WasteLog[Date],$B25),2),0)</f>
        <v>61.89</v>
      </c>
      <c r="F25" s="18"/>
      <c r="G25" s="18"/>
      <c r="H25" s="19"/>
      <c r="I25" s="18"/>
      <c r="J25" s="18"/>
    </row>
    <row r="26" spans="2:10" x14ac:dyDescent="0.3">
      <c r="B26" s="16">
        <v>45863</v>
      </c>
      <c r="C26" s="15">
        <f>SUMIFS(OrderLines[LineNetAmount],OrderLines[OrderDateTime],$B26)</f>
        <v>811.55369999999982</v>
      </c>
      <c r="D26" s="17">
        <f>IFERROR(AVERAGEIFS(Feedback[Rating],Feedback[Date],$B26),0)</f>
        <v>3.3333333333333335</v>
      </c>
      <c r="E26" s="15">
        <f>IFERROR(ROUND(AVERAGEIFS(WasteLog[Waste cost],WasteLog[Date],$B26),2),0)</f>
        <v>103.17</v>
      </c>
      <c r="F26" s="18"/>
      <c r="G26" s="18"/>
      <c r="H26" s="19"/>
      <c r="I26" s="18"/>
      <c r="J26" s="18"/>
    </row>
    <row r="27" spans="2:10" x14ac:dyDescent="0.3">
      <c r="B27" s="16">
        <v>45864</v>
      </c>
      <c r="C27" s="15">
        <f>SUMIFS(OrderLines[LineNetAmount],OrderLines[OrderDateTime],$B27)</f>
        <v>2029.8743999999999</v>
      </c>
      <c r="D27" s="17">
        <f>IFERROR(AVERAGEIFS(Feedback[Rating],Feedback[Date],$B27),0)</f>
        <v>3</v>
      </c>
      <c r="E27" s="15">
        <f>IFERROR(ROUND(AVERAGEIFS(WasteLog[Waste cost],WasteLog[Date],$B27),2),0)</f>
        <v>28.14</v>
      </c>
      <c r="F27" s="18"/>
      <c r="G27" s="18"/>
      <c r="H27" s="19"/>
      <c r="I27" s="18"/>
      <c r="J27" s="18"/>
    </row>
    <row r="28" spans="2:10" x14ac:dyDescent="0.3">
      <c r="B28" s="16">
        <v>45865</v>
      </c>
      <c r="C28" s="15">
        <f>SUMIFS(OrderLines[LineNetAmount],OrderLines[OrderDateTime],$B28)</f>
        <v>2044.1306000000002</v>
      </c>
      <c r="D28" s="17">
        <f>IFERROR(AVERAGEIFS(Feedback[Rating],Feedback[Date],$B28),0)</f>
        <v>3</v>
      </c>
      <c r="E28" s="15">
        <f>IFERROR(ROUND(AVERAGEIFS(WasteLog[Waste cost],WasteLog[Date],$B28),2),0)</f>
        <v>84.3</v>
      </c>
      <c r="F28" s="18"/>
      <c r="G28" s="18"/>
      <c r="H28" s="19"/>
      <c r="I28" s="18"/>
      <c r="J28" s="18"/>
    </row>
    <row r="29" spans="2:10" x14ac:dyDescent="0.3">
      <c r="B29" s="16">
        <v>45866</v>
      </c>
      <c r="C29" s="15">
        <f>SUMIFS(OrderLines[LineNetAmount],OrderLines[OrderDateTime],$B29)</f>
        <v>2274.1075999999994</v>
      </c>
      <c r="D29" s="17">
        <f>IFERROR(AVERAGEIFS(Feedback[Rating],Feedback[Date],$B29),0)</f>
        <v>4</v>
      </c>
      <c r="E29" s="15">
        <f>IFERROR(ROUND(AVERAGEIFS(WasteLog[Waste cost],WasteLog[Date],$B29),2),0)</f>
        <v>79.38</v>
      </c>
      <c r="F29" s="18"/>
      <c r="G29" s="18"/>
      <c r="H29" s="19"/>
      <c r="I29" s="18"/>
      <c r="J29" s="18"/>
    </row>
    <row r="30" spans="2:10" x14ac:dyDescent="0.3">
      <c r="B30" s="16">
        <v>45867</v>
      </c>
      <c r="C30" s="15">
        <f>SUMIFS(OrderLines[LineNetAmount],OrderLines[OrderDateTime],$B30)</f>
        <v>3020.3593000000001</v>
      </c>
      <c r="D30" s="17">
        <f>IFERROR(AVERAGEIFS(Feedback[Rating],Feedback[Date],$B30),0)</f>
        <v>3.1428571428571428</v>
      </c>
      <c r="E30" s="15">
        <f>IFERROR(ROUND(AVERAGEIFS(WasteLog[Waste cost],WasteLog[Date],$B30),2),0)</f>
        <v>52.87</v>
      </c>
      <c r="F30" s="18"/>
      <c r="G30" s="18"/>
      <c r="H30" s="19"/>
      <c r="I30" s="18"/>
      <c r="J30" s="18"/>
    </row>
    <row r="31" spans="2:10" x14ac:dyDescent="0.3">
      <c r="B31" s="16">
        <v>45868</v>
      </c>
      <c r="C31" s="15">
        <f>SUMIFS(OrderLines[LineNetAmount],OrderLines[OrderDateTime],$B31)</f>
        <v>2648.0348000000004</v>
      </c>
      <c r="D31" s="17">
        <f>IFERROR(AVERAGEIFS(Feedback[Rating],Feedback[Date],$B31),0)</f>
        <v>3.5714285714285716</v>
      </c>
      <c r="E31" s="15">
        <f>IFERROR(ROUND(AVERAGEIFS(WasteLog[Waste cost],WasteLog[Date],$B31),2),0)</f>
        <v>261.87</v>
      </c>
      <c r="F31" s="18"/>
      <c r="G31" s="18"/>
      <c r="H31" s="19"/>
      <c r="I31" s="18"/>
      <c r="J31" s="18"/>
    </row>
    <row r="32" spans="2:10" x14ac:dyDescent="0.3">
      <c r="B32" s="16">
        <v>45869</v>
      </c>
      <c r="C32" s="15">
        <f>SUMIFS(OrderLines[LineNetAmount],OrderLines[OrderDateTime],$B32)</f>
        <v>4852.3995999999997</v>
      </c>
      <c r="D32" s="17">
        <f>IFERROR(AVERAGEIFS(Feedback[Rating],Feedback[Date],$B32),0)</f>
        <v>3.125</v>
      </c>
      <c r="E32" s="15">
        <f>IFERROR(ROUND(AVERAGEIFS(WasteLog[Waste cost],WasteLog[Date],$B32),2),0)</f>
        <v>32</v>
      </c>
      <c r="F32" s="18"/>
      <c r="G32" s="18"/>
      <c r="H32" s="19"/>
      <c r="I32" s="18"/>
      <c r="J32" s="18"/>
    </row>
    <row r="33" spans="2:10" x14ac:dyDescent="0.3">
      <c r="B33" s="16">
        <v>45870</v>
      </c>
      <c r="C33" s="15">
        <f>SUMIFS(OrderLines[LineNetAmount],OrderLines[OrderDateTime],$B33)</f>
        <v>1738.7399999999998</v>
      </c>
      <c r="D33" s="17">
        <f>IFERROR(AVERAGEIFS(Feedback[Rating],Feedback[Date],$B33),0)</f>
        <v>3.8571428571428572</v>
      </c>
      <c r="E33" s="15">
        <f>IFERROR(ROUND(AVERAGEIFS(WasteLog[Waste cost],WasteLog[Date],$B33),2),0)</f>
        <v>66.02</v>
      </c>
      <c r="F33" s="18"/>
      <c r="G33" s="18"/>
      <c r="H33" s="19"/>
      <c r="I33" s="18"/>
      <c r="J33" s="18"/>
    </row>
    <row r="34" spans="2:10" x14ac:dyDescent="0.3">
      <c r="B34" s="16">
        <v>45871</v>
      </c>
      <c r="C34" s="15">
        <f>SUMIFS(OrderLines[LineNetAmount],OrderLines[OrderDateTime],$B34)</f>
        <v>3170.9501999999998</v>
      </c>
      <c r="D34" s="17">
        <f>IFERROR(AVERAGEIFS(Feedback[Rating],Feedback[Date],$B34),0)</f>
        <v>0</v>
      </c>
      <c r="E34" s="15">
        <f>IFERROR(ROUND(AVERAGEIFS(WasteLog[Waste cost],WasteLog[Date],$B34),2),0)</f>
        <v>58.47</v>
      </c>
      <c r="F34" s="18"/>
      <c r="G34" s="18"/>
      <c r="H34" s="19"/>
      <c r="I34" s="18"/>
      <c r="J34" s="18"/>
    </row>
    <row r="35" spans="2:10" x14ac:dyDescent="0.3">
      <c r="B35" s="16">
        <v>45872</v>
      </c>
      <c r="C35" s="15">
        <f>SUMIFS(OrderLines[LineNetAmount],OrderLines[OrderDateTime],$B35)</f>
        <v>2245.7258999999995</v>
      </c>
      <c r="D35" s="17">
        <f>IFERROR(AVERAGEIFS(Feedback[Rating],Feedback[Date],$B35),0)</f>
        <v>5</v>
      </c>
      <c r="E35" s="15">
        <f>IFERROR(ROUND(AVERAGEIFS(WasteLog[Waste cost],WasteLog[Date],$B35),2),0)</f>
        <v>74.069999999999993</v>
      </c>
      <c r="F35" s="18"/>
      <c r="G35" s="18"/>
      <c r="H35" s="19"/>
      <c r="I35" s="18"/>
      <c r="J35" s="18"/>
    </row>
    <row r="36" spans="2:10" x14ac:dyDescent="0.3">
      <c r="B36" s="16">
        <v>45873</v>
      </c>
      <c r="C36" s="15">
        <f>SUMIFS(OrderLines[LineNetAmount],OrderLines[OrderDateTime],$B36)</f>
        <v>1903.7358999999999</v>
      </c>
      <c r="D36" s="17">
        <f>IFERROR(AVERAGEIFS(Feedback[Rating],Feedback[Date],$B36),0)</f>
        <v>2.25</v>
      </c>
      <c r="E36" s="15">
        <f>IFERROR(ROUND(AVERAGEIFS(WasteLog[Waste cost],WasteLog[Date],$B36),2),0)</f>
        <v>143.16</v>
      </c>
      <c r="F36" s="18"/>
      <c r="G36" s="18"/>
      <c r="H36" s="19"/>
      <c r="I36" s="18"/>
      <c r="J36" s="18"/>
    </row>
    <row r="37" spans="2:10" x14ac:dyDescent="0.3">
      <c r="B37" s="16">
        <v>45874</v>
      </c>
      <c r="C37" s="15">
        <f>SUMIFS(OrderLines[LineNetAmount],OrderLines[OrderDateTime],$B37)</f>
        <v>2167.9314000000004</v>
      </c>
      <c r="D37" s="17">
        <f>IFERROR(AVERAGEIFS(Feedback[Rating],Feedback[Date],$B37),0)</f>
        <v>3.2</v>
      </c>
      <c r="E37" s="15">
        <f>IFERROR(ROUND(AVERAGEIFS(WasteLog[Waste cost],WasteLog[Date],$B37),2),0)</f>
        <v>0</v>
      </c>
      <c r="F37" s="18"/>
      <c r="G37" s="18"/>
      <c r="H37" s="19"/>
      <c r="I37" s="18"/>
      <c r="J37" s="18"/>
    </row>
    <row r="38" spans="2:10" x14ac:dyDescent="0.3">
      <c r="B38" s="16">
        <v>45875</v>
      </c>
      <c r="C38" s="15">
        <f>SUMIFS(OrderLines[LineNetAmount],OrderLines[OrderDateTime],$B38)</f>
        <v>1658.0415000000003</v>
      </c>
      <c r="D38" s="17">
        <f>IFERROR(AVERAGEIFS(Feedback[Rating],Feedback[Date],$B38),0)</f>
        <v>3.6666666666666665</v>
      </c>
      <c r="E38" s="15">
        <f>IFERROR(ROUND(AVERAGEIFS(WasteLog[Waste cost],WasteLog[Date],$B38),2),0)</f>
        <v>35.11</v>
      </c>
      <c r="F38" s="18"/>
      <c r="G38" s="18"/>
      <c r="H38" s="19"/>
      <c r="I38" s="18"/>
      <c r="J38" s="18"/>
    </row>
    <row r="39" spans="2:10" x14ac:dyDescent="0.3">
      <c r="B39" s="16">
        <v>45876</v>
      </c>
      <c r="C39" s="15">
        <f>SUMIFS(OrderLines[LineNetAmount],OrderLines[OrderDateTime],$B39)</f>
        <v>1593.9491000000003</v>
      </c>
      <c r="D39" s="17">
        <f>IFERROR(AVERAGEIFS(Feedback[Rating],Feedback[Date],$B39),0)</f>
        <v>4</v>
      </c>
      <c r="E39" s="15">
        <f>IFERROR(ROUND(AVERAGEIFS(WasteLog[Waste cost],WasteLog[Date],$B39),2),0)</f>
        <v>263.26</v>
      </c>
      <c r="F39" s="18"/>
      <c r="G39" s="18"/>
      <c r="H39" s="19"/>
      <c r="I39" s="18"/>
      <c r="J39" s="18"/>
    </row>
    <row r="40" spans="2:10" x14ac:dyDescent="0.3">
      <c r="B40" s="16">
        <v>45877</v>
      </c>
      <c r="C40" s="15">
        <f>SUMIFS(OrderLines[LineNetAmount],OrderLines[OrderDateTime],$B40)</f>
        <v>1921.5368999999998</v>
      </c>
      <c r="D40" s="17">
        <f>IFERROR(AVERAGEIFS(Feedback[Rating],Feedback[Date],$B40),0)</f>
        <v>3.3333333333333335</v>
      </c>
      <c r="E40" s="15">
        <f>IFERROR(ROUND(AVERAGEIFS(WasteLog[Waste cost],WasteLog[Date],$B40),2),0)</f>
        <v>80.92</v>
      </c>
      <c r="F40" s="18"/>
      <c r="G40" s="18"/>
      <c r="H40" s="19"/>
      <c r="I40" s="18"/>
      <c r="J40" s="18"/>
    </row>
    <row r="41" spans="2:10" x14ac:dyDescent="0.3">
      <c r="B41" s="16">
        <v>45878</v>
      </c>
      <c r="C41" s="15">
        <f>SUMIFS(OrderLines[LineNetAmount],OrderLines[OrderDateTime],$B41)</f>
        <v>4129.2466000000004</v>
      </c>
      <c r="D41" s="17">
        <f>IFERROR(AVERAGEIFS(Feedback[Rating],Feedback[Date],$B41),0)</f>
        <v>5</v>
      </c>
      <c r="E41" s="15">
        <f>IFERROR(ROUND(AVERAGEIFS(WasteLog[Waste cost],WasteLog[Date],$B41),2),0)</f>
        <v>199.14</v>
      </c>
      <c r="F41" s="18"/>
      <c r="G41" s="18"/>
      <c r="H41" s="19"/>
      <c r="I41" s="18"/>
      <c r="J41" s="18"/>
    </row>
    <row r="42" spans="2:10" x14ac:dyDescent="0.3">
      <c r="B42" s="16">
        <v>45879</v>
      </c>
      <c r="C42" s="15">
        <f>SUMIFS(OrderLines[LineNetAmount],OrderLines[OrderDateTime],$B42)</f>
        <v>1401.8914</v>
      </c>
      <c r="D42" s="17">
        <f>IFERROR(AVERAGEIFS(Feedback[Rating],Feedback[Date],$B42),0)</f>
        <v>4.5</v>
      </c>
      <c r="E42" s="15">
        <f>IFERROR(ROUND(AVERAGEIFS(WasteLog[Waste cost],WasteLog[Date],$B42),2),0)</f>
        <v>44.37</v>
      </c>
      <c r="F42" s="18"/>
      <c r="G42" s="18"/>
      <c r="H42" s="19"/>
      <c r="I42" s="18"/>
      <c r="J42" s="18"/>
    </row>
    <row r="43" spans="2:10" x14ac:dyDescent="0.3">
      <c r="B43" s="16">
        <v>45880</v>
      </c>
      <c r="C43" s="15">
        <f>SUMIFS(OrderLines[LineNetAmount],OrderLines[OrderDateTime],$B43)</f>
        <v>2517.5508000000004</v>
      </c>
      <c r="D43" s="17">
        <f>IFERROR(AVERAGEIFS(Feedback[Rating],Feedback[Date],$B43),0)</f>
        <v>3.5</v>
      </c>
      <c r="E43" s="15">
        <f>IFERROR(ROUND(AVERAGEIFS(WasteLog[Waste cost],WasteLog[Date],$B43),2),0)</f>
        <v>59.58</v>
      </c>
      <c r="F43" s="18"/>
      <c r="G43" s="18"/>
      <c r="H43" s="19"/>
      <c r="I43" s="18"/>
      <c r="J43" s="18"/>
    </row>
    <row r="44" spans="2:10" x14ac:dyDescent="0.3">
      <c r="B44" s="16">
        <v>45881</v>
      </c>
      <c r="C44" s="15">
        <f>SUMIFS(OrderLines[LineNetAmount],OrderLines[OrderDateTime],$B44)</f>
        <v>2645.7173000000003</v>
      </c>
      <c r="D44" s="17">
        <f>IFERROR(AVERAGEIFS(Feedback[Rating],Feedback[Date],$B44),0)</f>
        <v>3.6</v>
      </c>
      <c r="E44" s="15">
        <f>IFERROR(ROUND(AVERAGEIFS(WasteLog[Waste cost],WasteLog[Date],$B44),2),0)</f>
        <v>0</v>
      </c>
      <c r="F44" s="18"/>
      <c r="G44" s="18"/>
      <c r="H44" s="19"/>
      <c r="I44" s="18"/>
      <c r="J44" s="18"/>
    </row>
    <row r="45" spans="2:10" x14ac:dyDescent="0.3">
      <c r="B45" s="16">
        <v>45882</v>
      </c>
      <c r="C45" s="15">
        <f>SUMIFS(OrderLines[LineNetAmount],OrderLines[OrderDateTime],$B45)</f>
        <v>2966.4973999999993</v>
      </c>
      <c r="D45" s="17">
        <f>IFERROR(AVERAGEIFS(Feedback[Rating],Feedback[Date],$B45),0)</f>
        <v>3</v>
      </c>
      <c r="E45" s="15">
        <f>IFERROR(ROUND(AVERAGEIFS(WasteLog[Waste cost],WasteLog[Date],$B45),2),0)</f>
        <v>93.92</v>
      </c>
      <c r="F45" s="18"/>
      <c r="G45" s="18"/>
      <c r="H45" s="19"/>
      <c r="I45" s="18"/>
      <c r="J45" s="18"/>
    </row>
    <row r="46" spans="2:10" x14ac:dyDescent="0.3">
      <c r="B46" s="16">
        <v>45883</v>
      </c>
      <c r="C46" s="15">
        <f>SUMIFS(OrderLines[LineNetAmount],OrderLines[OrderDateTime],$B46)</f>
        <v>2517.2587000000003</v>
      </c>
      <c r="D46" s="17">
        <f>IFERROR(AVERAGEIFS(Feedback[Rating],Feedback[Date],$B46),0)</f>
        <v>3.8</v>
      </c>
      <c r="E46" s="15">
        <f>IFERROR(ROUND(AVERAGEIFS(WasteLog[Waste cost],WasteLog[Date],$B46),2),0)</f>
        <v>29.14</v>
      </c>
      <c r="F46" s="18"/>
      <c r="G46" s="18"/>
      <c r="H46" s="19"/>
      <c r="I46" s="18"/>
      <c r="J46" s="18"/>
    </row>
    <row r="47" spans="2:10" x14ac:dyDescent="0.3">
      <c r="B47" s="16">
        <v>45884</v>
      </c>
      <c r="C47" s="15">
        <f>SUMIFS(OrderLines[LineNetAmount],OrderLines[OrderDateTime],$B47)</f>
        <v>2286.6790000000001</v>
      </c>
      <c r="D47" s="17">
        <f>IFERROR(AVERAGEIFS(Feedback[Rating],Feedback[Date],$B47),0)</f>
        <v>2</v>
      </c>
      <c r="E47" s="15">
        <f>IFERROR(ROUND(AVERAGEIFS(WasteLog[Waste cost],WasteLog[Date],$B47),2),0)</f>
        <v>195.31</v>
      </c>
      <c r="F47" s="18"/>
      <c r="G47" s="18"/>
      <c r="H47" s="19"/>
      <c r="I47" s="18"/>
      <c r="J47" s="18"/>
    </row>
    <row r="48" spans="2:10" x14ac:dyDescent="0.3">
      <c r="B48" s="16">
        <v>45885</v>
      </c>
      <c r="C48" s="15">
        <f>SUMIFS(OrderLines[LineNetAmount],OrderLines[OrderDateTime],$B48)</f>
        <v>2603.3123999999993</v>
      </c>
      <c r="D48" s="17">
        <f>IFERROR(AVERAGEIFS(Feedback[Rating],Feedback[Date],$B48),0)</f>
        <v>5</v>
      </c>
      <c r="E48" s="15">
        <f>IFERROR(ROUND(AVERAGEIFS(WasteLog[Waste cost],WasteLog[Date],$B48),2),0)</f>
        <v>35.81</v>
      </c>
      <c r="F48" s="18"/>
      <c r="G48" s="18"/>
      <c r="H48" s="19"/>
      <c r="I48" s="18"/>
      <c r="J48" s="18"/>
    </row>
    <row r="49" spans="2:10" x14ac:dyDescent="0.3">
      <c r="B49" s="16">
        <v>45886</v>
      </c>
      <c r="C49" s="15">
        <f>SUMIFS(OrderLines[LineNetAmount],OrderLines[OrderDateTime],$B49)</f>
        <v>2530.6252999999997</v>
      </c>
      <c r="D49" s="17">
        <f>IFERROR(AVERAGEIFS(Feedback[Rating],Feedback[Date],$B49),0)</f>
        <v>3.5</v>
      </c>
      <c r="E49" s="15">
        <f>IFERROR(ROUND(AVERAGEIFS(WasteLog[Waste cost],WasteLog[Date],$B49),2),0)</f>
        <v>38.229999999999997</v>
      </c>
      <c r="F49" s="18"/>
      <c r="G49" s="18"/>
      <c r="H49" s="19"/>
      <c r="I49" s="18"/>
      <c r="J49" s="18"/>
    </row>
    <row r="50" spans="2:10" x14ac:dyDescent="0.3">
      <c r="B50" s="16">
        <v>45887</v>
      </c>
      <c r="C50" s="15">
        <f>SUMIFS(OrderLines[LineNetAmount],OrderLines[OrderDateTime],$B50)</f>
        <v>1535.5767000000001</v>
      </c>
      <c r="D50" s="17">
        <f>IFERROR(AVERAGEIFS(Feedback[Rating],Feedback[Date],$B50),0)</f>
        <v>3</v>
      </c>
      <c r="E50" s="15">
        <f>IFERROR(ROUND(AVERAGEIFS(WasteLog[Waste cost],WasteLog[Date],$B50),2),0)</f>
        <v>16.690000000000001</v>
      </c>
      <c r="F50" s="18"/>
      <c r="G50" s="18"/>
      <c r="H50" s="19"/>
      <c r="I50" s="18"/>
      <c r="J50" s="18"/>
    </row>
    <row r="51" spans="2:10" x14ac:dyDescent="0.3">
      <c r="B51" s="16">
        <v>45888</v>
      </c>
      <c r="C51" s="15">
        <f>SUMIFS(OrderLines[LineNetAmount],OrderLines[OrderDateTime],$B51)</f>
        <v>2916.2893999999997</v>
      </c>
      <c r="D51" s="17">
        <f>IFERROR(AVERAGEIFS(Feedback[Rating],Feedback[Date],$B51),0)</f>
        <v>5</v>
      </c>
      <c r="E51" s="15">
        <f>IFERROR(ROUND(AVERAGEIFS(WasteLog[Waste cost],WasteLog[Date],$B51),2),0)</f>
        <v>35.78</v>
      </c>
      <c r="F51" s="18"/>
      <c r="G51" s="18"/>
      <c r="H51" s="19"/>
      <c r="I51" s="18"/>
      <c r="J51" s="18"/>
    </row>
    <row r="52" spans="2:10" x14ac:dyDescent="0.3">
      <c r="B52" s="16">
        <v>45889</v>
      </c>
      <c r="C52" s="15">
        <f>SUMIFS(OrderLines[LineNetAmount],OrderLines[OrderDateTime],$B52)</f>
        <v>1073.4818</v>
      </c>
      <c r="D52" s="17">
        <f>IFERROR(AVERAGEIFS(Feedback[Rating],Feedback[Date],$B52),0)</f>
        <v>4</v>
      </c>
      <c r="E52" s="15">
        <f>IFERROR(ROUND(AVERAGEIFS(WasteLog[Waste cost],WasteLog[Date],$B52),2),0)</f>
        <v>88.98</v>
      </c>
      <c r="F52" s="18"/>
      <c r="G52" s="18"/>
      <c r="H52" s="19"/>
      <c r="I52" s="18"/>
      <c r="J52" s="18"/>
    </row>
    <row r="53" spans="2:10" x14ac:dyDescent="0.3">
      <c r="B53" s="16">
        <v>45890</v>
      </c>
      <c r="C53" s="15">
        <f>SUMIFS(OrderLines[LineNetAmount],OrderLines[OrderDateTime],$B53)</f>
        <v>3053.0263999999997</v>
      </c>
      <c r="D53" s="17">
        <f>IFERROR(AVERAGEIFS(Feedback[Rating],Feedback[Date],$B53),0)</f>
        <v>2</v>
      </c>
      <c r="E53" s="15">
        <f>IFERROR(ROUND(AVERAGEIFS(WasteLog[Waste cost],WasteLog[Date],$B53),2),0)</f>
        <v>72.959999999999994</v>
      </c>
      <c r="F53" s="18"/>
      <c r="G53" s="18"/>
      <c r="H53" s="19"/>
      <c r="I53" s="18"/>
      <c r="J53" s="18"/>
    </row>
    <row r="54" spans="2:10" x14ac:dyDescent="0.3">
      <c r="B54" s="16">
        <v>45891</v>
      </c>
      <c r="C54" s="15">
        <f>SUMIFS(OrderLines[LineNetAmount],OrderLines[OrderDateTime],$B54)</f>
        <v>1982.1374000000001</v>
      </c>
      <c r="D54" s="17">
        <f>IFERROR(AVERAGEIFS(Feedback[Rating],Feedback[Date],$B54),0)</f>
        <v>3.4</v>
      </c>
      <c r="E54" s="15">
        <f>IFERROR(ROUND(AVERAGEIFS(WasteLog[Waste cost],WasteLog[Date],$B54),2),0)</f>
        <v>60.79</v>
      </c>
      <c r="F54" s="18"/>
      <c r="G54" s="18"/>
      <c r="H54" s="19"/>
      <c r="I54" s="18"/>
      <c r="J54" s="18"/>
    </row>
    <row r="55" spans="2:10" x14ac:dyDescent="0.3">
      <c r="B55" s="16">
        <v>45892</v>
      </c>
      <c r="C55" s="15">
        <f>SUMIFS(OrderLines[LineNetAmount],OrderLines[OrderDateTime],$B55)</f>
        <v>1250.1279999999997</v>
      </c>
      <c r="D55" s="17">
        <f>IFERROR(AVERAGEIFS(Feedback[Rating],Feedback[Date],$B55),0)</f>
        <v>4.25</v>
      </c>
      <c r="E55" s="15">
        <f>IFERROR(ROUND(AVERAGEIFS(WasteLog[Waste cost],WasteLog[Date],$B55),2),0)</f>
        <v>36.130000000000003</v>
      </c>
      <c r="F55" s="18"/>
      <c r="G55" s="18"/>
      <c r="H55" s="19"/>
      <c r="I55" s="18"/>
      <c r="J55" s="18"/>
    </row>
    <row r="56" spans="2:10" x14ac:dyDescent="0.3">
      <c r="B56" s="16">
        <v>45893</v>
      </c>
      <c r="C56" s="15">
        <f>SUMIFS(OrderLines[LineNetAmount],OrderLines[OrderDateTime],$B56)</f>
        <v>3195.5708000000004</v>
      </c>
      <c r="D56" s="17">
        <f>IFERROR(AVERAGEIFS(Feedback[Rating],Feedback[Date],$B56),0)</f>
        <v>4.666666666666667</v>
      </c>
      <c r="E56" s="15">
        <f>IFERROR(ROUND(AVERAGEIFS(WasteLog[Waste cost],WasteLog[Date],$B56),2),0)</f>
        <v>50.56</v>
      </c>
      <c r="F56" s="18"/>
      <c r="G56" s="18"/>
      <c r="H56" s="19"/>
      <c r="I56" s="18"/>
      <c r="J56" s="18"/>
    </row>
    <row r="57" spans="2:10" x14ac:dyDescent="0.3">
      <c r="B57" s="16">
        <v>45894</v>
      </c>
      <c r="C57" s="15">
        <f>SUMIFS(OrderLines[LineNetAmount],OrderLines[OrderDateTime],$B57)</f>
        <v>3411.9609000000005</v>
      </c>
      <c r="D57" s="17">
        <f>IFERROR(AVERAGEIFS(Feedback[Rating],Feedback[Date],$B57),0)</f>
        <v>4</v>
      </c>
      <c r="E57" s="15">
        <f>IFERROR(ROUND(AVERAGEIFS(WasteLog[Waste cost],WasteLog[Date],$B57),2),0)</f>
        <v>41.2</v>
      </c>
      <c r="F57" s="18"/>
      <c r="G57" s="18"/>
      <c r="H57" s="19"/>
      <c r="I57" s="18"/>
      <c r="J57" s="18"/>
    </row>
    <row r="58" spans="2:10" x14ac:dyDescent="0.3">
      <c r="B58" s="16">
        <v>45895</v>
      </c>
      <c r="C58" s="15">
        <f>SUMIFS(OrderLines[LineNetAmount],OrderLines[OrderDateTime],$B58)</f>
        <v>5601.9020999999993</v>
      </c>
      <c r="D58" s="17">
        <f>IFERROR(AVERAGEIFS(Feedback[Rating],Feedback[Date],$B58),0)</f>
        <v>3.3333333333333335</v>
      </c>
      <c r="E58" s="15">
        <f>IFERROR(ROUND(AVERAGEIFS(WasteLog[Waste cost],WasteLog[Date],$B58),2),0)</f>
        <v>168.93</v>
      </c>
      <c r="F58" s="18"/>
      <c r="G58" s="18"/>
      <c r="H58" s="19"/>
      <c r="I58" s="18"/>
      <c r="J58" s="18"/>
    </row>
    <row r="59" spans="2:10" x14ac:dyDescent="0.3">
      <c r="B59" s="16">
        <v>45896</v>
      </c>
      <c r="C59" s="15">
        <f>SUMIFS(OrderLines[LineNetAmount],OrderLines[OrderDateTime],$B59)</f>
        <v>2109.2730000000001</v>
      </c>
      <c r="D59" s="17">
        <f>IFERROR(AVERAGEIFS(Feedback[Rating],Feedback[Date],$B59),0)</f>
        <v>4</v>
      </c>
      <c r="E59" s="15">
        <f>IFERROR(ROUND(AVERAGEIFS(WasteLog[Waste cost],WasteLog[Date],$B59),2),0)</f>
        <v>80.92</v>
      </c>
      <c r="F59" s="18"/>
      <c r="G59" s="18"/>
      <c r="H59" s="19"/>
      <c r="I59" s="18"/>
      <c r="J59" s="18"/>
    </row>
    <row r="60" spans="2:10" x14ac:dyDescent="0.3">
      <c r="B60" s="16">
        <v>45897</v>
      </c>
      <c r="C60" s="15">
        <f>SUMIFS(OrderLines[LineNetAmount],OrderLines[OrderDateTime],$B60)</f>
        <v>1134.6641999999997</v>
      </c>
      <c r="D60" s="17">
        <f>IFERROR(AVERAGEIFS(Feedback[Rating],Feedback[Date],$B60),0)</f>
        <v>3</v>
      </c>
      <c r="E60" s="15">
        <f>IFERROR(ROUND(AVERAGEIFS(WasteLog[Waste cost],WasteLog[Date],$B60),2),0)</f>
        <v>0</v>
      </c>
      <c r="F60" s="18"/>
      <c r="G60" s="18"/>
      <c r="H60" s="19"/>
      <c r="I60" s="18"/>
      <c r="J60" s="18"/>
    </row>
    <row r="61" spans="2:10" x14ac:dyDescent="0.3">
      <c r="B61" s="16">
        <v>45898</v>
      </c>
      <c r="C61" s="15">
        <f>SUMIFS(OrderLines[LineNetAmount],OrderLines[OrderDateTime],$B61)</f>
        <v>1445.0394000000001</v>
      </c>
      <c r="D61" s="17">
        <f>IFERROR(AVERAGEIFS(Feedback[Rating],Feedback[Date],$B61),0)</f>
        <v>0</v>
      </c>
      <c r="E61" s="15">
        <f>IFERROR(ROUND(AVERAGEIFS(WasteLog[Waste cost],WasteLog[Date],$B61),2),0)</f>
        <v>0</v>
      </c>
      <c r="F61" s="18"/>
      <c r="G61" s="18"/>
      <c r="H61" s="19"/>
      <c r="I61" s="18"/>
      <c r="J61" s="18"/>
    </row>
    <row r="62" spans="2:10" x14ac:dyDescent="0.3">
      <c r="B62" s="16">
        <v>45899</v>
      </c>
      <c r="C62" s="15">
        <f>SUMIFS(OrderLines[LineNetAmount],OrderLines[OrderDateTime],$B62)</f>
        <v>0</v>
      </c>
      <c r="D62" s="17">
        <f>IFERROR(AVERAGEIFS(Feedback[Rating],Feedback[Date],$B62),0)</f>
        <v>0</v>
      </c>
      <c r="E62" s="15">
        <f>IFERROR(ROUND(AVERAGEIFS(WasteLog[Waste cost],WasteLog[Date],$B62),2),0)</f>
        <v>0</v>
      </c>
      <c r="F62" s="18"/>
      <c r="G62" s="18"/>
      <c r="H62" s="19"/>
      <c r="I62" s="18"/>
      <c r="J62" s="18"/>
    </row>
    <row r="63" spans="2:10" x14ac:dyDescent="0.3">
      <c r="B63" s="16">
        <v>45900</v>
      </c>
      <c r="C63" s="15">
        <f>SUMIFS(OrderLines[LineNetAmount],OrderLines[OrderDateTime],$B63)</f>
        <v>0</v>
      </c>
      <c r="D63" s="17">
        <f>IFERROR(AVERAGEIFS(Feedback[Rating],Feedback[Date],$B63),0)</f>
        <v>0</v>
      </c>
      <c r="E63" s="15">
        <f>IFERROR(ROUND(AVERAGEIFS(WasteLog[Waste cost],WasteLog[Date],$B63),2),0)</f>
        <v>0</v>
      </c>
      <c r="F63" s="18"/>
      <c r="G63" s="18"/>
      <c r="H63" s="19"/>
      <c r="I63" s="18"/>
      <c r="J63" s="18"/>
    </row>
  </sheetData>
  <autoFilter ref="B1:E63" xr:uid="{3035B130-81E8-4682-AFAD-EC3444D76A2C}"/>
  <conditionalFormatting sqref="B2:B63">
    <cfRule type="expression" dxfId="45" priority="1">
      <formula>OR($C2&lt;1500,$D2&lt;3.2,SUMIFS(INDIRECT("WasteLog[Waste cost]"),INDIRECT("WasteLog[Date]"),$B2)&gt;4%*$C2)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514E-22F7-41E8-AB6F-1387D08886DB}">
  <dimension ref="A1:K20"/>
  <sheetViews>
    <sheetView workbookViewId="0">
      <selection activeCell="K5" sqref="K5:K6"/>
    </sheetView>
  </sheetViews>
  <sheetFormatPr defaultRowHeight="14.4" x14ac:dyDescent="0.3"/>
  <cols>
    <col min="1" max="1" width="8.88671875" bestFit="1" customWidth="1"/>
    <col min="2" max="2" width="25.109375" bestFit="1" customWidth="1"/>
    <col min="3" max="3" width="13" bestFit="1" customWidth="1"/>
    <col min="4" max="4" width="14.109375" bestFit="1" customWidth="1"/>
    <col min="5" max="5" width="12.6640625" bestFit="1" customWidth="1"/>
    <col min="6" max="6" width="13.109375" bestFit="1" customWidth="1"/>
    <col min="10" max="10" width="10.5546875" customWidth="1"/>
    <col min="11" max="11" width="11.109375" customWidth="1"/>
  </cols>
  <sheetData>
    <row r="1" spans="1:11" x14ac:dyDescent="0.3">
      <c r="A1" s="3" t="s">
        <v>398</v>
      </c>
      <c r="B1" s="3" t="s">
        <v>420</v>
      </c>
      <c r="C1" s="3" t="s">
        <v>421</v>
      </c>
      <c r="D1" s="3" t="s">
        <v>422</v>
      </c>
      <c r="E1" s="3" t="s">
        <v>423</v>
      </c>
      <c r="F1" s="3" t="s">
        <v>400</v>
      </c>
    </row>
    <row r="2" spans="1:11" x14ac:dyDescent="0.3">
      <c r="A2" t="s">
        <v>416</v>
      </c>
      <c r="B2" t="s">
        <v>424</v>
      </c>
      <c r="C2" t="s">
        <v>425</v>
      </c>
      <c r="D2" t="s">
        <v>426</v>
      </c>
      <c r="E2">
        <v>96.22</v>
      </c>
      <c r="F2">
        <v>227.61</v>
      </c>
    </row>
    <row r="3" spans="1:11" x14ac:dyDescent="0.3">
      <c r="A3" t="s">
        <v>415</v>
      </c>
      <c r="B3" t="s">
        <v>427</v>
      </c>
      <c r="C3" t="s">
        <v>425</v>
      </c>
      <c r="D3" t="s">
        <v>428</v>
      </c>
      <c r="E3">
        <v>121.24</v>
      </c>
      <c r="F3">
        <v>256.91000000000003</v>
      </c>
      <c r="J3" s="99" t="s">
        <v>398</v>
      </c>
      <c r="K3" s="99" t="s">
        <v>423</v>
      </c>
    </row>
    <row r="4" spans="1:11" x14ac:dyDescent="0.3">
      <c r="A4" t="s">
        <v>417</v>
      </c>
      <c r="B4" t="s">
        <v>429</v>
      </c>
      <c r="C4" t="s">
        <v>425</v>
      </c>
      <c r="D4" t="s">
        <v>430</v>
      </c>
      <c r="E4">
        <v>80.92</v>
      </c>
      <c r="F4">
        <v>146.4</v>
      </c>
      <c r="J4" s="101"/>
      <c r="K4" s="99"/>
    </row>
    <row r="5" spans="1:11" x14ac:dyDescent="0.3">
      <c r="A5" t="s">
        <v>405</v>
      </c>
      <c r="B5" t="s">
        <v>431</v>
      </c>
      <c r="C5" t="s">
        <v>425</v>
      </c>
      <c r="D5" t="s">
        <v>432</v>
      </c>
      <c r="E5">
        <v>74.069999999999993</v>
      </c>
      <c r="F5">
        <v>170.83</v>
      </c>
      <c r="J5" s="100" t="s">
        <v>404</v>
      </c>
      <c r="K5" s="100">
        <f>VLOOKUP($J$5,Menu[],MATCH($K$3,Menu[#Headers],0),FALSE)</f>
        <v>11.84</v>
      </c>
    </row>
    <row r="6" spans="1:11" x14ac:dyDescent="0.3">
      <c r="A6" t="s">
        <v>407</v>
      </c>
      <c r="B6" t="s">
        <v>433</v>
      </c>
      <c r="C6" t="s">
        <v>425</v>
      </c>
      <c r="D6" t="s">
        <v>434</v>
      </c>
      <c r="E6">
        <v>112.08</v>
      </c>
      <c r="F6">
        <v>246.09</v>
      </c>
      <c r="J6" s="100"/>
      <c r="K6" s="100"/>
    </row>
    <row r="7" spans="1:11" x14ac:dyDescent="0.3">
      <c r="A7" t="s">
        <v>418</v>
      </c>
      <c r="B7" t="s">
        <v>435</v>
      </c>
      <c r="C7" t="s">
        <v>436</v>
      </c>
      <c r="D7" t="s">
        <v>437</v>
      </c>
      <c r="E7">
        <v>15.51</v>
      </c>
      <c r="F7">
        <v>39.950000000000003</v>
      </c>
    </row>
    <row r="8" spans="1:11" x14ac:dyDescent="0.3">
      <c r="A8" t="s">
        <v>408</v>
      </c>
      <c r="B8" t="s">
        <v>438</v>
      </c>
      <c r="C8" t="s">
        <v>436</v>
      </c>
      <c r="D8" t="s">
        <v>439</v>
      </c>
      <c r="E8">
        <v>35.81</v>
      </c>
      <c r="F8">
        <v>70.540000000000006</v>
      </c>
    </row>
    <row r="9" spans="1:11" x14ac:dyDescent="0.3">
      <c r="A9" t="s">
        <v>406</v>
      </c>
      <c r="B9" t="s">
        <v>440</v>
      </c>
      <c r="C9" t="s">
        <v>436</v>
      </c>
      <c r="D9" t="s">
        <v>439</v>
      </c>
      <c r="E9">
        <v>19.55</v>
      </c>
      <c r="F9">
        <v>38.06</v>
      </c>
    </row>
    <row r="10" spans="1:11" x14ac:dyDescent="0.3">
      <c r="A10" t="s">
        <v>419</v>
      </c>
      <c r="B10" t="s">
        <v>441</v>
      </c>
      <c r="C10" t="s">
        <v>436</v>
      </c>
      <c r="D10" t="s">
        <v>434</v>
      </c>
      <c r="E10">
        <v>22.61</v>
      </c>
      <c r="F10">
        <v>50.19</v>
      </c>
    </row>
    <row r="11" spans="1:11" x14ac:dyDescent="0.3">
      <c r="A11" t="s">
        <v>401</v>
      </c>
      <c r="B11" t="s">
        <v>442</v>
      </c>
      <c r="C11" t="s">
        <v>436</v>
      </c>
      <c r="D11" t="s">
        <v>432</v>
      </c>
      <c r="E11">
        <v>25.8</v>
      </c>
      <c r="F11">
        <v>52.45</v>
      </c>
    </row>
    <row r="12" spans="1:11" x14ac:dyDescent="0.3">
      <c r="A12" t="s">
        <v>402</v>
      </c>
      <c r="B12" t="s">
        <v>443</v>
      </c>
      <c r="C12" t="s">
        <v>444</v>
      </c>
      <c r="D12" t="s">
        <v>426</v>
      </c>
      <c r="E12">
        <v>14.18</v>
      </c>
      <c r="F12">
        <v>30.34</v>
      </c>
    </row>
    <row r="13" spans="1:11" x14ac:dyDescent="0.3">
      <c r="A13" t="s">
        <v>411</v>
      </c>
      <c r="B13" t="s">
        <v>445</v>
      </c>
      <c r="C13" t="s">
        <v>444</v>
      </c>
      <c r="D13" t="s">
        <v>434</v>
      </c>
      <c r="E13">
        <v>9.3800000000000008</v>
      </c>
      <c r="F13">
        <v>22.2</v>
      </c>
    </row>
    <row r="14" spans="1:11" x14ac:dyDescent="0.3">
      <c r="A14" t="s">
        <v>404</v>
      </c>
      <c r="B14" t="s">
        <v>446</v>
      </c>
      <c r="C14" t="s">
        <v>444</v>
      </c>
      <c r="D14" t="s">
        <v>439</v>
      </c>
      <c r="E14">
        <v>11.84</v>
      </c>
      <c r="F14">
        <v>32.979999999999997</v>
      </c>
    </row>
    <row r="15" spans="1:11" x14ac:dyDescent="0.3">
      <c r="A15" t="s">
        <v>410</v>
      </c>
      <c r="B15" t="s">
        <v>447</v>
      </c>
      <c r="C15" t="s">
        <v>444</v>
      </c>
      <c r="D15" t="s">
        <v>439</v>
      </c>
      <c r="E15">
        <v>8</v>
      </c>
      <c r="F15">
        <v>20.11</v>
      </c>
    </row>
    <row r="16" spans="1:11" x14ac:dyDescent="0.3">
      <c r="A16" t="s">
        <v>409</v>
      </c>
      <c r="B16" t="s">
        <v>448</v>
      </c>
      <c r="C16" t="s">
        <v>444</v>
      </c>
      <c r="D16" t="s">
        <v>434</v>
      </c>
      <c r="E16">
        <v>13.89</v>
      </c>
      <c r="F16">
        <v>28.43</v>
      </c>
    </row>
    <row r="17" spans="1:6" x14ac:dyDescent="0.3">
      <c r="A17" t="s">
        <v>403</v>
      </c>
      <c r="B17" t="s">
        <v>449</v>
      </c>
      <c r="C17" t="s">
        <v>450</v>
      </c>
      <c r="D17" t="s">
        <v>451</v>
      </c>
      <c r="E17">
        <v>38.229999999999997</v>
      </c>
      <c r="F17">
        <v>76.55</v>
      </c>
    </row>
    <row r="18" spans="1:6" x14ac:dyDescent="0.3">
      <c r="A18" t="s">
        <v>413</v>
      </c>
      <c r="B18" t="s">
        <v>452</v>
      </c>
      <c r="C18" t="s">
        <v>450</v>
      </c>
      <c r="D18" t="s">
        <v>453</v>
      </c>
      <c r="E18">
        <v>21.95</v>
      </c>
      <c r="F18">
        <v>54.2</v>
      </c>
    </row>
    <row r="19" spans="1:6" x14ac:dyDescent="0.3">
      <c r="A19" t="s">
        <v>414</v>
      </c>
      <c r="B19" t="s">
        <v>454</v>
      </c>
      <c r="C19" t="s">
        <v>450</v>
      </c>
      <c r="D19" t="s">
        <v>451</v>
      </c>
      <c r="E19">
        <v>48.97</v>
      </c>
      <c r="F19">
        <v>116.8</v>
      </c>
    </row>
    <row r="20" spans="1:6" x14ac:dyDescent="0.3">
      <c r="A20" t="s">
        <v>412</v>
      </c>
      <c r="B20" t="s">
        <v>455</v>
      </c>
      <c r="C20" t="s">
        <v>450</v>
      </c>
      <c r="D20" t="s">
        <v>437</v>
      </c>
      <c r="E20">
        <v>29.14</v>
      </c>
      <c r="F20">
        <v>57.07</v>
      </c>
    </row>
  </sheetData>
  <mergeCells count="4">
    <mergeCell ref="K3:K4"/>
    <mergeCell ref="K5:K6"/>
    <mergeCell ref="J5:J6"/>
    <mergeCell ref="J3:J4"/>
  </mergeCells>
  <dataValidations count="2">
    <dataValidation type="list" allowBlank="1" showInputMessage="1" showErrorMessage="1" sqref="J5" xr:uid="{A77376EE-CAD3-4D8F-B2DD-E909BD32DBA7}">
      <formula1>SKU</formula1>
    </dataValidation>
    <dataValidation type="list" allowBlank="1" showInputMessage="1" showErrorMessage="1" sqref="K3" xr:uid="{E4116F18-2326-4960-B961-60B89575B32C}">
      <formula1>$E$1:$F$1</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5B3F-1AFC-418A-A212-79072EA13445}">
  <dimension ref="A1:E19"/>
  <sheetViews>
    <sheetView workbookViewId="0">
      <selection activeCell="J21" sqref="J21"/>
    </sheetView>
  </sheetViews>
  <sheetFormatPr defaultRowHeight="14.4" x14ac:dyDescent="0.3"/>
  <cols>
    <col min="1" max="1" width="11.21875" bestFit="1" customWidth="1"/>
    <col min="2" max="2" width="14.44140625" bestFit="1" customWidth="1"/>
    <col min="3" max="3" width="9.109375" bestFit="1" customWidth="1"/>
    <col min="4" max="4" width="15" bestFit="1" customWidth="1"/>
    <col min="5" max="5" width="17.88671875" bestFit="1" customWidth="1"/>
  </cols>
  <sheetData>
    <row r="1" spans="1:5" x14ac:dyDescent="0.3">
      <c r="A1" s="3" t="s">
        <v>6</v>
      </c>
      <c r="B1" s="3" t="s">
        <v>456</v>
      </c>
      <c r="C1" s="3" t="s">
        <v>457</v>
      </c>
      <c r="D1" s="3" t="s">
        <v>2</v>
      </c>
      <c r="E1" s="3" t="s">
        <v>458</v>
      </c>
    </row>
    <row r="2" spans="1:5" x14ac:dyDescent="0.3">
      <c r="A2" t="s">
        <v>69</v>
      </c>
      <c r="B2" t="s">
        <v>459</v>
      </c>
      <c r="C2" t="s">
        <v>460</v>
      </c>
      <c r="D2" t="s">
        <v>27</v>
      </c>
      <c r="E2">
        <v>151.58000000000001</v>
      </c>
    </row>
    <row r="3" spans="1:5" x14ac:dyDescent="0.3">
      <c r="A3" t="s">
        <v>41</v>
      </c>
      <c r="B3" t="s">
        <v>461</v>
      </c>
      <c r="C3" t="s">
        <v>460</v>
      </c>
      <c r="D3" t="s">
        <v>9</v>
      </c>
      <c r="E3">
        <v>129.61000000000001</v>
      </c>
    </row>
    <row r="4" spans="1:5" x14ac:dyDescent="0.3">
      <c r="A4" t="s">
        <v>33</v>
      </c>
      <c r="B4" t="s">
        <v>462</v>
      </c>
      <c r="C4" t="s">
        <v>460</v>
      </c>
      <c r="D4" t="s">
        <v>9</v>
      </c>
      <c r="E4">
        <v>100.98</v>
      </c>
    </row>
    <row r="5" spans="1:5" x14ac:dyDescent="0.3">
      <c r="A5" t="s">
        <v>19</v>
      </c>
      <c r="B5" t="s">
        <v>461</v>
      </c>
      <c r="C5" t="s">
        <v>463</v>
      </c>
      <c r="D5" t="s">
        <v>27</v>
      </c>
      <c r="E5">
        <v>134.57</v>
      </c>
    </row>
    <row r="6" spans="1:5" x14ac:dyDescent="0.3">
      <c r="A6" t="s">
        <v>72</v>
      </c>
      <c r="B6" t="s">
        <v>464</v>
      </c>
      <c r="C6" t="s">
        <v>463</v>
      </c>
      <c r="D6" t="s">
        <v>9</v>
      </c>
      <c r="E6">
        <v>93.09</v>
      </c>
    </row>
    <row r="7" spans="1:5" x14ac:dyDescent="0.3">
      <c r="A7" t="s">
        <v>95</v>
      </c>
      <c r="B7" t="s">
        <v>465</v>
      </c>
      <c r="C7" t="s">
        <v>460</v>
      </c>
      <c r="D7" t="s">
        <v>9</v>
      </c>
      <c r="E7">
        <v>171.84</v>
      </c>
    </row>
    <row r="8" spans="1:5" x14ac:dyDescent="0.3">
      <c r="A8" t="s">
        <v>55</v>
      </c>
      <c r="B8" t="s">
        <v>466</v>
      </c>
      <c r="C8" t="s">
        <v>463</v>
      </c>
      <c r="D8" t="s">
        <v>15</v>
      </c>
      <c r="E8">
        <v>113.29</v>
      </c>
    </row>
    <row r="9" spans="1:5" x14ac:dyDescent="0.3">
      <c r="A9" t="s">
        <v>48</v>
      </c>
      <c r="B9" t="s">
        <v>467</v>
      </c>
      <c r="C9" t="s">
        <v>463</v>
      </c>
      <c r="D9" t="s">
        <v>9</v>
      </c>
      <c r="E9">
        <v>149.63</v>
      </c>
    </row>
    <row r="10" spans="1:5" x14ac:dyDescent="0.3">
      <c r="A10" t="s">
        <v>64</v>
      </c>
      <c r="B10" t="s">
        <v>468</v>
      </c>
      <c r="C10" t="s">
        <v>469</v>
      </c>
      <c r="D10" t="s">
        <v>9</v>
      </c>
      <c r="E10">
        <v>118.05</v>
      </c>
    </row>
    <row r="11" spans="1:5" x14ac:dyDescent="0.3">
      <c r="A11" t="s">
        <v>38</v>
      </c>
      <c r="B11" t="s">
        <v>470</v>
      </c>
      <c r="C11" t="s">
        <v>460</v>
      </c>
      <c r="D11" t="s">
        <v>27</v>
      </c>
      <c r="E11">
        <v>136.81</v>
      </c>
    </row>
    <row r="12" spans="1:5" x14ac:dyDescent="0.3">
      <c r="A12" t="s">
        <v>43</v>
      </c>
      <c r="B12" t="s">
        <v>471</v>
      </c>
      <c r="C12" t="s">
        <v>460</v>
      </c>
      <c r="D12" t="s">
        <v>15</v>
      </c>
      <c r="E12">
        <v>139.19999999999999</v>
      </c>
    </row>
    <row r="13" spans="1:5" x14ac:dyDescent="0.3">
      <c r="A13" t="s">
        <v>74</v>
      </c>
      <c r="B13" t="s">
        <v>472</v>
      </c>
      <c r="C13" t="s">
        <v>463</v>
      </c>
      <c r="D13" t="s">
        <v>9</v>
      </c>
      <c r="E13">
        <v>106.64</v>
      </c>
    </row>
    <row r="14" spans="1:5" x14ac:dyDescent="0.3">
      <c r="A14" t="s">
        <v>36</v>
      </c>
      <c r="B14" t="s">
        <v>471</v>
      </c>
      <c r="C14" t="s">
        <v>463</v>
      </c>
      <c r="D14" t="s">
        <v>27</v>
      </c>
      <c r="E14">
        <v>177.26</v>
      </c>
    </row>
    <row r="15" spans="1:5" x14ac:dyDescent="0.3">
      <c r="A15" t="s">
        <v>23</v>
      </c>
      <c r="B15" t="s">
        <v>472</v>
      </c>
      <c r="C15" t="s">
        <v>460</v>
      </c>
      <c r="D15" t="s">
        <v>9</v>
      </c>
      <c r="E15">
        <v>159.76</v>
      </c>
    </row>
    <row r="16" spans="1:5" x14ac:dyDescent="0.3">
      <c r="A16" t="s">
        <v>29</v>
      </c>
      <c r="B16" t="s">
        <v>473</v>
      </c>
      <c r="C16" t="s">
        <v>460</v>
      </c>
      <c r="D16" t="s">
        <v>27</v>
      </c>
      <c r="E16">
        <v>174.55</v>
      </c>
    </row>
    <row r="17" spans="1:5" x14ac:dyDescent="0.3">
      <c r="A17" t="s">
        <v>13</v>
      </c>
      <c r="B17" t="s">
        <v>473</v>
      </c>
      <c r="C17" t="s">
        <v>469</v>
      </c>
      <c r="D17" t="s">
        <v>27</v>
      </c>
      <c r="E17">
        <v>170.53</v>
      </c>
    </row>
    <row r="18" spans="1:5" x14ac:dyDescent="0.3">
      <c r="A18" t="s">
        <v>45</v>
      </c>
      <c r="B18" t="s">
        <v>474</v>
      </c>
      <c r="C18" t="s">
        <v>460</v>
      </c>
      <c r="D18" t="s">
        <v>15</v>
      </c>
      <c r="E18">
        <v>143.81</v>
      </c>
    </row>
    <row r="19" spans="1:5" x14ac:dyDescent="0.3">
      <c r="A19" t="s">
        <v>61</v>
      </c>
      <c r="B19" t="s">
        <v>461</v>
      </c>
      <c r="C19" t="s">
        <v>460</v>
      </c>
      <c r="D19" t="s">
        <v>9</v>
      </c>
      <c r="E19">
        <v>172.97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1494-AC1D-4983-9724-9AC52BF59D23}">
  <dimension ref="A1:F20"/>
  <sheetViews>
    <sheetView workbookViewId="0">
      <selection activeCell="D8" sqref="D8"/>
    </sheetView>
  </sheetViews>
  <sheetFormatPr defaultRowHeight="14.4" x14ac:dyDescent="0.3"/>
  <cols>
    <col min="2" max="2" width="15.33203125" bestFit="1" customWidth="1"/>
    <col min="3" max="3" width="16.5546875" bestFit="1" customWidth="1"/>
    <col min="4" max="4" width="17.6640625" bestFit="1" customWidth="1"/>
    <col min="5" max="5" width="19.33203125" bestFit="1" customWidth="1"/>
    <col min="6" max="6" width="25.109375" bestFit="1" customWidth="1"/>
  </cols>
  <sheetData>
    <row r="1" spans="1:6" x14ac:dyDescent="0.3">
      <c r="A1" s="3" t="s">
        <v>398</v>
      </c>
      <c r="B1" s="3" t="s">
        <v>475</v>
      </c>
      <c r="C1" s="3" t="s">
        <v>476</v>
      </c>
      <c r="D1" s="3" t="s">
        <v>477</v>
      </c>
      <c r="E1" s="3" t="s">
        <v>478</v>
      </c>
      <c r="F1" s="32" t="s">
        <v>420</v>
      </c>
    </row>
    <row r="2" spans="1:6" x14ac:dyDescent="0.3">
      <c r="A2" t="s">
        <v>416</v>
      </c>
      <c r="B2">
        <v>198</v>
      </c>
      <c r="C2">
        <v>36</v>
      </c>
      <c r="D2">
        <v>3</v>
      </c>
      <c r="E2" s="2">
        <v>45876</v>
      </c>
      <c r="F2" t="str">
        <f>VLOOKUP(Inventory[[#This Row],[SKU]],Menu[],MATCH(Inventory[[#Headers],[ItemName]],Menu[#Headers],0),FALSE)</f>
        <v>Veg Thali</v>
      </c>
    </row>
    <row r="3" spans="1:6" x14ac:dyDescent="0.3">
      <c r="A3" t="s">
        <v>415</v>
      </c>
      <c r="B3">
        <v>152</v>
      </c>
      <c r="C3">
        <v>30</v>
      </c>
      <c r="D3">
        <v>6</v>
      </c>
      <c r="E3" s="2">
        <v>45861</v>
      </c>
      <c r="F3" t="str">
        <f>VLOOKUP(Inventory[[#This Row],[SKU]],Menu[],MATCH(Inventory[[#Headers],[ItemName]],Menu[#Headers],0),FALSE)</f>
        <v>Chicken Thali</v>
      </c>
    </row>
    <row r="4" spans="1:6" x14ac:dyDescent="0.3">
      <c r="A4" t="s">
        <v>417</v>
      </c>
      <c r="B4">
        <v>120</v>
      </c>
      <c r="C4">
        <v>25</v>
      </c>
      <c r="D4">
        <v>6</v>
      </c>
      <c r="E4" s="2">
        <v>45882</v>
      </c>
      <c r="F4" t="str">
        <f>VLOOKUP(Inventory[[#This Row],[SKU]],Menu[],MATCH(Inventory[[#Headers],[ItemName]],Menu[#Headers],0),FALSE)</f>
        <v>Rajma Chawal</v>
      </c>
    </row>
    <row r="5" spans="1:6" x14ac:dyDescent="0.3">
      <c r="A5" t="s">
        <v>405</v>
      </c>
      <c r="B5">
        <v>130</v>
      </c>
      <c r="C5">
        <v>42</v>
      </c>
      <c r="D5">
        <v>4</v>
      </c>
      <c r="E5" s="2">
        <v>45864</v>
      </c>
      <c r="F5" t="str">
        <f>VLOOKUP(Inventory[[#This Row],[SKU]],Menu[],MATCH(Inventory[[#Headers],[ItemName]],Menu[#Headers],0),FALSE)</f>
        <v>Paneer Butter Masala + Naan</v>
      </c>
    </row>
    <row r="6" spans="1:6" x14ac:dyDescent="0.3">
      <c r="A6" t="s">
        <v>407</v>
      </c>
      <c r="B6">
        <v>176</v>
      </c>
      <c r="C6">
        <v>46</v>
      </c>
      <c r="D6">
        <v>3</v>
      </c>
      <c r="E6" s="2">
        <v>45871</v>
      </c>
      <c r="F6" t="str">
        <f>VLOOKUP(Inventory[[#This Row],[SKU]],Menu[],MATCH(Inventory[[#Headers],[ItemName]],Menu[#Headers],0),FALSE)</f>
        <v>Egg Curry + Rice</v>
      </c>
    </row>
    <row r="7" spans="1:6" x14ac:dyDescent="0.3">
      <c r="A7" t="s">
        <v>418</v>
      </c>
      <c r="B7">
        <v>81</v>
      </c>
      <c r="C7">
        <v>25</v>
      </c>
      <c r="D7">
        <v>3</v>
      </c>
      <c r="E7" s="2">
        <v>45868</v>
      </c>
      <c r="F7" t="str">
        <f>VLOOKUP(Inventory[[#This Row],[SKU]],Menu[],MATCH(Inventory[[#Headers],[ItemName]],Menu[#Headers],0),FALSE)</f>
        <v>Samosa</v>
      </c>
    </row>
    <row r="8" spans="1:6" x14ac:dyDescent="0.3">
      <c r="A8" t="s">
        <v>408</v>
      </c>
      <c r="B8">
        <v>45</v>
      </c>
      <c r="C8">
        <v>57</v>
      </c>
      <c r="D8">
        <v>4</v>
      </c>
      <c r="E8" s="2">
        <v>45840</v>
      </c>
      <c r="F8" t="str">
        <f>VLOOKUP(Inventory[[#This Row],[SKU]],Menu[],MATCH(Inventory[[#Headers],[ItemName]],Menu[#Headers],0),FALSE)</f>
        <v>Veg Sandwich</v>
      </c>
    </row>
    <row r="9" spans="1:6" x14ac:dyDescent="0.3">
      <c r="A9" t="s">
        <v>406</v>
      </c>
      <c r="B9">
        <v>89</v>
      </c>
      <c r="C9">
        <v>21</v>
      </c>
      <c r="D9">
        <v>5</v>
      </c>
      <c r="E9" s="2">
        <v>45864</v>
      </c>
      <c r="F9" t="str">
        <f>VLOOKUP(Inventory[[#This Row],[SKU]],Menu[],MATCH(Inventory[[#Headers],[ItemName]],Menu[#Headers],0),FALSE)</f>
        <v>Paneer Roll</v>
      </c>
    </row>
    <row r="10" spans="1:6" x14ac:dyDescent="0.3">
      <c r="A10" t="s">
        <v>419</v>
      </c>
      <c r="B10">
        <v>85</v>
      </c>
      <c r="C10">
        <v>41</v>
      </c>
      <c r="D10">
        <v>3</v>
      </c>
      <c r="E10" s="2">
        <v>45873</v>
      </c>
      <c r="F10" t="str">
        <f>VLOOKUP(Inventory[[#This Row],[SKU]],Menu[],MATCH(Inventory[[#Headers],[ItemName]],Menu[#Headers],0),FALSE)</f>
        <v>Masala Puff</v>
      </c>
    </row>
    <row r="11" spans="1:6" x14ac:dyDescent="0.3">
      <c r="A11" t="s">
        <v>401</v>
      </c>
      <c r="B11">
        <v>80</v>
      </c>
      <c r="C11">
        <v>39</v>
      </c>
      <c r="D11">
        <v>2</v>
      </c>
      <c r="E11" s="2">
        <v>45861</v>
      </c>
      <c r="F11" t="str">
        <f>VLOOKUP(Inventory[[#This Row],[SKU]],Menu[],MATCH(Inventory[[#Headers],[ItemName]],Menu[#Headers],0),FALSE)</f>
        <v>Poha</v>
      </c>
    </row>
    <row r="12" spans="1:6" x14ac:dyDescent="0.3">
      <c r="A12" t="s">
        <v>402</v>
      </c>
      <c r="B12">
        <v>84</v>
      </c>
      <c r="C12">
        <v>44</v>
      </c>
      <c r="D12">
        <v>4</v>
      </c>
      <c r="E12" s="2">
        <v>45845</v>
      </c>
      <c r="F12" t="str">
        <f>VLOOKUP(Inventory[[#This Row],[SKU]],Menu[],MATCH(Inventory[[#Headers],[ItemName]],Menu[#Headers],0),FALSE)</f>
        <v>Tea</v>
      </c>
    </row>
    <row r="13" spans="1:6" x14ac:dyDescent="0.3">
      <c r="A13" t="s">
        <v>411</v>
      </c>
      <c r="B13">
        <v>55</v>
      </c>
      <c r="C13">
        <v>34</v>
      </c>
      <c r="D13">
        <v>3</v>
      </c>
      <c r="E13" s="2">
        <v>45850</v>
      </c>
      <c r="F13" t="str">
        <f>VLOOKUP(Inventory[[#This Row],[SKU]],Menu[],MATCH(Inventory[[#Headers],[ItemName]],Menu[#Headers],0),FALSE)</f>
        <v>Coffee</v>
      </c>
    </row>
    <row r="14" spans="1:6" x14ac:dyDescent="0.3">
      <c r="A14" t="s">
        <v>404</v>
      </c>
      <c r="B14">
        <v>174</v>
      </c>
      <c r="C14">
        <v>48</v>
      </c>
      <c r="D14">
        <v>5</v>
      </c>
      <c r="E14" s="2">
        <v>45884</v>
      </c>
      <c r="F14" t="str">
        <f>VLOOKUP(Inventory[[#This Row],[SKU]],Menu[],MATCH(Inventory[[#Headers],[ItemName]],Menu[#Headers],0),FALSE)</f>
        <v>Masala Chaas</v>
      </c>
    </row>
    <row r="15" spans="1:6" x14ac:dyDescent="0.3">
      <c r="A15" t="s">
        <v>410</v>
      </c>
      <c r="B15">
        <v>34</v>
      </c>
      <c r="C15">
        <v>27</v>
      </c>
      <c r="D15">
        <v>3</v>
      </c>
      <c r="E15" s="2">
        <v>45868</v>
      </c>
      <c r="F15" t="str">
        <f>VLOOKUP(Inventory[[#This Row],[SKU]],Menu[],MATCH(Inventory[[#Headers],[ItemName]],Menu[#Headers],0),FALSE)</f>
        <v>Nimbu Pani</v>
      </c>
    </row>
    <row r="16" spans="1:6" x14ac:dyDescent="0.3">
      <c r="A16" t="s">
        <v>409</v>
      </c>
      <c r="B16">
        <v>199</v>
      </c>
      <c r="C16">
        <v>56</v>
      </c>
      <c r="D16">
        <v>6</v>
      </c>
      <c r="E16" s="2">
        <v>45854</v>
      </c>
      <c r="F16" t="str">
        <f>VLOOKUP(Inventory[[#This Row],[SKU]],Menu[],MATCH(Inventory[[#Headers],[ItemName]],Menu[#Headers],0),FALSE)</f>
        <v>Bottled Water</v>
      </c>
    </row>
    <row r="17" spans="1:6" x14ac:dyDescent="0.3">
      <c r="A17" t="s">
        <v>403</v>
      </c>
      <c r="B17">
        <v>192</v>
      </c>
      <c r="C17">
        <v>52</v>
      </c>
      <c r="D17">
        <v>2</v>
      </c>
      <c r="E17" s="2">
        <v>45878</v>
      </c>
      <c r="F17" t="str">
        <f>VLOOKUP(Inventory[[#This Row],[SKU]],Menu[],MATCH(Inventory[[#Headers],[ItemName]],Menu[#Headers],0),FALSE)</f>
        <v>Gulab Jamun (2 pc)</v>
      </c>
    </row>
    <row r="18" spans="1:6" x14ac:dyDescent="0.3">
      <c r="A18" t="s">
        <v>413</v>
      </c>
      <c r="B18">
        <v>167</v>
      </c>
      <c r="C18">
        <v>41</v>
      </c>
      <c r="D18">
        <v>4</v>
      </c>
      <c r="E18" s="2">
        <v>45887</v>
      </c>
      <c r="F18" t="str">
        <f>VLOOKUP(Inventory[[#This Row],[SKU]],Menu[],MATCH(Inventory[[#Headers],[ItemName]],Menu[#Headers],0),FALSE)</f>
        <v>Kheer Cup</v>
      </c>
    </row>
    <row r="19" spans="1:6" x14ac:dyDescent="0.3">
      <c r="A19" t="s">
        <v>414</v>
      </c>
      <c r="B19">
        <v>154</v>
      </c>
      <c r="C19">
        <v>24</v>
      </c>
      <c r="D19">
        <v>6</v>
      </c>
      <c r="E19" s="2">
        <v>45869</v>
      </c>
      <c r="F19" t="str">
        <f>VLOOKUP(Inventory[[#This Row],[SKU]],Menu[],MATCH(Inventory[[#Headers],[ItemName]],Menu[#Headers],0),FALSE)</f>
        <v>Brownie</v>
      </c>
    </row>
    <row r="20" spans="1:6" x14ac:dyDescent="0.3">
      <c r="A20" t="s">
        <v>412</v>
      </c>
      <c r="B20">
        <v>53</v>
      </c>
      <c r="C20">
        <v>58</v>
      </c>
      <c r="D20">
        <v>5</v>
      </c>
      <c r="E20" s="2">
        <v>45850</v>
      </c>
      <c r="F20" t="str">
        <f>VLOOKUP(Inventory[[#This Row],[SKU]],Menu[],MATCH(Inventory[[#Headers],[ItemName]],Menu[#Headers],0),FALSE)</f>
        <v>Fruit Cup</v>
      </c>
    </row>
  </sheetData>
  <conditionalFormatting sqref="A2:E20">
    <cfRule type="expression" dxfId="44" priority="1">
      <formula>$B2&lt;$C2</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919B-2562-4EC6-B640-5F3C0D162820}">
  <dimension ref="A1:D11"/>
  <sheetViews>
    <sheetView workbookViewId="0">
      <selection activeCell="I21" sqref="I21"/>
    </sheetView>
  </sheetViews>
  <sheetFormatPr defaultRowHeight="14.4" x14ac:dyDescent="0.3"/>
  <cols>
    <col min="1" max="1" width="11.5546875" customWidth="1"/>
    <col min="2" max="2" width="14.77734375" customWidth="1"/>
    <col min="3" max="3" width="10.6640625" bestFit="1" customWidth="1"/>
    <col min="4" max="4" width="14.77734375" bestFit="1" customWidth="1"/>
  </cols>
  <sheetData>
    <row r="1" spans="1:4" x14ac:dyDescent="0.3">
      <c r="A1" s="3" t="s">
        <v>422</v>
      </c>
      <c r="B1" s="3" t="s">
        <v>479</v>
      </c>
      <c r="C1" s="3" t="s">
        <v>480</v>
      </c>
      <c r="D1" s="3" t="s">
        <v>481</v>
      </c>
    </row>
    <row r="2" spans="1:4" x14ac:dyDescent="0.3">
      <c r="A2" t="s">
        <v>428</v>
      </c>
      <c r="B2" t="s">
        <v>482</v>
      </c>
      <c r="C2" t="s">
        <v>483</v>
      </c>
      <c r="D2" t="s">
        <v>484</v>
      </c>
    </row>
    <row r="3" spans="1:4" x14ac:dyDescent="0.3">
      <c r="A3" t="s">
        <v>451</v>
      </c>
      <c r="B3" t="s">
        <v>485</v>
      </c>
      <c r="C3" t="s">
        <v>486</v>
      </c>
      <c r="D3" t="s">
        <v>487</v>
      </c>
    </row>
    <row r="4" spans="1:4" x14ac:dyDescent="0.3">
      <c r="A4" t="s">
        <v>432</v>
      </c>
      <c r="B4" t="s">
        <v>488</v>
      </c>
      <c r="C4" t="s">
        <v>486</v>
      </c>
      <c r="D4" t="s">
        <v>489</v>
      </c>
    </row>
    <row r="5" spans="1:4" x14ac:dyDescent="0.3">
      <c r="A5" t="s">
        <v>439</v>
      </c>
      <c r="B5" t="s">
        <v>490</v>
      </c>
      <c r="C5" t="s">
        <v>491</v>
      </c>
      <c r="D5" t="s">
        <v>492</v>
      </c>
    </row>
    <row r="6" spans="1:4" x14ac:dyDescent="0.3">
      <c r="A6" t="s">
        <v>430</v>
      </c>
      <c r="B6" t="s">
        <v>493</v>
      </c>
      <c r="C6" t="s">
        <v>486</v>
      </c>
      <c r="D6" t="s">
        <v>494</v>
      </c>
    </row>
    <row r="7" spans="1:4" x14ac:dyDescent="0.3">
      <c r="A7" t="s">
        <v>434</v>
      </c>
      <c r="B7" t="s">
        <v>495</v>
      </c>
      <c r="C7" t="s">
        <v>483</v>
      </c>
      <c r="D7" t="s">
        <v>496</v>
      </c>
    </row>
    <row r="8" spans="1:4" x14ac:dyDescent="0.3">
      <c r="A8" t="s">
        <v>437</v>
      </c>
      <c r="B8" t="s">
        <v>497</v>
      </c>
      <c r="C8" t="s">
        <v>483</v>
      </c>
      <c r="D8" t="s">
        <v>498</v>
      </c>
    </row>
    <row r="9" spans="1:4" x14ac:dyDescent="0.3">
      <c r="A9" t="s">
        <v>499</v>
      </c>
      <c r="B9" t="s">
        <v>500</v>
      </c>
      <c r="C9" t="s">
        <v>501</v>
      </c>
      <c r="D9" t="s">
        <v>502</v>
      </c>
    </row>
    <row r="10" spans="1:4" x14ac:dyDescent="0.3">
      <c r="A10" t="s">
        <v>426</v>
      </c>
      <c r="B10" t="s">
        <v>503</v>
      </c>
      <c r="C10" t="s">
        <v>483</v>
      </c>
      <c r="D10" t="s">
        <v>504</v>
      </c>
    </row>
    <row r="11" spans="1:4" x14ac:dyDescent="0.3">
      <c r="A11" t="s">
        <v>453</v>
      </c>
      <c r="B11" t="s">
        <v>505</v>
      </c>
      <c r="C11" t="s">
        <v>491</v>
      </c>
      <c r="D11" t="s">
        <v>506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431B-FB71-4BDB-8109-D4938E111231}">
  <dimension ref="A1:E121"/>
  <sheetViews>
    <sheetView workbookViewId="0">
      <selection activeCell="I16" sqref="I16"/>
    </sheetView>
  </sheetViews>
  <sheetFormatPr defaultRowHeight="14.4" x14ac:dyDescent="0.3"/>
  <cols>
    <col min="1" max="1" width="10.109375" bestFit="1" customWidth="1"/>
    <col min="4" max="4" width="13.88671875" bestFit="1" customWidth="1"/>
    <col min="5" max="5" width="14.5546875" bestFit="1" customWidth="1"/>
  </cols>
  <sheetData>
    <row r="1" spans="1:5" x14ac:dyDescent="0.3">
      <c r="A1" s="3" t="s">
        <v>507</v>
      </c>
      <c r="B1" s="3" t="s">
        <v>398</v>
      </c>
      <c r="C1" s="3" t="s">
        <v>399</v>
      </c>
      <c r="D1" s="3" t="s">
        <v>508</v>
      </c>
      <c r="E1" s="3" t="s">
        <v>538</v>
      </c>
    </row>
    <row r="2" spans="1:5" x14ac:dyDescent="0.3">
      <c r="A2" s="2">
        <v>45867</v>
      </c>
      <c r="B2" t="s">
        <v>411</v>
      </c>
      <c r="C2">
        <v>2</v>
      </c>
      <c r="D2" t="s">
        <v>509</v>
      </c>
      <c r="E2">
        <f>(_xlfn.XLOOKUP(WasteLog[[#This Row],[SKU]],Menu[SKU],Menu[UnitCost]))*WasteLog[[#This Row],[Qty]]</f>
        <v>18.760000000000002</v>
      </c>
    </row>
    <row r="3" spans="1:5" x14ac:dyDescent="0.3">
      <c r="A3" s="2">
        <v>45860</v>
      </c>
      <c r="B3" t="s">
        <v>407</v>
      </c>
      <c r="C3">
        <v>4</v>
      </c>
      <c r="D3" t="s">
        <v>510</v>
      </c>
      <c r="E3">
        <f>(_xlfn.XLOOKUP(WasteLog[[#This Row],[SKU]],Menu[SKU],Menu[UnitCost]))*WasteLog[[#This Row],[Qty]]</f>
        <v>448.32</v>
      </c>
    </row>
    <row r="4" spans="1:5" x14ac:dyDescent="0.3">
      <c r="A4" s="2">
        <v>45853</v>
      </c>
      <c r="B4" t="s">
        <v>409</v>
      </c>
      <c r="C4">
        <v>2</v>
      </c>
      <c r="D4" t="s">
        <v>511</v>
      </c>
      <c r="E4">
        <f>(_xlfn.XLOOKUP(WasteLog[[#This Row],[SKU]],Menu[SKU],Menu[UnitCost]))*WasteLog[[#This Row],[Qty]]</f>
        <v>27.78</v>
      </c>
    </row>
    <row r="5" spans="1:5" x14ac:dyDescent="0.3">
      <c r="A5" s="2">
        <v>45879</v>
      </c>
      <c r="B5" t="s">
        <v>414</v>
      </c>
      <c r="C5">
        <v>2</v>
      </c>
      <c r="D5" t="s">
        <v>510</v>
      </c>
      <c r="E5">
        <f>(_xlfn.XLOOKUP(WasteLog[[#This Row],[SKU]],Menu[SKU],Menu[UnitCost]))*WasteLog[[#This Row],[Qty]]</f>
        <v>97.94</v>
      </c>
    </row>
    <row r="6" spans="1:5" x14ac:dyDescent="0.3">
      <c r="A6" s="2">
        <v>45891</v>
      </c>
      <c r="B6" t="s">
        <v>408</v>
      </c>
      <c r="C6">
        <v>2</v>
      </c>
      <c r="D6" t="s">
        <v>509</v>
      </c>
      <c r="E6">
        <f>(_xlfn.XLOOKUP(WasteLog[[#This Row],[SKU]],Menu[SKU],Menu[UnitCost]))*WasteLog[[#This Row],[Qty]]</f>
        <v>71.62</v>
      </c>
    </row>
    <row r="7" spans="1:5" x14ac:dyDescent="0.3">
      <c r="A7" s="2">
        <v>45896</v>
      </c>
      <c r="B7" t="s">
        <v>417</v>
      </c>
      <c r="C7">
        <v>1</v>
      </c>
      <c r="D7" t="s">
        <v>510</v>
      </c>
      <c r="E7">
        <f>(_xlfn.XLOOKUP(WasteLog[[#This Row],[SKU]],Menu[SKU],Menu[UnitCost]))*WasteLog[[#This Row],[Qty]]</f>
        <v>80.92</v>
      </c>
    </row>
    <row r="8" spans="1:5" x14ac:dyDescent="0.3">
      <c r="A8" s="2">
        <v>45890</v>
      </c>
      <c r="B8" t="s">
        <v>411</v>
      </c>
      <c r="C8">
        <v>3</v>
      </c>
      <c r="D8" t="s">
        <v>512</v>
      </c>
      <c r="E8">
        <f>(_xlfn.XLOOKUP(WasteLog[[#This Row],[SKU]],Menu[SKU],Menu[UnitCost]))*WasteLog[[#This Row],[Qty]]</f>
        <v>28.14</v>
      </c>
    </row>
    <row r="9" spans="1:5" x14ac:dyDescent="0.3">
      <c r="A9" s="2">
        <v>45893</v>
      </c>
      <c r="B9" t="s">
        <v>405</v>
      </c>
      <c r="C9">
        <v>1</v>
      </c>
      <c r="D9" t="s">
        <v>512</v>
      </c>
      <c r="E9">
        <f>(_xlfn.XLOOKUP(WasteLog[[#This Row],[SKU]],Menu[SKU],Menu[UnitCost]))*WasteLog[[#This Row],[Qty]]</f>
        <v>74.069999999999993</v>
      </c>
    </row>
    <row r="10" spans="1:5" x14ac:dyDescent="0.3">
      <c r="A10" s="2">
        <v>45892</v>
      </c>
      <c r="B10" t="s">
        <v>413</v>
      </c>
      <c r="C10">
        <v>2</v>
      </c>
      <c r="D10" t="s">
        <v>509</v>
      </c>
      <c r="E10">
        <f>(_xlfn.XLOOKUP(WasteLog[[#This Row],[SKU]],Menu[SKU],Menu[UnitCost]))*WasteLog[[#This Row],[Qty]]</f>
        <v>43.9</v>
      </c>
    </row>
    <row r="11" spans="1:5" x14ac:dyDescent="0.3">
      <c r="A11" s="2">
        <v>45894</v>
      </c>
      <c r="B11" t="s">
        <v>414</v>
      </c>
      <c r="C11">
        <v>1</v>
      </c>
      <c r="D11" t="s">
        <v>509</v>
      </c>
      <c r="E11">
        <f>(_xlfn.XLOOKUP(WasteLog[[#This Row],[SKU]],Menu[SKU],Menu[UnitCost]))*WasteLog[[#This Row],[Qty]]</f>
        <v>48.97</v>
      </c>
    </row>
    <row r="12" spans="1:5" x14ac:dyDescent="0.3">
      <c r="A12" s="2">
        <v>45854</v>
      </c>
      <c r="B12" t="s">
        <v>402</v>
      </c>
      <c r="C12">
        <v>1</v>
      </c>
      <c r="D12" t="s">
        <v>510</v>
      </c>
      <c r="E12">
        <f>(_xlfn.XLOOKUP(WasteLog[[#This Row],[SKU]],Menu[SKU],Menu[UnitCost]))*WasteLog[[#This Row],[Qty]]</f>
        <v>14.18</v>
      </c>
    </row>
    <row r="13" spans="1:5" x14ac:dyDescent="0.3">
      <c r="A13" s="2">
        <v>45850</v>
      </c>
      <c r="B13" t="s">
        <v>408</v>
      </c>
      <c r="C13">
        <v>4</v>
      </c>
      <c r="D13" t="s">
        <v>510</v>
      </c>
      <c r="E13">
        <f>(_xlfn.XLOOKUP(WasteLog[[#This Row],[SKU]],Menu[SKU],Menu[UnitCost]))*WasteLog[[#This Row],[Qty]]</f>
        <v>143.24</v>
      </c>
    </row>
    <row r="14" spans="1:5" x14ac:dyDescent="0.3">
      <c r="A14" s="2">
        <v>45847</v>
      </c>
      <c r="B14" t="s">
        <v>413</v>
      </c>
      <c r="C14">
        <v>1</v>
      </c>
      <c r="D14" t="s">
        <v>510</v>
      </c>
      <c r="E14">
        <f>(_xlfn.XLOOKUP(WasteLog[[#This Row],[SKU]],Menu[SKU],Menu[UnitCost]))*WasteLog[[#This Row],[Qty]]</f>
        <v>21.95</v>
      </c>
    </row>
    <row r="15" spans="1:5" x14ac:dyDescent="0.3">
      <c r="A15" s="2">
        <v>45844</v>
      </c>
      <c r="B15" t="s">
        <v>409</v>
      </c>
      <c r="C15">
        <v>4</v>
      </c>
      <c r="D15" t="s">
        <v>509</v>
      </c>
      <c r="E15">
        <f>(_xlfn.XLOOKUP(WasteLog[[#This Row],[SKU]],Menu[SKU],Menu[UnitCost]))*WasteLog[[#This Row],[Qty]]</f>
        <v>55.56</v>
      </c>
    </row>
    <row r="16" spans="1:5" x14ac:dyDescent="0.3">
      <c r="A16" s="2">
        <v>45888</v>
      </c>
      <c r="B16" t="s">
        <v>410</v>
      </c>
      <c r="C16">
        <v>2</v>
      </c>
      <c r="D16" t="s">
        <v>510</v>
      </c>
      <c r="E16">
        <f>(_xlfn.XLOOKUP(WasteLog[[#This Row],[SKU]],Menu[SKU],Menu[UnitCost]))*WasteLog[[#This Row],[Qty]]</f>
        <v>16</v>
      </c>
    </row>
    <row r="17" spans="1:5" x14ac:dyDescent="0.3">
      <c r="A17" s="2">
        <v>45893</v>
      </c>
      <c r="B17" t="s">
        <v>415</v>
      </c>
      <c r="C17">
        <v>1</v>
      </c>
      <c r="D17" t="s">
        <v>510</v>
      </c>
      <c r="E17">
        <f>(_xlfn.XLOOKUP(WasteLog[[#This Row],[SKU]],Menu[SKU],Menu[UnitCost]))*WasteLog[[#This Row],[Qty]]</f>
        <v>121.24</v>
      </c>
    </row>
    <row r="18" spans="1:5" x14ac:dyDescent="0.3">
      <c r="A18" s="2">
        <v>45868</v>
      </c>
      <c r="B18" t="s">
        <v>416</v>
      </c>
      <c r="C18">
        <v>3</v>
      </c>
      <c r="D18" t="s">
        <v>510</v>
      </c>
      <c r="E18">
        <f>(_xlfn.XLOOKUP(WasteLog[[#This Row],[SKU]],Menu[SKU],Menu[UnitCost]))*WasteLog[[#This Row],[Qty]]</f>
        <v>288.65999999999997</v>
      </c>
    </row>
    <row r="19" spans="1:5" x14ac:dyDescent="0.3">
      <c r="A19" s="2">
        <v>45863</v>
      </c>
      <c r="B19" t="s">
        <v>416</v>
      </c>
      <c r="C19">
        <v>2</v>
      </c>
      <c r="D19" t="s">
        <v>509</v>
      </c>
      <c r="E19">
        <f>(_xlfn.XLOOKUP(WasteLog[[#This Row],[SKU]],Menu[SKU],Menu[UnitCost]))*WasteLog[[#This Row],[Qty]]</f>
        <v>192.44</v>
      </c>
    </row>
    <row r="20" spans="1:5" x14ac:dyDescent="0.3">
      <c r="A20" s="2">
        <v>45895</v>
      </c>
      <c r="B20" t="s">
        <v>417</v>
      </c>
      <c r="C20">
        <v>4</v>
      </c>
      <c r="D20" t="s">
        <v>512</v>
      </c>
      <c r="E20">
        <f>(_xlfn.XLOOKUP(WasteLog[[#This Row],[SKU]],Menu[SKU],Menu[UnitCost]))*WasteLog[[#This Row],[Qty]]</f>
        <v>323.68</v>
      </c>
    </row>
    <row r="21" spans="1:5" x14ac:dyDescent="0.3">
      <c r="A21" s="2">
        <v>45880</v>
      </c>
      <c r="B21" t="s">
        <v>411</v>
      </c>
      <c r="C21">
        <v>2</v>
      </c>
      <c r="D21" t="s">
        <v>512</v>
      </c>
      <c r="E21">
        <f>(_xlfn.XLOOKUP(WasteLog[[#This Row],[SKU]],Menu[SKU],Menu[UnitCost]))*WasteLog[[#This Row],[Qty]]</f>
        <v>18.760000000000002</v>
      </c>
    </row>
    <row r="22" spans="1:5" x14ac:dyDescent="0.3">
      <c r="A22" s="2">
        <v>45891</v>
      </c>
      <c r="B22" t="s">
        <v>415</v>
      </c>
      <c r="C22">
        <v>1</v>
      </c>
      <c r="D22" t="s">
        <v>512</v>
      </c>
      <c r="E22">
        <f>(_xlfn.XLOOKUP(WasteLog[[#This Row],[SKU]],Menu[SKU],Menu[UnitCost]))*WasteLog[[#This Row],[Qty]]</f>
        <v>121.24</v>
      </c>
    </row>
    <row r="23" spans="1:5" x14ac:dyDescent="0.3">
      <c r="A23" s="2">
        <v>45884</v>
      </c>
      <c r="B23" t="s">
        <v>415</v>
      </c>
      <c r="C23">
        <v>2</v>
      </c>
      <c r="D23" t="s">
        <v>511</v>
      </c>
      <c r="E23">
        <f>(_xlfn.XLOOKUP(WasteLog[[#This Row],[SKU]],Menu[SKU],Menu[UnitCost]))*WasteLog[[#This Row],[Qty]]</f>
        <v>242.48</v>
      </c>
    </row>
    <row r="24" spans="1:5" x14ac:dyDescent="0.3">
      <c r="A24" s="2">
        <v>45878</v>
      </c>
      <c r="B24" t="s">
        <v>418</v>
      </c>
      <c r="C24">
        <v>4</v>
      </c>
      <c r="D24" t="s">
        <v>509</v>
      </c>
      <c r="E24">
        <f>(_xlfn.XLOOKUP(WasteLog[[#This Row],[SKU]],Menu[SKU],Menu[UnitCost]))*WasteLog[[#This Row],[Qty]]</f>
        <v>62.04</v>
      </c>
    </row>
    <row r="25" spans="1:5" x14ac:dyDescent="0.3">
      <c r="A25" s="2">
        <v>45879</v>
      </c>
      <c r="B25" t="s">
        <v>411</v>
      </c>
      <c r="C25">
        <v>1</v>
      </c>
      <c r="D25" t="s">
        <v>510</v>
      </c>
      <c r="E25">
        <f>(_xlfn.XLOOKUP(WasteLog[[#This Row],[SKU]],Menu[SKU],Menu[UnitCost]))*WasteLog[[#This Row],[Qty]]</f>
        <v>9.3800000000000008</v>
      </c>
    </row>
    <row r="26" spans="1:5" x14ac:dyDescent="0.3">
      <c r="A26" s="2">
        <v>45882</v>
      </c>
      <c r="B26" t="s">
        <v>404</v>
      </c>
      <c r="C26">
        <v>4</v>
      </c>
      <c r="D26" t="s">
        <v>510</v>
      </c>
      <c r="E26">
        <f>(_xlfn.XLOOKUP(WasteLog[[#This Row],[SKU]],Menu[SKU],Menu[UnitCost]))*WasteLog[[#This Row],[Qty]]</f>
        <v>47.36</v>
      </c>
    </row>
    <row r="27" spans="1:5" x14ac:dyDescent="0.3">
      <c r="A27" s="2">
        <v>45846</v>
      </c>
      <c r="B27" t="s">
        <v>414</v>
      </c>
      <c r="C27">
        <v>1</v>
      </c>
      <c r="D27" t="s">
        <v>509</v>
      </c>
      <c r="E27">
        <f>(_xlfn.XLOOKUP(WasteLog[[#This Row],[SKU]],Menu[SKU],Menu[UnitCost]))*WasteLog[[#This Row],[Qty]]</f>
        <v>48.97</v>
      </c>
    </row>
    <row r="28" spans="1:5" x14ac:dyDescent="0.3">
      <c r="A28" s="2">
        <v>45872</v>
      </c>
      <c r="B28" t="s">
        <v>405</v>
      </c>
      <c r="C28">
        <v>1</v>
      </c>
      <c r="D28" t="s">
        <v>509</v>
      </c>
      <c r="E28">
        <f>(_xlfn.XLOOKUP(WasteLog[[#This Row],[SKU]],Menu[SKU],Menu[UnitCost]))*WasteLog[[#This Row],[Qty]]</f>
        <v>74.069999999999993</v>
      </c>
    </row>
    <row r="29" spans="1:5" x14ac:dyDescent="0.3">
      <c r="A29" s="2">
        <v>45891</v>
      </c>
      <c r="B29" t="s">
        <v>404</v>
      </c>
      <c r="C29">
        <v>2</v>
      </c>
      <c r="D29" t="s">
        <v>509</v>
      </c>
      <c r="E29">
        <f>(_xlfn.XLOOKUP(WasteLog[[#This Row],[SKU]],Menu[SKU],Menu[UnitCost]))*WasteLog[[#This Row],[Qty]]</f>
        <v>23.68</v>
      </c>
    </row>
    <row r="30" spans="1:5" x14ac:dyDescent="0.3">
      <c r="A30" s="2">
        <v>45860</v>
      </c>
      <c r="B30" t="s">
        <v>416</v>
      </c>
      <c r="C30">
        <v>3</v>
      </c>
      <c r="D30" t="s">
        <v>512</v>
      </c>
      <c r="E30">
        <f>(_xlfn.XLOOKUP(WasteLog[[#This Row],[SKU]],Menu[SKU],Menu[UnitCost]))*WasteLog[[#This Row],[Qty]]</f>
        <v>288.65999999999997</v>
      </c>
    </row>
    <row r="31" spans="1:5" x14ac:dyDescent="0.3">
      <c r="A31" s="2">
        <v>45867</v>
      </c>
      <c r="B31" t="s">
        <v>409</v>
      </c>
      <c r="C31">
        <v>2</v>
      </c>
      <c r="D31" t="s">
        <v>510</v>
      </c>
      <c r="E31">
        <f>(_xlfn.XLOOKUP(WasteLog[[#This Row],[SKU]],Menu[SKU],Menu[UnitCost]))*WasteLog[[#This Row],[Qty]]</f>
        <v>27.78</v>
      </c>
    </row>
    <row r="32" spans="1:5" x14ac:dyDescent="0.3">
      <c r="A32" s="2">
        <v>45890</v>
      </c>
      <c r="B32" t="s">
        <v>404</v>
      </c>
      <c r="C32">
        <v>1</v>
      </c>
      <c r="D32" t="s">
        <v>509</v>
      </c>
      <c r="E32">
        <f>(_xlfn.XLOOKUP(WasteLog[[#This Row],[SKU]],Menu[SKU],Menu[UnitCost]))*WasteLog[[#This Row],[Qty]]</f>
        <v>11.84</v>
      </c>
    </row>
    <row r="33" spans="1:5" x14ac:dyDescent="0.3">
      <c r="A33" s="2">
        <v>45863</v>
      </c>
      <c r="B33" t="s">
        <v>409</v>
      </c>
      <c r="C33">
        <v>1</v>
      </c>
      <c r="D33" t="s">
        <v>511</v>
      </c>
      <c r="E33">
        <f>(_xlfn.XLOOKUP(WasteLog[[#This Row],[SKU]],Menu[SKU],Menu[UnitCost]))*WasteLog[[#This Row],[Qty]]</f>
        <v>13.89</v>
      </c>
    </row>
    <row r="34" spans="1:5" x14ac:dyDescent="0.3">
      <c r="A34" s="2">
        <v>45854</v>
      </c>
      <c r="B34" t="s">
        <v>419</v>
      </c>
      <c r="C34">
        <v>4</v>
      </c>
      <c r="D34" t="s">
        <v>509</v>
      </c>
      <c r="E34">
        <f>(_xlfn.XLOOKUP(WasteLog[[#This Row],[SKU]],Menu[SKU],Menu[UnitCost]))*WasteLog[[#This Row],[Qty]]</f>
        <v>90.44</v>
      </c>
    </row>
    <row r="35" spans="1:5" x14ac:dyDescent="0.3">
      <c r="A35" s="2">
        <v>45849</v>
      </c>
      <c r="B35" t="s">
        <v>415</v>
      </c>
      <c r="C35">
        <v>2</v>
      </c>
      <c r="D35" t="s">
        <v>510</v>
      </c>
      <c r="E35">
        <f>(_xlfn.XLOOKUP(WasteLog[[#This Row],[SKU]],Menu[SKU],Menu[UnitCost]))*WasteLog[[#This Row],[Qty]]</f>
        <v>242.48</v>
      </c>
    </row>
    <row r="36" spans="1:5" x14ac:dyDescent="0.3">
      <c r="A36" s="2">
        <v>45840</v>
      </c>
      <c r="B36" t="s">
        <v>406</v>
      </c>
      <c r="C36">
        <v>3</v>
      </c>
      <c r="D36" t="s">
        <v>509</v>
      </c>
      <c r="E36">
        <f>(_xlfn.XLOOKUP(WasteLog[[#This Row],[SKU]],Menu[SKU],Menu[UnitCost]))*WasteLog[[#This Row],[Qty]]</f>
        <v>58.650000000000006</v>
      </c>
    </row>
    <row r="37" spans="1:5" x14ac:dyDescent="0.3">
      <c r="A37" s="2">
        <v>45845</v>
      </c>
      <c r="B37" t="s">
        <v>405</v>
      </c>
      <c r="C37">
        <v>1</v>
      </c>
      <c r="D37" t="s">
        <v>512</v>
      </c>
      <c r="E37">
        <f>(_xlfn.XLOOKUP(WasteLog[[#This Row],[SKU]],Menu[SKU],Menu[UnitCost]))*WasteLog[[#This Row],[Qty]]</f>
        <v>74.069999999999993</v>
      </c>
    </row>
    <row r="38" spans="1:5" x14ac:dyDescent="0.3">
      <c r="A38" s="2">
        <v>45882</v>
      </c>
      <c r="B38" t="s">
        <v>415</v>
      </c>
      <c r="C38">
        <v>2</v>
      </c>
      <c r="D38" t="s">
        <v>509</v>
      </c>
      <c r="E38">
        <f>(_xlfn.XLOOKUP(WasteLog[[#This Row],[SKU]],Menu[SKU],Menu[UnitCost]))*WasteLog[[#This Row],[Qty]]</f>
        <v>242.48</v>
      </c>
    </row>
    <row r="39" spans="1:5" x14ac:dyDescent="0.3">
      <c r="A39" s="2">
        <v>45843</v>
      </c>
      <c r="B39" t="s">
        <v>404</v>
      </c>
      <c r="C39">
        <v>2</v>
      </c>
      <c r="D39" t="s">
        <v>510</v>
      </c>
      <c r="E39">
        <f>(_xlfn.XLOOKUP(WasteLog[[#This Row],[SKU]],Menu[SKU],Menu[UnitCost]))*WasteLog[[#This Row],[Qty]]</f>
        <v>23.68</v>
      </c>
    </row>
    <row r="40" spans="1:5" x14ac:dyDescent="0.3">
      <c r="A40" s="2">
        <v>45861</v>
      </c>
      <c r="B40" t="s">
        <v>414</v>
      </c>
      <c r="C40">
        <v>1</v>
      </c>
      <c r="D40" t="s">
        <v>509</v>
      </c>
      <c r="E40">
        <f>(_xlfn.XLOOKUP(WasteLog[[#This Row],[SKU]],Menu[SKU],Menu[UnitCost]))*WasteLog[[#This Row],[Qty]]</f>
        <v>48.97</v>
      </c>
    </row>
    <row r="41" spans="1:5" x14ac:dyDescent="0.3">
      <c r="A41" s="2">
        <v>45844</v>
      </c>
      <c r="B41" t="s">
        <v>407</v>
      </c>
      <c r="C41">
        <v>1</v>
      </c>
      <c r="D41" t="s">
        <v>511</v>
      </c>
      <c r="E41">
        <f>(_xlfn.XLOOKUP(WasteLog[[#This Row],[SKU]],Menu[SKU],Menu[UnitCost]))*WasteLog[[#This Row],[Qty]]</f>
        <v>112.08</v>
      </c>
    </row>
    <row r="42" spans="1:5" x14ac:dyDescent="0.3">
      <c r="A42" s="2">
        <v>45861</v>
      </c>
      <c r="B42" t="s">
        <v>412</v>
      </c>
      <c r="C42">
        <v>3</v>
      </c>
      <c r="D42" t="s">
        <v>511</v>
      </c>
      <c r="E42">
        <f>(_xlfn.XLOOKUP(WasteLog[[#This Row],[SKU]],Menu[SKU],Menu[UnitCost]))*WasteLog[[#This Row],[Qty]]</f>
        <v>87.42</v>
      </c>
    </row>
    <row r="43" spans="1:5" x14ac:dyDescent="0.3">
      <c r="A43" s="2">
        <v>45895</v>
      </c>
      <c r="B43" t="s">
        <v>402</v>
      </c>
      <c r="C43">
        <v>1</v>
      </c>
      <c r="D43" t="s">
        <v>509</v>
      </c>
      <c r="E43">
        <f>(_xlfn.XLOOKUP(WasteLog[[#This Row],[SKU]],Menu[SKU],Menu[UnitCost]))*WasteLog[[#This Row],[Qty]]</f>
        <v>14.18</v>
      </c>
    </row>
    <row r="44" spans="1:5" x14ac:dyDescent="0.3">
      <c r="A44" s="2">
        <v>45868</v>
      </c>
      <c r="B44" t="s">
        <v>407</v>
      </c>
      <c r="C44">
        <v>1</v>
      </c>
      <c r="D44" t="s">
        <v>509</v>
      </c>
      <c r="E44">
        <f>(_xlfn.XLOOKUP(WasteLog[[#This Row],[SKU]],Menu[SKU],Menu[UnitCost]))*WasteLog[[#This Row],[Qty]]</f>
        <v>112.08</v>
      </c>
    </row>
    <row r="45" spans="1:5" x14ac:dyDescent="0.3">
      <c r="A45" s="2">
        <v>45879</v>
      </c>
      <c r="B45" t="s">
        <v>401</v>
      </c>
      <c r="C45">
        <v>1</v>
      </c>
      <c r="D45" t="s">
        <v>511</v>
      </c>
      <c r="E45">
        <f>(_xlfn.XLOOKUP(WasteLog[[#This Row],[SKU]],Menu[SKU],Menu[UnitCost]))*WasteLog[[#This Row],[Qty]]</f>
        <v>25.8</v>
      </c>
    </row>
    <row r="46" spans="1:5" x14ac:dyDescent="0.3">
      <c r="A46" s="2">
        <v>45844</v>
      </c>
      <c r="B46" t="s">
        <v>414</v>
      </c>
      <c r="C46">
        <v>1</v>
      </c>
      <c r="D46" t="s">
        <v>509</v>
      </c>
      <c r="E46">
        <f>(_xlfn.XLOOKUP(WasteLog[[#This Row],[SKU]],Menu[SKU],Menu[UnitCost]))*WasteLog[[#This Row],[Qty]]</f>
        <v>48.97</v>
      </c>
    </row>
    <row r="47" spans="1:5" x14ac:dyDescent="0.3">
      <c r="A47" s="2">
        <v>45880</v>
      </c>
      <c r="B47" t="s">
        <v>414</v>
      </c>
      <c r="C47">
        <v>2</v>
      </c>
      <c r="D47" t="s">
        <v>510</v>
      </c>
      <c r="E47">
        <f>(_xlfn.XLOOKUP(WasteLog[[#This Row],[SKU]],Menu[SKU],Menu[UnitCost]))*WasteLog[[#This Row],[Qty]]</f>
        <v>97.94</v>
      </c>
    </row>
    <row r="48" spans="1:5" x14ac:dyDescent="0.3">
      <c r="A48" s="2">
        <v>45843</v>
      </c>
      <c r="B48" t="s">
        <v>411</v>
      </c>
      <c r="C48">
        <v>4</v>
      </c>
      <c r="D48" t="s">
        <v>510</v>
      </c>
      <c r="E48">
        <f>(_xlfn.XLOOKUP(WasteLog[[#This Row],[SKU]],Menu[SKU],Menu[UnitCost]))*WasteLog[[#This Row],[Qty]]</f>
        <v>37.520000000000003</v>
      </c>
    </row>
    <row r="49" spans="1:5" x14ac:dyDescent="0.3">
      <c r="A49" s="2">
        <v>45889</v>
      </c>
      <c r="B49" t="s">
        <v>402</v>
      </c>
      <c r="C49">
        <v>4</v>
      </c>
      <c r="D49" t="s">
        <v>510</v>
      </c>
      <c r="E49">
        <f>(_xlfn.XLOOKUP(WasteLog[[#This Row],[SKU]],Menu[SKU],Menu[UnitCost]))*WasteLog[[#This Row],[Qty]]</f>
        <v>56.72</v>
      </c>
    </row>
    <row r="50" spans="1:5" x14ac:dyDescent="0.3">
      <c r="A50" s="2">
        <v>45878</v>
      </c>
      <c r="B50" t="s">
        <v>407</v>
      </c>
      <c r="C50">
        <v>3</v>
      </c>
      <c r="D50" t="s">
        <v>511</v>
      </c>
      <c r="E50">
        <f>(_xlfn.XLOOKUP(WasteLog[[#This Row],[SKU]],Menu[SKU],Menu[UnitCost]))*WasteLog[[#This Row],[Qty]]</f>
        <v>336.24</v>
      </c>
    </row>
    <row r="51" spans="1:5" x14ac:dyDescent="0.3">
      <c r="A51" s="2">
        <v>45875</v>
      </c>
      <c r="B51" t="s">
        <v>418</v>
      </c>
      <c r="C51">
        <v>3</v>
      </c>
      <c r="D51" t="s">
        <v>510</v>
      </c>
      <c r="E51">
        <f>(_xlfn.XLOOKUP(WasteLog[[#This Row],[SKU]],Menu[SKU],Menu[UnitCost]))*WasteLog[[#This Row],[Qty]]</f>
        <v>46.53</v>
      </c>
    </row>
    <row r="52" spans="1:5" x14ac:dyDescent="0.3">
      <c r="A52" s="2">
        <v>45862</v>
      </c>
      <c r="B52" t="s">
        <v>406</v>
      </c>
      <c r="C52">
        <v>1</v>
      </c>
      <c r="D52" t="s">
        <v>511</v>
      </c>
      <c r="E52">
        <f>(_xlfn.XLOOKUP(WasteLog[[#This Row],[SKU]],Menu[SKU],Menu[UnitCost]))*WasteLog[[#This Row],[Qty]]</f>
        <v>19.55</v>
      </c>
    </row>
    <row r="53" spans="1:5" x14ac:dyDescent="0.3">
      <c r="A53" s="2">
        <v>45853</v>
      </c>
      <c r="B53" t="s">
        <v>409</v>
      </c>
      <c r="C53">
        <v>1</v>
      </c>
      <c r="D53" t="s">
        <v>512</v>
      </c>
      <c r="E53">
        <f>(_xlfn.XLOOKUP(WasteLog[[#This Row],[SKU]],Menu[SKU],Menu[UnitCost]))*WasteLog[[#This Row],[Qty]]</f>
        <v>13.89</v>
      </c>
    </row>
    <row r="54" spans="1:5" x14ac:dyDescent="0.3">
      <c r="A54" s="2">
        <v>45893</v>
      </c>
      <c r="B54" t="s">
        <v>410</v>
      </c>
      <c r="C54">
        <v>2</v>
      </c>
      <c r="D54" t="s">
        <v>510</v>
      </c>
      <c r="E54">
        <f>(_xlfn.XLOOKUP(WasteLog[[#This Row],[SKU]],Menu[SKU],Menu[UnitCost]))*WasteLog[[#This Row],[Qty]]</f>
        <v>16</v>
      </c>
    </row>
    <row r="55" spans="1:5" x14ac:dyDescent="0.3">
      <c r="A55" s="2">
        <v>45893</v>
      </c>
      <c r="B55" t="s">
        <v>413</v>
      </c>
      <c r="C55">
        <v>1</v>
      </c>
      <c r="D55" t="s">
        <v>509</v>
      </c>
      <c r="E55">
        <f>(_xlfn.XLOOKUP(WasteLog[[#This Row],[SKU]],Menu[SKU],Menu[UnitCost]))*WasteLog[[#This Row],[Qty]]</f>
        <v>21.95</v>
      </c>
    </row>
    <row r="56" spans="1:5" x14ac:dyDescent="0.3">
      <c r="A56" s="2">
        <v>45876</v>
      </c>
      <c r="B56" t="s">
        <v>406</v>
      </c>
      <c r="C56">
        <v>4</v>
      </c>
      <c r="D56" t="s">
        <v>511</v>
      </c>
      <c r="E56">
        <f>(_xlfn.XLOOKUP(WasteLog[[#This Row],[SKU]],Menu[SKU],Menu[UnitCost]))*WasteLog[[#This Row],[Qty]]</f>
        <v>78.2</v>
      </c>
    </row>
    <row r="57" spans="1:5" x14ac:dyDescent="0.3">
      <c r="A57" s="2">
        <v>45858</v>
      </c>
      <c r="B57" t="s">
        <v>402</v>
      </c>
      <c r="C57">
        <v>1</v>
      </c>
      <c r="D57" t="s">
        <v>512</v>
      </c>
      <c r="E57">
        <f>(_xlfn.XLOOKUP(WasteLog[[#This Row],[SKU]],Menu[SKU],Menu[UnitCost]))*WasteLog[[#This Row],[Qty]]</f>
        <v>14.18</v>
      </c>
    </row>
    <row r="58" spans="1:5" x14ac:dyDescent="0.3">
      <c r="A58" s="2">
        <v>45882</v>
      </c>
      <c r="B58" t="s">
        <v>411</v>
      </c>
      <c r="C58">
        <v>1</v>
      </c>
      <c r="D58" t="s">
        <v>512</v>
      </c>
      <c r="E58">
        <f>(_xlfn.XLOOKUP(WasteLog[[#This Row],[SKU]],Menu[SKU],Menu[UnitCost]))*WasteLog[[#This Row],[Qty]]</f>
        <v>9.3800000000000008</v>
      </c>
    </row>
    <row r="59" spans="1:5" x14ac:dyDescent="0.3">
      <c r="A59" s="2">
        <v>45891</v>
      </c>
      <c r="B59" t="s">
        <v>408</v>
      </c>
      <c r="C59">
        <v>1</v>
      </c>
      <c r="D59" t="s">
        <v>512</v>
      </c>
      <c r="E59">
        <f>(_xlfn.XLOOKUP(WasteLog[[#This Row],[SKU]],Menu[SKU],Menu[UnitCost]))*WasteLog[[#This Row],[Qty]]</f>
        <v>35.81</v>
      </c>
    </row>
    <row r="60" spans="1:5" x14ac:dyDescent="0.3">
      <c r="A60" s="2">
        <v>45865</v>
      </c>
      <c r="B60" t="s">
        <v>404</v>
      </c>
      <c r="C60">
        <v>4</v>
      </c>
      <c r="D60" t="s">
        <v>512</v>
      </c>
      <c r="E60">
        <f>(_xlfn.XLOOKUP(WasteLog[[#This Row],[SKU]],Menu[SKU],Menu[UnitCost]))*WasteLog[[#This Row],[Qty]]</f>
        <v>47.36</v>
      </c>
    </row>
    <row r="61" spans="1:5" x14ac:dyDescent="0.3">
      <c r="A61" s="2">
        <v>45846</v>
      </c>
      <c r="B61" t="s">
        <v>408</v>
      </c>
      <c r="C61">
        <v>1</v>
      </c>
      <c r="D61" t="s">
        <v>509</v>
      </c>
      <c r="E61">
        <f>(_xlfn.XLOOKUP(WasteLog[[#This Row],[SKU]],Menu[SKU],Menu[UnitCost]))*WasteLog[[#This Row],[Qty]]</f>
        <v>35.81</v>
      </c>
    </row>
    <row r="62" spans="1:5" x14ac:dyDescent="0.3">
      <c r="A62" s="2">
        <v>45885</v>
      </c>
      <c r="B62" t="s">
        <v>408</v>
      </c>
      <c r="C62">
        <v>1</v>
      </c>
      <c r="D62" t="s">
        <v>511</v>
      </c>
      <c r="E62">
        <f>(_xlfn.XLOOKUP(WasteLog[[#This Row],[SKU]],Menu[SKU],Menu[UnitCost]))*WasteLog[[#This Row],[Qty]]</f>
        <v>35.81</v>
      </c>
    </row>
    <row r="63" spans="1:5" x14ac:dyDescent="0.3">
      <c r="A63" s="2">
        <v>45868</v>
      </c>
      <c r="B63" t="s">
        <v>416</v>
      </c>
      <c r="C63">
        <v>4</v>
      </c>
      <c r="D63" t="s">
        <v>509</v>
      </c>
      <c r="E63">
        <f>(_xlfn.XLOOKUP(WasteLog[[#This Row],[SKU]],Menu[SKU],Menu[UnitCost]))*WasteLog[[#This Row],[Qty]]</f>
        <v>384.88</v>
      </c>
    </row>
    <row r="64" spans="1:5" x14ac:dyDescent="0.3">
      <c r="A64" s="2">
        <v>45857</v>
      </c>
      <c r="B64" t="s">
        <v>405</v>
      </c>
      <c r="C64">
        <v>2</v>
      </c>
      <c r="D64" t="s">
        <v>510</v>
      </c>
      <c r="E64">
        <f>(_xlfn.XLOOKUP(WasteLog[[#This Row],[SKU]],Menu[SKU],Menu[UnitCost]))*WasteLog[[#This Row],[Qty]]</f>
        <v>148.13999999999999</v>
      </c>
    </row>
    <row r="65" spans="1:5" x14ac:dyDescent="0.3">
      <c r="A65" s="2">
        <v>45862</v>
      </c>
      <c r="B65" t="s">
        <v>408</v>
      </c>
      <c r="C65">
        <v>4</v>
      </c>
      <c r="D65" t="s">
        <v>510</v>
      </c>
      <c r="E65">
        <f>(_xlfn.XLOOKUP(WasteLog[[#This Row],[SKU]],Menu[SKU],Menu[UnitCost]))*WasteLog[[#This Row],[Qty]]</f>
        <v>143.24</v>
      </c>
    </row>
    <row r="66" spans="1:5" x14ac:dyDescent="0.3">
      <c r="A66" s="2">
        <v>45862</v>
      </c>
      <c r="B66" t="s">
        <v>414</v>
      </c>
      <c r="C66">
        <v>1</v>
      </c>
      <c r="D66" t="s">
        <v>511</v>
      </c>
      <c r="E66">
        <f>(_xlfn.XLOOKUP(WasteLog[[#This Row],[SKU]],Menu[SKU],Menu[UnitCost]))*WasteLog[[#This Row],[Qty]]</f>
        <v>48.97</v>
      </c>
    </row>
    <row r="67" spans="1:5" x14ac:dyDescent="0.3">
      <c r="A67" s="2">
        <v>45866</v>
      </c>
      <c r="B67" t="s">
        <v>404</v>
      </c>
      <c r="C67">
        <v>1</v>
      </c>
      <c r="D67" t="s">
        <v>510</v>
      </c>
      <c r="E67">
        <f>(_xlfn.XLOOKUP(WasteLog[[#This Row],[SKU]],Menu[SKU],Menu[UnitCost]))*WasteLog[[#This Row],[Qty]]</f>
        <v>11.84</v>
      </c>
    </row>
    <row r="68" spans="1:5" x14ac:dyDescent="0.3">
      <c r="A68" s="2">
        <v>45890</v>
      </c>
      <c r="B68" t="s">
        <v>411</v>
      </c>
      <c r="C68">
        <v>1</v>
      </c>
      <c r="D68" t="s">
        <v>511</v>
      </c>
      <c r="E68">
        <f>(_xlfn.XLOOKUP(WasteLog[[#This Row],[SKU]],Menu[SKU],Menu[UnitCost]))*WasteLog[[#This Row],[Qty]]</f>
        <v>9.3800000000000008</v>
      </c>
    </row>
    <row r="69" spans="1:5" x14ac:dyDescent="0.3">
      <c r="A69" s="2">
        <v>45864</v>
      </c>
      <c r="B69" t="s">
        <v>411</v>
      </c>
      <c r="C69">
        <v>3</v>
      </c>
      <c r="D69" t="s">
        <v>510</v>
      </c>
      <c r="E69">
        <f>(_xlfn.XLOOKUP(WasteLog[[#This Row],[SKU]],Menu[SKU],Menu[UnitCost]))*WasteLog[[#This Row],[Qty]]</f>
        <v>28.14</v>
      </c>
    </row>
    <row r="70" spans="1:5" x14ac:dyDescent="0.3">
      <c r="A70" s="2">
        <v>45884</v>
      </c>
      <c r="B70" t="s">
        <v>405</v>
      </c>
      <c r="C70">
        <v>2</v>
      </c>
      <c r="D70" t="s">
        <v>510</v>
      </c>
      <c r="E70">
        <f>(_xlfn.XLOOKUP(WasteLog[[#This Row],[SKU]],Menu[SKU],Menu[UnitCost]))*WasteLog[[#This Row],[Qty]]</f>
        <v>148.13999999999999</v>
      </c>
    </row>
    <row r="71" spans="1:5" x14ac:dyDescent="0.3">
      <c r="A71" s="2">
        <v>45870</v>
      </c>
      <c r="B71" t="s">
        <v>408</v>
      </c>
      <c r="C71">
        <v>1</v>
      </c>
      <c r="D71" t="s">
        <v>511</v>
      </c>
      <c r="E71">
        <f>(_xlfn.XLOOKUP(WasteLog[[#This Row],[SKU]],Menu[SKU],Menu[UnitCost]))*WasteLog[[#This Row],[Qty]]</f>
        <v>35.81</v>
      </c>
    </row>
    <row r="72" spans="1:5" x14ac:dyDescent="0.3">
      <c r="A72" s="2">
        <v>45869</v>
      </c>
      <c r="B72" t="s">
        <v>410</v>
      </c>
      <c r="C72">
        <v>4</v>
      </c>
      <c r="D72" t="s">
        <v>512</v>
      </c>
      <c r="E72">
        <f>(_xlfn.XLOOKUP(WasteLog[[#This Row],[SKU]],Menu[SKU],Menu[UnitCost]))*WasteLog[[#This Row],[Qty]]</f>
        <v>32</v>
      </c>
    </row>
    <row r="73" spans="1:5" x14ac:dyDescent="0.3">
      <c r="A73" s="2">
        <v>45893</v>
      </c>
      <c r="B73" t="s">
        <v>406</v>
      </c>
      <c r="C73">
        <v>1</v>
      </c>
      <c r="D73" t="s">
        <v>509</v>
      </c>
      <c r="E73">
        <f>(_xlfn.XLOOKUP(WasteLog[[#This Row],[SKU]],Menu[SKU],Menu[UnitCost]))*WasteLog[[#This Row],[Qty]]</f>
        <v>19.55</v>
      </c>
    </row>
    <row r="74" spans="1:5" x14ac:dyDescent="0.3">
      <c r="A74" s="2">
        <v>45840</v>
      </c>
      <c r="B74" t="s">
        <v>419</v>
      </c>
      <c r="C74">
        <v>1</v>
      </c>
      <c r="D74" t="s">
        <v>510</v>
      </c>
      <c r="E74">
        <f>(_xlfn.XLOOKUP(WasteLog[[#This Row],[SKU]],Menu[SKU],Menu[UnitCost]))*WasteLog[[#This Row],[Qty]]</f>
        <v>22.61</v>
      </c>
    </row>
    <row r="75" spans="1:5" x14ac:dyDescent="0.3">
      <c r="A75" s="2">
        <v>45867</v>
      </c>
      <c r="B75" t="s">
        <v>407</v>
      </c>
      <c r="C75">
        <v>1</v>
      </c>
      <c r="D75" t="s">
        <v>509</v>
      </c>
      <c r="E75">
        <f>(_xlfn.XLOOKUP(WasteLog[[#This Row],[SKU]],Menu[SKU],Menu[UnitCost]))*WasteLog[[#This Row],[Qty]]</f>
        <v>112.08</v>
      </c>
    </row>
    <row r="76" spans="1:5" x14ac:dyDescent="0.3">
      <c r="A76" s="2">
        <v>45871</v>
      </c>
      <c r="B76" t="s">
        <v>406</v>
      </c>
      <c r="C76">
        <v>3</v>
      </c>
      <c r="D76" t="s">
        <v>510</v>
      </c>
      <c r="E76">
        <f>(_xlfn.XLOOKUP(WasteLog[[#This Row],[SKU]],Menu[SKU],Menu[UnitCost]))*WasteLog[[#This Row],[Qty]]</f>
        <v>58.650000000000006</v>
      </c>
    </row>
    <row r="77" spans="1:5" x14ac:dyDescent="0.3">
      <c r="A77" s="2">
        <v>45894</v>
      </c>
      <c r="B77" t="s">
        <v>406</v>
      </c>
      <c r="C77">
        <v>2</v>
      </c>
      <c r="D77" t="s">
        <v>510</v>
      </c>
      <c r="E77">
        <f>(_xlfn.XLOOKUP(WasteLog[[#This Row],[SKU]],Menu[SKU],Menu[UnitCost]))*WasteLog[[#This Row],[Qty]]</f>
        <v>39.1</v>
      </c>
    </row>
    <row r="78" spans="1:5" x14ac:dyDescent="0.3">
      <c r="A78" s="2">
        <v>45892</v>
      </c>
      <c r="B78" t="s">
        <v>402</v>
      </c>
      <c r="C78">
        <v>2</v>
      </c>
      <c r="D78" t="s">
        <v>511</v>
      </c>
      <c r="E78">
        <f>(_xlfn.XLOOKUP(WasteLog[[#This Row],[SKU]],Menu[SKU],Menu[UnitCost]))*WasteLog[[#This Row],[Qty]]</f>
        <v>28.36</v>
      </c>
    </row>
    <row r="79" spans="1:5" x14ac:dyDescent="0.3">
      <c r="A79" s="2">
        <v>45886</v>
      </c>
      <c r="B79" t="s">
        <v>403</v>
      </c>
      <c r="C79">
        <v>1</v>
      </c>
      <c r="D79" t="s">
        <v>510</v>
      </c>
      <c r="E79">
        <f>(_xlfn.XLOOKUP(WasteLog[[#This Row],[SKU]],Menu[SKU],Menu[UnitCost]))*WasteLog[[#This Row],[Qty]]</f>
        <v>38.229999999999997</v>
      </c>
    </row>
    <row r="80" spans="1:5" x14ac:dyDescent="0.3">
      <c r="A80" s="2">
        <v>45855</v>
      </c>
      <c r="B80" t="s">
        <v>411</v>
      </c>
      <c r="C80">
        <v>2</v>
      </c>
      <c r="D80" t="s">
        <v>509</v>
      </c>
      <c r="E80">
        <f>(_xlfn.XLOOKUP(WasteLog[[#This Row],[SKU]],Menu[SKU],Menu[UnitCost]))*WasteLog[[#This Row],[Qty]]</f>
        <v>18.760000000000002</v>
      </c>
    </row>
    <row r="81" spans="1:5" x14ac:dyDescent="0.3">
      <c r="A81" s="2">
        <v>45852</v>
      </c>
      <c r="B81" t="s">
        <v>414</v>
      </c>
      <c r="C81">
        <v>1</v>
      </c>
      <c r="D81" t="s">
        <v>510</v>
      </c>
      <c r="E81">
        <f>(_xlfn.XLOOKUP(WasteLog[[#This Row],[SKU]],Menu[SKU],Menu[UnitCost]))*WasteLog[[#This Row],[Qty]]</f>
        <v>48.97</v>
      </c>
    </row>
    <row r="82" spans="1:5" x14ac:dyDescent="0.3">
      <c r="A82" s="2">
        <v>45856</v>
      </c>
      <c r="B82" t="s">
        <v>414</v>
      </c>
      <c r="C82">
        <v>1</v>
      </c>
      <c r="D82" t="s">
        <v>512</v>
      </c>
      <c r="E82">
        <f>(_xlfn.XLOOKUP(WasteLog[[#This Row],[SKU]],Menu[SKU],Menu[UnitCost]))*WasteLog[[#This Row],[Qty]]</f>
        <v>48.97</v>
      </c>
    </row>
    <row r="83" spans="1:5" x14ac:dyDescent="0.3">
      <c r="A83" s="2">
        <v>45889</v>
      </c>
      <c r="B83" t="s">
        <v>415</v>
      </c>
      <c r="C83">
        <v>1</v>
      </c>
      <c r="D83" t="s">
        <v>512</v>
      </c>
      <c r="E83">
        <f>(_xlfn.XLOOKUP(WasteLog[[#This Row],[SKU]],Menu[SKU],Menu[UnitCost]))*WasteLog[[#This Row],[Qty]]</f>
        <v>121.24</v>
      </c>
    </row>
    <row r="84" spans="1:5" x14ac:dyDescent="0.3">
      <c r="A84" s="2">
        <v>45843</v>
      </c>
      <c r="B84" t="s">
        <v>416</v>
      </c>
      <c r="C84">
        <v>2</v>
      </c>
      <c r="D84" t="s">
        <v>510</v>
      </c>
      <c r="E84">
        <f>(_xlfn.XLOOKUP(WasteLog[[#This Row],[SKU]],Menu[SKU],Menu[UnitCost]))*WasteLog[[#This Row],[Qty]]</f>
        <v>192.44</v>
      </c>
    </row>
    <row r="85" spans="1:5" x14ac:dyDescent="0.3">
      <c r="A85" s="2">
        <v>45852</v>
      </c>
      <c r="B85" t="s">
        <v>406</v>
      </c>
      <c r="C85">
        <v>3</v>
      </c>
      <c r="D85" t="s">
        <v>512</v>
      </c>
      <c r="E85">
        <f>(_xlfn.XLOOKUP(WasteLog[[#This Row],[SKU]],Menu[SKU],Menu[UnitCost]))*WasteLog[[#This Row],[Qty]]</f>
        <v>58.650000000000006</v>
      </c>
    </row>
    <row r="86" spans="1:5" x14ac:dyDescent="0.3">
      <c r="A86" s="2">
        <v>45853</v>
      </c>
      <c r="B86" t="s">
        <v>416</v>
      </c>
      <c r="C86">
        <v>2</v>
      </c>
      <c r="D86" t="s">
        <v>509</v>
      </c>
      <c r="E86">
        <f>(_xlfn.XLOOKUP(WasteLog[[#This Row],[SKU]],Menu[SKU],Menu[UnitCost]))*WasteLog[[#This Row],[Qty]]</f>
        <v>192.44</v>
      </c>
    </row>
    <row r="87" spans="1:5" x14ac:dyDescent="0.3">
      <c r="A87" s="2">
        <v>45888</v>
      </c>
      <c r="B87" t="s">
        <v>409</v>
      </c>
      <c r="C87">
        <v>4</v>
      </c>
      <c r="D87" t="s">
        <v>511</v>
      </c>
      <c r="E87">
        <f>(_xlfn.XLOOKUP(WasteLog[[#This Row],[SKU]],Menu[SKU],Menu[UnitCost]))*WasteLog[[#This Row],[Qty]]</f>
        <v>55.56</v>
      </c>
    </row>
    <row r="88" spans="1:5" x14ac:dyDescent="0.3">
      <c r="A88" s="2">
        <v>45844</v>
      </c>
      <c r="B88" t="s">
        <v>403</v>
      </c>
      <c r="C88">
        <v>1</v>
      </c>
      <c r="D88" t="s">
        <v>510</v>
      </c>
      <c r="E88">
        <f>(_xlfn.XLOOKUP(WasteLog[[#This Row],[SKU]],Menu[SKU],Menu[UnitCost]))*WasteLog[[#This Row],[Qty]]</f>
        <v>38.229999999999997</v>
      </c>
    </row>
    <row r="89" spans="1:5" x14ac:dyDescent="0.3">
      <c r="A89" s="2">
        <v>45840</v>
      </c>
      <c r="B89" t="s">
        <v>416</v>
      </c>
      <c r="C89">
        <v>1</v>
      </c>
      <c r="D89" t="s">
        <v>510</v>
      </c>
      <c r="E89">
        <f>(_xlfn.XLOOKUP(WasteLog[[#This Row],[SKU]],Menu[SKU],Menu[UnitCost]))*WasteLog[[#This Row],[Qty]]</f>
        <v>96.22</v>
      </c>
    </row>
    <row r="90" spans="1:5" x14ac:dyDescent="0.3">
      <c r="A90" s="2">
        <v>45840</v>
      </c>
      <c r="B90" t="s">
        <v>416</v>
      </c>
      <c r="C90">
        <v>2</v>
      </c>
      <c r="D90" t="s">
        <v>511</v>
      </c>
      <c r="E90">
        <f>(_xlfn.XLOOKUP(WasteLog[[#This Row],[SKU]],Menu[SKU],Menu[UnitCost]))*WasteLog[[#This Row],[Qty]]</f>
        <v>192.44</v>
      </c>
    </row>
    <row r="91" spans="1:5" x14ac:dyDescent="0.3">
      <c r="A91" s="2">
        <v>45891</v>
      </c>
      <c r="B91" t="s">
        <v>401</v>
      </c>
      <c r="C91">
        <v>2</v>
      </c>
      <c r="D91" t="s">
        <v>512</v>
      </c>
      <c r="E91">
        <f>(_xlfn.XLOOKUP(WasteLog[[#This Row],[SKU]],Menu[SKU],Menu[UnitCost]))*WasteLog[[#This Row],[Qty]]</f>
        <v>51.6</v>
      </c>
    </row>
    <row r="92" spans="1:5" x14ac:dyDescent="0.3">
      <c r="A92" s="2">
        <v>45887</v>
      </c>
      <c r="B92" t="s">
        <v>410</v>
      </c>
      <c r="C92">
        <v>3</v>
      </c>
      <c r="D92" t="s">
        <v>509</v>
      </c>
      <c r="E92">
        <f>(_xlfn.XLOOKUP(WasteLog[[#This Row],[SKU]],Menu[SKU],Menu[UnitCost]))*WasteLog[[#This Row],[Qty]]</f>
        <v>24</v>
      </c>
    </row>
    <row r="93" spans="1:5" x14ac:dyDescent="0.3">
      <c r="A93" s="2">
        <v>45849</v>
      </c>
      <c r="B93" t="s">
        <v>405</v>
      </c>
      <c r="C93">
        <v>2</v>
      </c>
      <c r="D93" t="s">
        <v>509</v>
      </c>
      <c r="E93">
        <f>(_xlfn.XLOOKUP(WasteLog[[#This Row],[SKU]],Menu[SKU],Menu[UnitCost]))*WasteLog[[#This Row],[Qty]]</f>
        <v>148.13999999999999</v>
      </c>
    </row>
    <row r="94" spans="1:5" x14ac:dyDescent="0.3">
      <c r="A94" s="2">
        <v>45862</v>
      </c>
      <c r="B94" t="s">
        <v>408</v>
      </c>
      <c r="C94">
        <v>1</v>
      </c>
      <c r="D94" t="s">
        <v>511</v>
      </c>
      <c r="E94">
        <f>(_xlfn.XLOOKUP(WasteLog[[#This Row],[SKU]],Menu[SKU],Menu[UnitCost]))*WasteLog[[#This Row],[Qty]]</f>
        <v>35.81</v>
      </c>
    </row>
    <row r="95" spans="1:5" x14ac:dyDescent="0.3">
      <c r="A95" s="2">
        <v>45873</v>
      </c>
      <c r="B95" t="s">
        <v>419</v>
      </c>
      <c r="C95">
        <v>4</v>
      </c>
      <c r="D95" t="s">
        <v>510</v>
      </c>
      <c r="E95">
        <f>(_xlfn.XLOOKUP(WasteLog[[#This Row],[SKU]],Menu[SKU],Menu[UnitCost]))*WasteLog[[#This Row],[Qty]]</f>
        <v>90.44</v>
      </c>
    </row>
    <row r="96" spans="1:5" x14ac:dyDescent="0.3">
      <c r="A96" s="2">
        <v>45846</v>
      </c>
      <c r="B96" t="s">
        <v>411</v>
      </c>
      <c r="C96">
        <v>3</v>
      </c>
      <c r="D96" t="s">
        <v>510</v>
      </c>
      <c r="E96">
        <f>(_xlfn.XLOOKUP(WasteLog[[#This Row],[SKU]],Menu[SKU],Menu[UnitCost]))*WasteLog[[#This Row],[Qty]]</f>
        <v>28.14</v>
      </c>
    </row>
    <row r="97" spans="1:5" x14ac:dyDescent="0.3">
      <c r="A97" s="2">
        <v>45883</v>
      </c>
      <c r="B97" t="s">
        <v>412</v>
      </c>
      <c r="C97">
        <v>1</v>
      </c>
      <c r="D97" t="s">
        <v>509</v>
      </c>
      <c r="E97">
        <f>(_xlfn.XLOOKUP(WasteLog[[#This Row],[SKU]],Menu[SKU],Menu[UnitCost]))*WasteLog[[#This Row],[Qty]]</f>
        <v>29.14</v>
      </c>
    </row>
    <row r="98" spans="1:5" x14ac:dyDescent="0.3">
      <c r="A98" s="2">
        <v>45860</v>
      </c>
      <c r="B98" t="s">
        <v>401</v>
      </c>
      <c r="C98">
        <v>1</v>
      </c>
      <c r="D98" t="s">
        <v>512</v>
      </c>
      <c r="E98">
        <f>(_xlfn.XLOOKUP(WasteLog[[#This Row],[SKU]],Menu[SKU],Menu[UnitCost]))*WasteLog[[#This Row],[Qty]]</f>
        <v>25.8</v>
      </c>
    </row>
    <row r="99" spans="1:5" x14ac:dyDescent="0.3">
      <c r="A99" s="2">
        <v>45842</v>
      </c>
      <c r="B99" t="s">
        <v>417</v>
      </c>
      <c r="C99">
        <v>1</v>
      </c>
      <c r="D99" t="s">
        <v>510</v>
      </c>
      <c r="E99">
        <f>(_xlfn.XLOOKUP(WasteLog[[#This Row],[SKU]],Menu[SKU],Menu[UnitCost]))*WasteLog[[#This Row],[Qty]]</f>
        <v>80.92</v>
      </c>
    </row>
    <row r="100" spans="1:5" x14ac:dyDescent="0.3">
      <c r="A100" s="2">
        <v>45875</v>
      </c>
      <c r="B100" t="s">
        <v>404</v>
      </c>
      <c r="C100">
        <v>2</v>
      </c>
      <c r="D100" t="s">
        <v>510</v>
      </c>
      <c r="E100">
        <f>(_xlfn.XLOOKUP(WasteLog[[#This Row],[SKU]],Menu[SKU],Menu[UnitCost]))*WasteLog[[#This Row],[Qty]]</f>
        <v>23.68</v>
      </c>
    </row>
    <row r="101" spans="1:5" x14ac:dyDescent="0.3">
      <c r="A101" s="2">
        <v>45844</v>
      </c>
      <c r="B101" t="s">
        <v>416</v>
      </c>
      <c r="C101">
        <v>3</v>
      </c>
      <c r="D101" t="s">
        <v>509</v>
      </c>
      <c r="E101">
        <f>(_xlfn.XLOOKUP(WasteLog[[#This Row],[SKU]],Menu[SKU],Menu[UnitCost]))*WasteLog[[#This Row],[Qty]]</f>
        <v>288.65999999999997</v>
      </c>
    </row>
    <row r="102" spans="1:5" x14ac:dyDescent="0.3">
      <c r="A102" s="2">
        <v>45847</v>
      </c>
      <c r="B102" t="s">
        <v>403</v>
      </c>
      <c r="C102">
        <v>1</v>
      </c>
      <c r="D102" t="s">
        <v>510</v>
      </c>
      <c r="E102">
        <f>(_xlfn.XLOOKUP(WasteLog[[#This Row],[SKU]],Menu[SKU],Menu[UnitCost]))*WasteLog[[#This Row],[Qty]]</f>
        <v>38.229999999999997</v>
      </c>
    </row>
    <row r="103" spans="1:5" x14ac:dyDescent="0.3">
      <c r="A103" s="2">
        <v>45871</v>
      </c>
      <c r="B103" t="s">
        <v>412</v>
      </c>
      <c r="C103">
        <v>2</v>
      </c>
      <c r="D103" t="s">
        <v>512</v>
      </c>
      <c r="E103">
        <f>(_xlfn.XLOOKUP(WasteLog[[#This Row],[SKU]],Menu[SKU],Menu[UnitCost]))*WasteLog[[#This Row],[Qty]]</f>
        <v>58.28</v>
      </c>
    </row>
    <row r="104" spans="1:5" x14ac:dyDescent="0.3">
      <c r="A104" s="2">
        <v>45890</v>
      </c>
      <c r="B104" t="s">
        <v>415</v>
      </c>
      <c r="C104">
        <v>2</v>
      </c>
      <c r="D104" t="s">
        <v>509</v>
      </c>
      <c r="E104">
        <f>(_xlfn.XLOOKUP(WasteLog[[#This Row],[SKU]],Menu[SKU],Menu[UnitCost]))*WasteLog[[#This Row],[Qty]]</f>
        <v>242.48</v>
      </c>
    </row>
    <row r="105" spans="1:5" x14ac:dyDescent="0.3">
      <c r="A105" s="2">
        <v>45859</v>
      </c>
      <c r="B105" t="s">
        <v>412</v>
      </c>
      <c r="C105">
        <v>2</v>
      </c>
      <c r="D105" t="s">
        <v>510</v>
      </c>
      <c r="E105">
        <f>(_xlfn.XLOOKUP(WasteLog[[#This Row],[SKU]],Menu[SKU],Menu[UnitCost]))*WasteLog[[#This Row],[Qty]]</f>
        <v>58.28</v>
      </c>
    </row>
    <row r="106" spans="1:5" x14ac:dyDescent="0.3">
      <c r="A106" s="2">
        <v>45865</v>
      </c>
      <c r="B106" t="s">
        <v>415</v>
      </c>
      <c r="C106">
        <v>1</v>
      </c>
      <c r="D106" t="s">
        <v>512</v>
      </c>
      <c r="E106">
        <f>(_xlfn.XLOOKUP(WasteLog[[#This Row],[SKU]],Menu[SKU],Menu[UnitCost]))*WasteLog[[#This Row],[Qty]]</f>
        <v>121.24</v>
      </c>
    </row>
    <row r="107" spans="1:5" x14ac:dyDescent="0.3">
      <c r="A107" s="2">
        <v>45866</v>
      </c>
      <c r="B107" t="s">
        <v>414</v>
      </c>
      <c r="C107">
        <v>3</v>
      </c>
      <c r="D107" t="s">
        <v>512</v>
      </c>
      <c r="E107">
        <f>(_xlfn.XLOOKUP(WasteLog[[#This Row],[SKU]],Menu[SKU],Menu[UnitCost]))*WasteLog[[#This Row],[Qty]]</f>
        <v>146.91</v>
      </c>
    </row>
    <row r="108" spans="1:5" x14ac:dyDescent="0.3">
      <c r="A108" s="2">
        <v>45856</v>
      </c>
      <c r="B108" t="s">
        <v>402</v>
      </c>
      <c r="C108">
        <v>4</v>
      </c>
      <c r="D108" t="s">
        <v>512</v>
      </c>
      <c r="E108">
        <f>(_xlfn.XLOOKUP(WasteLog[[#This Row],[SKU]],Menu[SKU],Menu[UnitCost]))*WasteLog[[#This Row],[Qty]]</f>
        <v>56.72</v>
      </c>
    </row>
    <row r="109" spans="1:5" x14ac:dyDescent="0.3">
      <c r="A109" s="2">
        <v>45859</v>
      </c>
      <c r="B109" t="s">
        <v>412</v>
      </c>
      <c r="C109">
        <v>2</v>
      </c>
      <c r="D109" t="s">
        <v>509</v>
      </c>
      <c r="E109">
        <f>(_xlfn.XLOOKUP(WasteLog[[#This Row],[SKU]],Menu[SKU],Menu[UnitCost]))*WasteLog[[#This Row],[Qty]]</f>
        <v>58.28</v>
      </c>
    </row>
    <row r="110" spans="1:5" x14ac:dyDescent="0.3">
      <c r="A110" s="2">
        <v>45877</v>
      </c>
      <c r="B110" t="s">
        <v>417</v>
      </c>
      <c r="C110">
        <v>1</v>
      </c>
      <c r="D110" t="s">
        <v>511</v>
      </c>
      <c r="E110">
        <f>(_xlfn.XLOOKUP(WasteLog[[#This Row],[SKU]],Menu[SKU],Menu[UnitCost]))*WasteLog[[#This Row],[Qty]]</f>
        <v>80.92</v>
      </c>
    </row>
    <row r="111" spans="1:5" x14ac:dyDescent="0.3">
      <c r="A111" s="2">
        <v>45854</v>
      </c>
      <c r="B111" t="s">
        <v>412</v>
      </c>
      <c r="C111">
        <v>2</v>
      </c>
      <c r="D111" t="s">
        <v>509</v>
      </c>
      <c r="E111">
        <f>(_xlfn.XLOOKUP(WasteLog[[#This Row],[SKU]],Menu[SKU],Menu[UnitCost]))*WasteLog[[#This Row],[Qty]]</f>
        <v>58.28</v>
      </c>
    </row>
    <row r="112" spans="1:5" x14ac:dyDescent="0.3">
      <c r="A112" s="2">
        <v>45894</v>
      </c>
      <c r="B112" t="s">
        <v>404</v>
      </c>
      <c r="C112">
        <v>3</v>
      </c>
      <c r="D112" t="s">
        <v>511</v>
      </c>
      <c r="E112">
        <f>(_xlfn.XLOOKUP(WasteLog[[#This Row],[SKU]],Menu[SKU],Menu[UnitCost]))*WasteLog[[#This Row],[Qty]]</f>
        <v>35.519999999999996</v>
      </c>
    </row>
    <row r="113" spans="1:5" x14ac:dyDescent="0.3">
      <c r="A113" s="2">
        <v>45876</v>
      </c>
      <c r="B113" t="s">
        <v>407</v>
      </c>
      <c r="C113">
        <v>4</v>
      </c>
      <c r="D113" t="s">
        <v>512</v>
      </c>
      <c r="E113">
        <f>(_xlfn.XLOOKUP(WasteLog[[#This Row],[SKU]],Menu[SKU],Menu[UnitCost]))*WasteLog[[#This Row],[Qty]]</f>
        <v>448.32</v>
      </c>
    </row>
    <row r="114" spans="1:5" x14ac:dyDescent="0.3">
      <c r="A114" s="2">
        <v>45887</v>
      </c>
      <c r="B114" t="s">
        <v>411</v>
      </c>
      <c r="C114">
        <v>1</v>
      </c>
      <c r="D114" t="s">
        <v>512</v>
      </c>
      <c r="E114">
        <f>(_xlfn.XLOOKUP(WasteLog[[#This Row],[SKU]],Menu[SKU],Menu[UnitCost]))*WasteLog[[#This Row],[Qty]]</f>
        <v>9.3800000000000008</v>
      </c>
    </row>
    <row r="115" spans="1:5" x14ac:dyDescent="0.3">
      <c r="A115" s="2">
        <v>45848</v>
      </c>
      <c r="B115" t="s">
        <v>410</v>
      </c>
      <c r="C115">
        <v>1</v>
      </c>
      <c r="D115" t="s">
        <v>509</v>
      </c>
      <c r="E115">
        <f>(_xlfn.XLOOKUP(WasteLog[[#This Row],[SKU]],Menu[SKU],Menu[UnitCost]))*WasteLog[[#This Row],[Qty]]</f>
        <v>8</v>
      </c>
    </row>
    <row r="116" spans="1:5" x14ac:dyDescent="0.3">
      <c r="A116" s="2">
        <v>45846</v>
      </c>
      <c r="B116" t="s">
        <v>402</v>
      </c>
      <c r="C116">
        <v>2</v>
      </c>
      <c r="D116" t="s">
        <v>510</v>
      </c>
      <c r="E116">
        <f>(_xlfn.XLOOKUP(WasteLog[[#This Row],[SKU]],Menu[SKU],Menu[UnitCost]))*WasteLog[[#This Row],[Qty]]</f>
        <v>28.36</v>
      </c>
    </row>
    <row r="117" spans="1:5" x14ac:dyDescent="0.3">
      <c r="A117" s="2">
        <v>45870</v>
      </c>
      <c r="B117" t="s">
        <v>416</v>
      </c>
      <c r="C117">
        <v>1</v>
      </c>
      <c r="D117" t="s">
        <v>511</v>
      </c>
      <c r="E117">
        <f>(_xlfn.XLOOKUP(WasteLog[[#This Row],[SKU]],Menu[SKU],Menu[UnitCost]))*WasteLog[[#This Row],[Qty]]</f>
        <v>96.22</v>
      </c>
    </row>
    <row r="118" spans="1:5" x14ac:dyDescent="0.3">
      <c r="A118" s="2">
        <v>45882</v>
      </c>
      <c r="B118" t="s">
        <v>403</v>
      </c>
      <c r="C118">
        <v>2</v>
      </c>
      <c r="D118" t="s">
        <v>509</v>
      </c>
      <c r="E118">
        <f>(_xlfn.XLOOKUP(WasteLog[[#This Row],[SKU]],Menu[SKU],Menu[UnitCost]))*WasteLog[[#This Row],[Qty]]</f>
        <v>76.459999999999994</v>
      </c>
    </row>
    <row r="119" spans="1:5" x14ac:dyDescent="0.3">
      <c r="A119" s="2">
        <v>45873</v>
      </c>
      <c r="B119" t="s">
        <v>414</v>
      </c>
      <c r="C119">
        <v>4</v>
      </c>
      <c r="D119" t="s">
        <v>510</v>
      </c>
      <c r="E119">
        <f>(_xlfn.XLOOKUP(WasteLog[[#This Row],[SKU]],Menu[SKU],Menu[UnitCost]))*WasteLog[[#This Row],[Qty]]</f>
        <v>195.88</v>
      </c>
    </row>
    <row r="120" spans="1:5" x14ac:dyDescent="0.3">
      <c r="A120" s="2">
        <v>45880</v>
      </c>
      <c r="B120" t="s">
        <v>418</v>
      </c>
      <c r="C120">
        <v>4</v>
      </c>
      <c r="D120" t="s">
        <v>510</v>
      </c>
      <c r="E120">
        <f>(_xlfn.XLOOKUP(WasteLog[[#This Row],[SKU]],Menu[SKU],Menu[UnitCost]))*WasteLog[[#This Row],[Qty]]</f>
        <v>62.04</v>
      </c>
    </row>
    <row r="121" spans="1:5" x14ac:dyDescent="0.3">
      <c r="A121" s="2">
        <v>45847</v>
      </c>
      <c r="B121" t="s">
        <v>401</v>
      </c>
      <c r="C121">
        <v>2</v>
      </c>
      <c r="D121" t="s">
        <v>509</v>
      </c>
      <c r="E121">
        <f>(_xlfn.XLOOKUP(WasteLog[[#This Row],[SKU]],Menu[SKU],Menu[UnitCost]))*WasteLog[[#This Row],[Qty]]</f>
        <v>51.6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CD37-1DDD-40DA-AF88-A74D78294EE7}">
  <dimension ref="A1:D221"/>
  <sheetViews>
    <sheetView workbookViewId="0">
      <selection activeCell="D96" sqref="D96"/>
    </sheetView>
  </sheetViews>
  <sheetFormatPr defaultRowHeight="14.4" x14ac:dyDescent="0.3"/>
  <cols>
    <col min="1" max="1" width="10.33203125" bestFit="1" customWidth="1"/>
    <col min="2" max="2" width="15" bestFit="1" customWidth="1"/>
    <col min="3" max="3" width="8.21875" customWidth="1"/>
    <col min="4" max="4" width="11.21875" customWidth="1"/>
  </cols>
  <sheetData>
    <row r="1" spans="1:4" x14ac:dyDescent="0.3">
      <c r="A1" s="3" t="s">
        <v>507</v>
      </c>
      <c r="B1" s="3" t="s">
        <v>2</v>
      </c>
      <c r="C1" s="3" t="s">
        <v>513</v>
      </c>
      <c r="D1" s="3" t="s">
        <v>514</v>
      </c>
    </row>
    <row r="2" spans="1:4" x14ac:dyDescent="0.3">
      <c r="A2" s="2">
        <v>45846</v>
      </c>
      <c r="B2" t="s">
        <v>27</v>
      </c>
      <c r="C2">
        <v>4</v>
      </c>
      <c r="D2" t="s">
        <v>515</v>
      </c>
    </row>
    <row r="3" spans="1:4" x14ac:dyDescent="0.3">
      <c r="A3" s="2">
        <v>45875</v>
      </c>
      <c r="B3" t="s">
        <v>9</v>
      </c>
      <c r="C3">
        <v>3</v>
      </c>
      <c r="D3" t="s">
        <v>516</v>
      </c>
    </row>
    <row r="4" spans="1:4" x14ac:dyDescent="0.3">
      <c r="A4" s="2">
        <v>45869</v>
      </c>
      <c r="B4" t="s">
        <v>15</v>
      </c>
      <c r="C4">
        <v>2</v>
      </c>
      <c r="D4" t="s">
        <v>517</v>
      </c>
    </row>
    <row r="5" spans="1:4" x14ac:dyDescent="0.3">
      <c r="A5" s="2">
        <v>45839</v>
      </c>
      <c r="B5" t="s">
        <v>15</v>
      </c>
      <c r="C5">
        <v>5</v>
      </c>
      <c r="D5" t="s">
        <v>518</v>
      </c>
    </row>
    <row r="6" spans="1:4" x14ac:dyDescent="0.3">
      <c r="A6" s="2">
        <v>45865</v>
      </c>
      <c r="B6" t="s">
        <v>27</v>
      </c>
      <c r="C6">
        <v>3</v>
      </c>
      <c r="D6" t="s">
        <v>517</v>
      </c>
    </row>
    <row r="7" spans="1:4" x14ac:dyDescent="0.3">
      <c r="A7" s="2">
        <v>45857</v>
      </c>
      <c r="B7" t="s">
        <v>15</v>
      </c>
      <c r="C7">
        <v>5</v>
      </c>
      <c r="D7" t="s">
        <v>516</v>
      </c>
    </row>
    <row r="8" spans="1:4" x14ac:dyDescent="0.3">
      <c r="A8" s="2">
        <v>45849</v>
      </c>
      <c r="B8" t="s">
        <v>27</v>
      </c>
      <c r="C8">
        <v>2</v>
      </c>
      <c r="D8" t="s">
        <v>518</v>
      </c>
    </row>
    <row r="9" spans="1:4" x14ac:dyDescent="0.3">
      <c r="A9" s="2">
        <v>45892</v>
      </c>
      <c r="B9" t="s">
        <v>27</v>
      </c>
      <c r="C9">
        <v>4</v>
      </c>
      <c r="D9" t="s">
        <v>516</v>
      </c>
    </row>
    <row r="10" spans="1:4" x14ac:dyDescent="0.3">
      <c r="A10" s="2">
        <v>45840</v>
      </c>
      <c r="B10" t="s">
        <v>15</v>
      </c>
      <c r="C10">
        <v>5</v>
      </c>
      <c r="D10" t="s">
        <v>516</v>
      </c>
    </row>
    <row r="11" spans="1:4" x14ac:dyDescent="0.3">
      <c r="A11" s="2">
        <v>45847</v>
      </c>
      <c r="B11" t="s">
        <v>9</v>
      </c>
      <c r="C11">
        <v>3</v>
      </c>
      <c r="D11" t="s">
        <v>515</v>
      </c>
    </row>
    <row r="12" spans="1:4" x14ac:dyDescent="0.3">
      <c r="A12" s="2">
        <v>45875</v>
      </c>
      <c r="B12" t="s">
        <v>27</v>
      </c>
      <c r="C12">
        <v>3</v>
      </c>
      <c r="D12" t="s">
        <v>519</v>
      </c>
    </row>
    <row r="13" spans="1:4" x14ac:dyDescent="0.3">
      <c r="A13" s="2">
        <v>45868</v>
      </c>
      <c r="B13" t="s">
        <v>15</v>
      </c>
      <c r="C13">
        <v>5</v>
      </c>
      <c r="D13" t="s">
        <v>515</v>
      </c>
    </row>
    <row r="14" spans="1:4" x14ac:dyDescent="0.3">
      <c r="A14" s="2">
        <v>45845</v>
      </c>
      <c r="B14" t="s">
        <v>27</v>
      </c>
      <c r="C14">
        <v>5</v>
      </c>
      <c r="D14" t="s">
        <v>519</v>
      </c>
    </row>
    <row r="15" spans="1:4" x14ac:dyDescent="0.3">
      <c r="A15" s="2">
        <v>45879</v>
      </c>
      <c r="B15" t="s">
        <v>15</v>
      </c>
      <c r="C15">
        <v>5</v>
      </c>
      <c r="D15" t="s">
        <v>517</v>
      </c>
    </row>
    <row r="16" spans="1:4" x14ac:dyDescent="0.3">
      <c r="A16" s="2">
        <v>45874</v>
      </c>
      <c r="B16" t="s">
        <v>15</v>
      </c>
      <c r="C16">
        <v>3</v>
      </c>
      <c r="D16" t="s">
        <v>520</v>
      </c>
    </row>
    <row r="17" spans="1:4" x14ac:dyDescent="0.3">
      <c r="A17" s="2">
        <v>45896</v>
      </c>
      <c r="B17" t="s">
        <v>9</v>
      </c>
      <c r="C17">
        <v>3</v>
      </c>
      <c r="D17" t="s">
        <v>520</v>
      </c>
    </row>
    <row r="18" spans="1:4" x14ac:dyDescent="0.3">
      <c r="A18" s="2">
        <v>45849</v>
      </c>
      <c r="B18" t="s">
        <v>27</v>
      </c>
      <c r="C18">
        <v>4</v>
      </c>
    </row>
    <row r="19" spans="1:4" x14ac:dyDescent="0.3">
      <c r="A19" s="2">
        <v>45877</v>
      </c>
      <c r="B19" t="s">
        <v>15</v>
      </c>
      <c r="C19">
        <v>5</v>
      </c>
      <c r="D19" t="s">
        <v>518</v>
      </c>
    </row>
    <row r="20" spans="1:4" x14ac:dyDescent="0.3">
      <c r="A20" s="2">
        <v>45881</v>
      </c>
      <c r="B20" t="s">
        <v>15</v>
      </c>
      <c r="C20">
        <v>5</v>
      </c>
      <c r="D20" t="s">
        <v>515</v>
      </c>
    </row>
    <row r="21" spans="1:4" x14ac:dyDescent="0.3">
      <c r="A21" s="2">
        <v>45868</v>
      </c>
      <c r="B21" t="s">
        <v>15</v>
      </c>
      <c r="C21">
        <v>3</v>
      </c>
      <c r="D21" t="s">
        <v>520</v>
      </c>
    </row>
    <row r="22" spans="1:4" x14ac:dyDescent="0.3">
      <c r="A22" s="2">
        <v>45869</v>
      </c>
      <c r="B22" t="s">
        <v>27</v>
      </c>
      <c r="C22">
        <v>5</v>
      </c>
      <c r="D22" t="s">
        <v>518</v>
      </c>
    </row>
    <row r="23" spans="1:4" x14ac:dyDescent="0.3">
      <c r="A23" s="2">
        <v>45867</v>
      </c>
      <c r="B23" t="s">
        <v>9</v>
      </c>
      <c r="C23">
        <v>5</v>
      </c>
      <c r="D23" t="s">
        <v>521</v>
      </c>
    </row>
    <row r="24" spans="1:4" x14ac:dyDescent="0.3">
      <c r="A24" s="2">
        <v>45870</v>
      </c>
      <c r="B24" t="s">
        <v>15</v>
      </c>
      <c r="C24">
        <v>4</v>
      </c>
      <c r="D24" t="s">
        <v>516</v>
      </c>
    </row>
    <row r="25" spans="1:4" x14ac:dyDescent="0.3">
      <c r="A25" s="2">
        <v>45874</v>
      </c>
      <c r="B25" t="s">
        <v>27</v>
      </c>
      <c r="C25">
        <v>3</v>
      </c>
      <c r="D25" t="s">
        <v>515</v>
      </c>
    </row>
    <row r="26" spans="1:4" x14ac:dyDescent="0.3">
      <c r="A26" s="2">
        <v>45892</v>
      </c>
      <c r="B26" t="s">
        <v>27</v>
      </c>
      <c r="C26">
        <v>5</v>
      </c>
      <c r="D26" t="s">
        <v>521</v>
      </c>
    </row>
    <row r="27" spans="1:4" x14ac:dyDescent="0.3">
      <c r="A27" s="2">
        <v>45881</v>
      </c>
      <c r="B27" t="s">
        <v>15</v>
      </c>
      <c r="C27">
        <v>2</v>
      </c>
      <c r="D27" t="s">
        <v>516</v>
      </c>
    </row>
    <row r="28" spans="1:4" x14ac:dyDescent="0.3">
      <c r="A28" s="2">
        <v>45887</v>
      </c>
      <c r="B28" t="s">
        <v>27</v>
      </c>
      <c r="C28">
        <v>4</v>
      </c>
      <c r="D28" t="s">
        <v>521</v>
      </c>
    </row>
    <row r="29" spans="1:4" x14ac:dyDescent="0.3">
      <c r="A29" s="2">
        <v>45863</v>
      </c>
      <c r="B29" t="s">
        <v>9</v>
      </c>
      <c r="C29">
        <v>3</v>
      </c>
      <c r="D29" t="s">
        <v>516</v>
      </c>
    </row>
    <row r="30" spans="1:4" x14ac:dyDescent="0.3">
      <c r="A30" s="2">
        <v>45875</v>
      </c>
      <c r="B30" t="s">
        <v>27</v>
      </c>
      <c r="C30">
        <v>5</v>
      </c>
      <c r="D30" t="s">
        <v>520</v>
      </c>
    </row>
    <row r="31" spans="1:4" x14ac:dyDescent="0.3">
      <c r="A31" s="2">
        <v>45895</v>
      </c>
      <c r="B31" t="s">
        <v>15</v>
      </c>
      <c r="C31">
        <v>5</v>
      </c>
    </row>
    <row r="32" spans="1:4" x14ac:dyDescent="0.3">
      <c r="A32" s="2">
        <v>45873</v>
      </c>
      <c r="B32" t="s">
        <v>9</v>
      </c>
      <c r="C32">
        <v>2</v>
      </c>
      <c r="D32" t="s">
        <v>517</v>
      </c>
    </row>
    <row r="33" spans="1:4" x14ac:dyDescent="0.3">
      <c r="A33" s="2">
        <v>45863</v>
      </c>
      <c r="B33" t="s">
        <v>9</v>
      </c>
      <c r="C33">
        <v>4</v>
      </c>
      <c r="D33" t="s">
        <v>515</v>
      </c>
    </row>
    <row r="34" spans="1:4" x14ac:dyDescent="0.3">
      <c r="A34" s="2">
        <v>45843</v>
      </c>
      <c r="B34" t="s">
        <v>9</v>
      </c>
      <c r="C34">
        <v>5</v>
      </c>
      <c r="D34" t="s">
        <v>518</v>
      </c>
    </row>
    <row r="35" spans="1:4" x14ac:dyDescent="0.3">
      <c r="A35" s="2">
        <v>45880</v>
      </c>
      <c r="B35" t="s">
        <v>27</v>
      </c>
      <c r="C35">
        <v>2</v>
      </c>
      <c r="D35" t="s">
        <v>517</v>
      </c>
    </row>
    <row r="36" spans="1:4" x14ac:dyDescent="0.3">
      <c r="A36" s="2">
        <v>45864</v>
      </c>
      <c r="B36" t="s">
        <v>27</v>
      </c>
      <c r="C36">
        <v>3</v>
      </c>
      <c r="D36" t="s">
        <v>520</v>
      </c>
    </row>
    <row r="37" spans="1:4" x14ac:dyDescent="0.3">
      <c r="A37" s="2">
        <v>45875</v>
      </c>
      <c r="B37" t="s">
        <v>15</v>
      </c>
      <c r="C37">
        <v>5</v>
      </c>
      <c r="D37" t="s">
        <v>515</v>
      </c>
    </row>
    <row r="38" spans="1:4" x14ac:dyDescent="0.3">
      <c r="A38" s="2">
        <v>45872</v>
      </c>
      <c r="B38" t="s">
        <v>27</v>
      </c>
      <c r="C38">
        <v>5</v>
      </c>
      <c r="D38" t="s">
        <v>517</v>
      </c>
    </row>
    <row r="39" spans="1:4" x14ac:dyDescent="0.3">
      <c r="A39" s="2">
        <v>45867</v>
      </c>
      <c r="B39" t="s">
        <v>15</v>
      </c>
      <c r="C39">
        <v>2</v>
      </c>
      <c r="D39" t="s">
        <v>517</v>
      </c>
    </row>
    <row r="40" spans="1:4" x14ac:dyDescent="0.3">
      <c r="A40" s="2">
        <v>45852</v>
      </c>
      <c r="B40" t="s">
        <v>15</v>
      </c>
      <c r="C40">
        <v>4</v>
      </c>
      <c r="D40" t="s">
        <v>518</v>
      </c>
    </row>
    <row r="41" spans="1:4" x14ac:dyDescent="0.3">
      <c r="A41" s="2">
        <v>45883</v>
      </c>
      <c r="B41" t="s">
        <v>27</v>
      </c>
      <c r="C41">
        <v>5</v>
      </c>
      <c r="D41" t="s">
        <v>518</v>
      </c>
    </row>
    <row r="42" spans="1:4" x14ac:dyDescent="0.3">
      <c r="A42" s="2">
        <v>45885</v>
      </c>
      <c r="B42" t="s">
        <v>27</v>
      </c>
      <c r="C42">
        <v>5</v>
      </c>
      <c r="D42" t="s">
        <v>520</v>
      </c>
    </row>
    <row r="43" spans="1:4" x14ac:dyDescent="0.3">
      <c r="A43" s="2">
        <v>45869</v>
      </c>
      <c r="B43" t="s">
        <v>27</v>
      </c>
      <c r="C43">
        <v>4</v>
      </c>
    </row>
    <row r="44" spans="1:4" x14ac:dyDescent="0.3">
      <c r="A44" s="2">
        <v>45850</v>
      </c>
      <c r="B44" t="s">
        <v>27</v>
      </c>
      <c r="C44">
        <v>4</v>
      </c>
      <c r="D44" t="s">
        <v>517</v>
      </c>
    </row>
    <row r="45" spans="1:4" x14ac:dyDescent="0.3">
      <c r="A45" s="2">
        <v>45854</v>
      </c>
      <c r="B45" t="s">
        <v>9</v>
      </c>
      <c r="C45">
        <v>3</v>
      </c>
      <c r="D45" t="s">
        <v>515</v>
      </c>
    </row>
    <row r="46" spans="1:4" x14ac:dyDescent="0.3">
      <c r="A46" s="2">
        <v>45892</v>
      </c>
      <c r="B46" t="s">
        <v>27</v>
      </c>
      <c r="C46">
        <v>4</v>
      </c>
      <c r="D46" t="s">
        <v>516</v>
      </c>
    </row>
    <row r="47" spans="1:4" x14ac:dyDescent="0.3">
      <c r="A47" s="2">
        <v>45883</v>
      </c>
      <c r="B47" t="s">
        <v>27</v>
      </c>
      <c r="C47">
        <v>5</v>
      </c>
      <c r="D47" t="s">
        <v>515</v>
      </c>
    </row>
    <row r="48" spans="1:4" x14ac:dyDescent="0.3">
      <c r="A48" s="2">
        <v>45857</v>
      </c>
      <c r="B48" t="s">
        <v>9</v>
      </c>
      <c r="C48">
        <v>5</v>
      </c>
      <c r="D48" t="s">
        <v>516</v>
      </c>
    </row>
    <row r="49" spans="1:4" x14ac:dyDescent="0.3">
      <c r="A49" s="2">
        <v>45841</v>
      </c>
      <c r="B49" t="s">
        <v>9</v>
      </c>
      <c r="C49">
        <v>3</v>
      </c>
      <c r="D49" t="s">
        <v>520</v>
      </c>
    </row>
    <row r="50" spans="1:4" x14ac:dyDescent="0.3">
      <c r="A50" s="2">
        <v>45896</v>
      </c>
      <c r="B50" t="s">
        <v>15</v>
      </c>
      <c r="C50">
        <v>5</v>
      </c>
    </row>
    <row r="51" spans="1:4" x14ac:dyDescent="0.3">
      <c r="A51" s="2">
        <v>45859</v>
      </c>
      <c r="B51" t="s">
        <v>27</v>
      </c>
      <c r="C51">
        <v>4</v>
      </c>
      <c r="D51" t="s">
        <v>517</v>
      </c>
    </row>
    <row r="52" spans="1:4" x14ac:dyDescent="0.3">
      <c r="A52" s="2">
        <v>45895</v>
      </c>
      <c r="B52" t="s">
        <v>27</v>
      </c>
      <c r="C52">
        <v>3</v>
      </c>
      <c r="D52" t="s">
        <v>518</v>
      </c>
    </row>
    <row r="53" spans="1:4" x14ac:dyDescent="0.3">
      <c r="A53" s="2">
        <v>45870</v>
      </c>
      <c r="B53" t="s">
        <v>27</v>
      </c>
      <c r="C53">
        <v>5</v>
      </c>
      <c r="D53" t="s">
        <v>517</v>
      </c>
    </row>
    <row r="54" spans="1:4" x14ac:dyDescent="0.3">
      <c r="A54" s="2">
        <v>45864</v>
      </c>
      <c r="B54" t="s">
        <v>9</v>
      </c>
      <c r="C54">
        <v>5</v>
      </c>
      <c r="D54" t="s">
        <v>518</v>
      </c>
    </row>
    <row r="55" spans="1:4" x14ac:dyDescent="0.3">
      <c r="A55" s="2">
        <v>45896</v>
      </c>
      <c r="B55" t="s">
        <v>15</v>
      </c>
      <c r="C55">
        <v>5</v>
      </c>
      <c r="D55" t="s">
        <v>517</v>
      </c>
    </row>
    <row r="56" spans="1:4" x14ac:dyDescent="0.3">
      <c r="A56" s="2">
        <v>45872</v>
      </c>
      <c r="B56" t="s">
        <v>15</v>
      </c>
      <c r="C56">
        <v>5</v>
      </c>
      <c r="D56" t="s">
        <v>515</v>
      </c>
    </row>
    <row r="57" spans="1:4" x14ac:dyDescent="0.3">
      <c r="A57" s="2">
        <v>45867</v>
      </c>
      <c r="B57" t="s">
        <v>9</v>
      </c>
      <c r="C57">
        <v>2</v>
      </c>
      <c r="D57" t="s">
        <v>515</v>
      </c>
    </row>
    <row r="58" spans="1:4" x14ac:dyDescent="0.3">
      <c r="A58" s="2">
        <v>45869</v>
      </c>
      <c r="B58" t="s">
        <v>27</v>
      </c>
      <c r="C58">
        <v>3</v>
      </c>
      <c r="D58" t="s">
        <v>519</v>
      </c>
    </row>
    <row r="59" spans="1:4" x14ac:dyDescent="0.3">
      <c r="A59" s="2">
        <v>45850</v>
      </c>
      <c r="B59" t="s">
        <v>27</v>
      </c>
      <c r="C59">
        <v>4</v>
      </c>
      <c r="D59" t="s">
        <v>515</v>
      </c>
    </row>
    <row r="60" spans="1:4" x14ac:dyDescent="0.3">
      <c r="A60" s="2">
        <v>45888</v>
      </c>
      <c r="B60" t="s">
        <v>15</v>
      </c>
      <c r="C60">
        <v>5</v>
      </c>
      <c r="D60" t="s">
        <v>515</v>
      </c>
    </row>
    <row r="61" spans="1:4" x14ac:dyDescent="0.3">
      <c r="A61" s="2">
        <v>45894</v>
      </c>
      <c r="B61" t="s">
        <v>15</v>
      </c>
      <c r="C61">
        <v>5</v>
      </c>
      <c r="D61" t="s">
        <v>515</v>
      </c>
    </row>
    <row r="62" spans="1:4" x14ac:dyDescent="0.3">
      <c r="A62" s="2">
        <v>45886</v>
      </c>
      <c r="B62" t="s">
        <v>9</v>
      </c>
      <c r="C62">
        <v>3</v>
      </c>
      <c r="D62" t="s">
        <v>515</v>
      </c>
    </row>
    <row r="63" spans="1:4" x14ac:dyDescent="0.3">
      <c r="A63" s="2">
        <v>45886</v>
      </c>
      <c r="B63" t="s">
        <v>15</v>
      </c>
      <c r="C63">
        <v>3</v>
      </c>
      <c r="D63" t="s">
        <v>515</v>
      </c>
    </row>
    <row r="64" spans="1:4" x14ac:dyDescent="0.3">
      <c r="A64" s="2">
        <v>45869</v>
      </c>
      <c r="B64" t="s">
        <v>15</v>
      </c>
      <c r="C64">
        <v>2</v>
      </c>
      <c r="D64" t="s">
        <v>518</v>
      </c>
    </row>
    <row r="65" spans="1:4" x14ac:dyDescent="0.3">
      <c r="A65" s="2">
        <v>45839</v>
      </c>
      <c r="B65" t="s">
        <v>15</v>
      </c>
      <c r="C65">
        <v>3</v>
      </c>
      <c r="D65" t="s">
        <v>521</v>
      </c>
    </row>
    <row r="66" spans="1:4" x14ac:dyDescent="0.3">
      <c r="A66" s="2">
        <v>45876</v>
      </c>
      <c r="B66" t="s">
        <v>9</v>
      </c>
      <c r="C66">
        <v>5</v>
      </c>
      <c r="D66" t="s">
        <v>516</v>
      </c>
    </row>
    <row r="67" spans="1:4" x14ac:dyDescent="0.3">
      <c r="A67" s="2">
        <v>45886</v>
      </c>
      <c r="B67" t="s">
        <v>15</v>
      </c>
      <c r="C67">
        <v>5</v>
      </c>
      <c r="D67" t="s">
        <v>520</v>
      </c>
    </row>
    <row r="68" spans="1:4" x14ac:dyDescent="0.3">
      <c r="A68" s="2">
        <v>45855</v>
      </c>
      <c r="B68" t="s">
        <v>27</v>
      </c>
      <c r="C68">
        <v>2</v>
      </c>
      <c r="D68" t="s">
        <v>521</v>
      </c>
    </row>
    <row r="69" spans="1:4" x14ac:dyDescent="0.3">
      <c r="A69" s="2">
        <v>45867</v>
      </c>
      <c r="B69" t="s">
        <v>27</v>
      </c>
      <c r="C69">
        <v>4</v>
      </c>
      <c r="D69" t="s">
        <v>521</v>
      </c>
    </row>
    <row r="70" spans="1:4" x14ac:dyDescent="0.3">
      <c r="A70" s="2">
        <v>45891</v>
      </c>
      <c r="B70" t="s">
        <v>15</v>
      </c>
      <c r="C70">
        <v>3</v>
      </c>
      <c r="D70" t="s">
        <v>520</v>
      </c>
    </row>
    <row r="71" spans="1:4" x14ac:dyDescent="0.3">
      <c r="A71" s="2">
        <v>45893</v>
      </c>
      <c r="B71" t="s">
        <v>9</v>
      </c>
      <c r="C71">
        <v>5</v>
      </c>
      <c r="D71" t="s">
        <v>517</v>
      </c>
    </row>
    <row r="72" spans="1:4" x14ac:dyDescent="0.3">
      <c r="A72" s="2">
        <v>45894</v>
      </c>
      <c r="B72" t="s">
        <v>27</v>
      </c>
      <c r="C72">
        <v>4</v>
      </c>
      <c r="D72" t="s">
        <v>518</v>
      </c>
    </row>
    <row r="73" spans="1:4" x14ac:dyDescent="0.3">
      <c r="A73" s="2">
        <v>45891</v>
      </c>
      <c r="B73" t="s">
        <v>27</v>
      </c>
      <c r="C73">
        <v>5</v>
      </c>
      <c r="D73" t="s">
        <v>521</v>
      </c>
    </row>
    <row r="74" spans="1:4" x14ac:dyDescent="0.3">
      <c r="A74" s="2">
        <v>45880</v>
      </c>
      <c r="B74" t="s">
        <v>27</v>
      </c>
      <c r="C74">
        <v>3</v>
      </c>
      <c r="D74" t="s">
        <v>519</v>
      </c>
    </row>
    <row r="75" spans="1:4" x14ac:dyDescent="0.3">
      <c r="A75" s="2">
        <v>45842</v>
      </c>
      <c r="B75" t="s">
        <v>15</v>
      </c>
      <c r="C75">
        <v>4</v>
      </c>
      <c r="D75" t="s">
        <v>518</v>
      </c>
    </row>
    <row r="76" spans="1:4" x14ac:dyDescent="0.3">
      <c r="A76" s="2">
        <v>45847</v>
      </c>
      <c r="B76" t="s">
        <v>15</v>
      </c>
      <c r="C76">
        <v>2</v>
      </c>
      <c r="D76" t="s">
        <v>521</v>
      </c>
    </row>
    <row r="77" spans="1:4" x14ac:dyDescent="0.3">
      <c r="A77" s="2">
        <v>45859</v>
      </c>
      <c r="B77" t="s">
        <v>9</v>
      </c>
      <c r="C77">
        <v>4</v>
      </c>
      <c r="D77" t="s">
        <v>516</v>
      </c>
    </row>
    <row r="78" spans="1:4" x14ac:dyDescent="0.3">
      <c r="A78" s="2">
        <v>45855</v>
      </c>
      <c r="B78" t="s">
        <v>9</v>
      </c>
      <c r="C78">
        <v>3</v>
      </c>
      <c r="D78" t="s">
        <v>521</v>
      </c>
    </row>
    <row r="79" spans="1:4" x14ac:dyDescent="0.3">
      <c r="A79" s="2">
        <v>45859</v>
      </c>
      <c r="B79" t="s">
        <v>27</v>
      </c>
      <c r="C79">
        <v>4</v>
      </c>
      <c r="D79" t="s">
        <v>519</v>
      </c>
    </row>
    <row r="80" spans="1:4" x14ac:dyDescent="0.3">
      <c r="A80" s="2">
        <v>45896</v>
      </c>
      <c r="B80" t="s">
        <v>9</v>
      </c>
      <c r="C80">
        <v>3</v>
      </c>
      <c r="D80" t="s">
        <v>518</v>
      </c>
    </row>
    <row r="81" spans="1:4" x14ac:dyDescent="0.3">
      <c r="A81" s="2">
        <v>45867</v>
      </c>
      <c r="B81" t="s">
        <v>15</v>
      </c>
      <c r="C81">
        <v>4</v>
      </c>
      <c r="D81" t="s">
        <v>517</v>
      </c>
    </row>
    <row r="82" spans="1:4" x14ac:dyDescent="0.3">
      <c r="A82" s="2">
        <v>45852</v>
      </c>
      <c r="B82" t="s">
        <v>15</v>
      </c>
      <c r="C82">
        <v>2</v>
      </c>
      <c r="D82" t="s">
        <v>519</v>
      </c>
    </row>
    <row r="83" spans="1:4" x14ac:dyDescent="0.3">
      <c r="A83" s="2">
        <v>45851</v>
      </c>
      <c r="B83" t="s">
        <v>9</v>
      </c>
      <c r="C83">
        <v>3</v>
      </c>
      <c r="D83" t="s">
        <v>521</v>
      </c>
    </row>
    <row r="84" spans="1:4" x14ac:dyDescent="0.3">
      <c r="A84" s="2">
        <v>45853</v>
      </c>
      <c r="B84" t="s">
        <v>9</v>
      </c>
      <c r="C84">
        <v>4</v>
      </c>
      <c r="D84" t="s">
        <v>521</v>
      </c>
    </row>
    <row r="85" spans="1:4" x14ac:dyDescent="0.3">
      <c r="A85" s="2">
        <v>45877</v>
      </c>
      <c r="B85" t="s">
        <v>15</v>
      </c>
      <c r="C85">
        <v>3</v>
      </c>
      <c r="D85" t="s">
        <v>519</v>
      </c>
    </row>
    <row r="86" spans="1:4" x14ac:dyDescent="0.3">
      <c r="A86" s="2">
        <v>45879</v>
      </c>
      <c r="B86" t="s">
        <v>15</v>
      </c>
      <c r="C86">
        <v>5</v>
      </c>
      <c r="D86" t="s">
        <v>517</v>
      </c>
    </row>
    <row r="87" spans="1:4" x14ac:dyDescent="0.3">
      <c r="A87" s="2">
        <v>45848</v>
      </c>
      <c r="B87" t="s">
        <v>15</v>
      </c>
      <c r="C87">
        <v>4</v>
      </c>
      <c r="D87" t="s">
        <v>518</v>
      </c>
    </row>
    <row r="88" spans="1:4" x14ac:dyDescent="0.3">
      <c r="A88" s="2">
        <v>45883</v>
      </c>
      <c r="B88" t="s">
        <v>15</v>
      </c>
      <c r="C88">
        <v>4</v>
      </c>
    </row>
    <row r="89" spans="1:4" x14ac:dyDescent="0.3">
      <c r="A89" s="2">
        <v>45848</v>
      </c>
      <c r="B89" t="s">
        <v>9</v>
      </c>
      <c r="C89">
        <v>5</v>
      </c>
      <c r="D89" t="s">
        <v>518</v>
      </c>
    </row>
    <row r="90" spans="1:4" x14ac:dyDescent="0.3">
      <c r="A90" s="2">
        <v>45845</v>
      </c>
      <c r="B90" t="s">
        <v>9</v>
      </c>
      <c r="C90">
        <v>5</v>
      </c>
      <c r="D90" t="s">
        <v>521</v>
      </c>
    </row>
    <row r="91" spans="1:4" x14ac:dyDescent="0.3">
      <c r="A91" s="2">
        <v>45880</v>
      </c>
      <c r="B91" t="s">
        <v>27</v>
      </c>
      <c r="C91">
        <v>5</v>
      </c>
      <c r="D91" t="s">
        <v>519</v>
      </c>
    </row>
    <row r="92" spans="1:4" x14ac:dyDescent="0.3">
      <c r="A92" s="2">
        <v>45870</v>
      </c>
      <c r="B92" t="s">
        <v>15</v>
      </c>
      <c r="C92">
        <v>4</v>
      </c>
      <c r="D92" t="s">
        <v>515</v>
      </c>
    </row>
    <row r="93" spans="1:4" x14ac:dyDescent="0.3">
      <c r="A93" s="2">
        <v>45893</v>
      </c>
      <c r="B93" t="s">
        <v>15</v>
      </c>
      <c r="C93">
        <v>4</v>
      </c>
    </row>
    <row r="94" spans="1:4" x14ac:dyDescent="0.3">
      <c r="A94" s="2">
        <v>45843</v>
      </c>
      <c r="B94" t="s">
        <v>27</v>
      </c>
      <c r="C94">
        <v>5</v>
      </c>
    </row>
    <row r="95" spans="1:4" x14ac:dyDescent="0.3">
      <c r="A95" s="2">
        <v>45851</v>
      </c>
      <c r="B95" t="s">
        <v>27</v>
      </c>
      <c r="C95">
        <v>5</v>
      </c>
      <c r="D95" t="s">
        <v>520</v>
      </c>
    </row>
    <row r="96" spans="1:4" x14ac:dyDescent="0.3">
      <c r="A96" s="2">
        <v>45839</v>
      </c>
      <c r="B96" t="s">
        <v>15</v>
      </c>
      <c r="C96">
        <v>3</v>
      </c>
      <c r="D96" t="s">
        <v>515</v>
      </c>
    </row>
    <row r="97" spans="1:4" x14ac:dyDescent="0.3">
      <c r="A97" s="2">
        <v>45868</v>
      </c>
      <c r="B97" t="s">
        <v>27</v>
      </c>
      <c r="C97">
        <v>4</v>
      </c>
      <c r="D97" t="s">
        <v>517</v>
      </c>
    </row>
    <row r="98" spans="1:4" x14ac:dyDescent="0.3">
      <c r="A98" s="2">
        <v>45873</v>
      </c>
      <c r="B98" t="s">
        <v>15</v>
      </c>
      <c r="C98">
        <v>2</v>
      </c>
      <c r="D98" t="s">
        <v>518</v>
      </c>
    </row>
    <row r="99" spans="1:4" x14ac:dyDescent="0.3">
      <c r="A99" s="2">
        <v>45855</v>
      </c>
      <c r="B99" t="s">
        <v>27</v>
      </c>
      <c r="C99">
        <v>5</v>
      </c>
      <c r="D99" t="s">
        <v>519</v>
      </c>
    </row>
    <row r="100" spans="1:4" x14ac:dyDescent="0.3">
      <c r="A100" s="2">
        <v>45861</v>
      </c>
      <c r="B100" t="s">
        <v>15</v>
      </c>
      <c r="C100">
        <v>2</v>
      </c>
      <c r="D100" t="s">
        <v>517</v>
      </c>
    </row>
    <row r="101" spans="1:4" x14ac:dyDescent="0.3">
      <c r="A101" s="2">
        <v>45839</v>
      </c>
      <c r="B101" t="s">
        <v>27</v>
      </c>
      <c r="C101">
        <v>5</v>
      </c>
      <c r="D101" t="s">
        <v>517</v>
      </c>
    </row>
    <row r="102" spans="1:4" x14ac:dyDescent="0.3">
      <c r="A102" s="2">
        <v>45851</v>
      </c>
      <c r="B102" t="s">
        <v>9</v>
      </c>
      <c r="C102">
        <v>3</v>
      </c>
      <c r="D102" t="s">
        <v>520</v>
      </c>
    </row>
    <row r="103" spans="1:4" x14ac:dyDescent="0.3">
      <c r="A103" s="2">
        <v>45839</v>
      </c>
      <c r="B103" t="s">
        <v>27</v>
      </c>
      <c r="C103">
        <v>4</v>
      </c>
      <c r="D103" t="s">
        <v>517</v>
      </c>
    </row>
    <row r="104" spans="1:4" x14ac:dyDescent="0.3">
      <c r="A104" s="2">
        <v>45880</v>
      </c>
      <c r="B104" t="s">
        <v>9</v>
      </c>
      <c r="C104">
        <v>3</v>
      </c>
      <c r="D104" t="s">
        <v>520</v>
      </c>
    </row>
    <row r="105" spans="1:4" x14ac:dyDescent="0.3">
      <c r="A105" s="2">
        <v>45845</v>
      </c>
      <c r="B105" t="s">
        <v>27</v>
      </c>
      <c r="C105">
        <v>5</v>
      </c>
      <c r="D105" t="s">
        <v>517</v>
      </c>
    </row>
    <row r="106" spans="1:4" x14ac:dyDescent="0.3">
      <c r="A106" s="2">
        <v>45848</v>
      </c>
      <c r="B106" t="s">
        <v>27</v>
      </c>
      <c r="C106">
        <v>4</v>
      </c>
      <c r="D106" t="s">
        <v>518</v>
      </c>
    </row>
    <row r="107" spans="1:4" x14ac:dyDescent="0.3">
      <c r="A107" s="2">
        <v>45868</v>
      </c>
      <c r="B107" t="s">
        <v>27</v>
      </c>
      <c r="C107">
        <v>5</v>
      </c>
      <c r="D107" t="s">
        <v>515</v>
      </c>
    </row>
    <row r="108" spans="1:4" x14ac:dyDescent="0.3">
      <c r="A108" s="2">
        <v>45852</v>
      </c>
      <c r="B108" t="s">
        <v>27</v>
      </c>
      <c r="C108">
        <v>2</v>
      </c>
      <c r="D108" t="s">
        <v>515</v>
      </c>
    </row>
    <row r="109" spans="1:4" x14ac:dyDescent="0.3">
      <c r="A109" s="2">
        <v>45881</v>
      </c>
      <c r="B109" t="s">
        <v>15</v>
      </c>
      <c r="C109">
        <v>3</v>
      </c>
      <c r="D109" t="s">
        <v>515</v>
      </c>
    </row>
    <row r="110" spans="1:4" x14ac:dyDescent="0.3">
      <c r="A110" s="2">
        <v>45878</v>
      </c>
      <c r="B110" t="s">
        <v>9</v>
      </c>
      <c r="C110">
        <v>5</v>
      </c>
      <c r="D110" t="s">
        <v>521</v>
      </c>
    </row>
    <row r="111" spans="1:4" x14ac:dyDescent="0.3">
      <c r="A111" s="2">
        <v>45847</v>
      </c>
      <c r="B111" t="s">
        <v>27</v>
      </c>
      <c r="C111">
        <v>3</v>
      </c>
      <c r="D111" t="s">
        <v>517</v>
      </c>
    </row>
    <row r="112" spans="1:4" x14ac:dyDescent="0.3">
      <c r="A112" s="2">
        <v>45896</v>
      </c>
      <c r="B112" t="s">
        <v>9</v>
      </c>
      <c r="C112">
        <v>5</v>
      </c>
      <c r="D112" t="s">
        <v>518</v>
      </c>
    </row>
    <row r="113" spans="1:4" x14ac:dyDescent="0.3">
      <c r="A113" s="2">
        <v>45880</v>
      </c>
      <c r="B113" t="s">
        <v>15</v>
      </c>
      <c r="C113">
        <v>3</v>
      </c>
      <c r="D113" t="s">
        <v>521</v>
      </c>
    </row>
    <row r="114" spans="1:4" x14ac:dyDescent="0.3">
      <c r="A114" s="2">
        <v>45865</v>
      </c>
      <c r="B114" t="s">
        <v>9</v>
      </c>
      <c r="C114">
        <v>2</v>
      </c>
      <c r="D114" t="s">
        <v>521</v>
      </c>
    </row>
    <row r="115" spans="1:4" x14ac:dyDescent="0.3">
      <c r="A115" s="2">
        <v>45892</v>
      </c>
      <c r="B115" t="s">
        <v>9</v>
      </c>
      <c r="C115">
        <v>4</v>
      </c>
    </row>
    <row r="116" spans="1:4" x14ac:dyDescent="0.3">
      <c r="A116" s="2">
        <v>45868</v>
      </c>
      <c r="B116" t="s">
        <v>27</v>
      </c>
      <c r="C116">
        <v>3</v>
      </c>
      <c r="D116" t="s">
        <v>516</v>
      </c>
    </row>
    <row r="117" spans="1:4" x14ac:dyDescent="0.3">
      <c r="A117" s="2">
        <v>45867</v>
      </c>
      <c r="B117" t="s">
        <v>9</v>
      </c>
      <c r="C117">
        <v>2</v>
      </c>
      <c r="D117" t="s">
        <v>521</v>
      </c>
    </row>
    <row r="118" spans="1:4" x14ac:dyDescent="0.3">
      <c r="A118" s="2">
        <v>45887</v>
      </c>
      <c r="B118" t="s">
        <v>15</v>
      </c>
      <c r="C118">
        <v>2</v>
      </c>
      <c r="D118" t="s">
        <v>521</v>
      </c>
    </row>
    <row r="119" spans="1:4" x14ac:dyDescent="0.3">
      <c r="A119" s="2">
        <v>45887</v>
      </c>
      <c r="B119" t="s">
        <v>9</v>
      </c>
      <c r="C119">
        <v>2</v>
      </c>
    </row>
    <row r="120" spans="1:4" x14ac:dyDescent="0.3">
      <c r="A120" s="2">
        <v>45874</v>
      </c>
      <c r="B120" t="s">
        <v>15</v>
      </c>
      <c r="C120">
        <v>3</v>
      </c>
      <c r="D120" t="s">
        <v>516</v>
      </c>
    </row>
    <row r="121" spans="1:4" x14ac:dyDescent="0.3">
      <c r="A121" s="2">
        <v>45894</v>
      </c>
      <c r="B121" t="s">
        <v>15</v>
      </c>
      <c r="C121">
        <v>4</v>
      </c>
      <c r="D121" t="s">
        <v>515</v>
      </c>
    </row>
    <row r="122" spans="1:4" x14ac:dyDescent="0.3">
      <c r="A122" s="2">
        <v>45884</v>
      </c>
      <c r="B122" t="s">
        <v>27</v>
      </c>
      <c r="C122">
        <v>2</v>
      </c>
      <c r="D122" t="s">
        <v>517</v>
      </c>
    </row>
    <row r="123" spans="1:4" x14ac:dyDescent="0.3">
      <c r="A123" s="2">
        <v>45840</v>
      </c>
      <c r="B123" t="s">
        <v>15</v>
      </c>
      <c r="C123">
        <v>3</v>
      </c>
    </row>
    <row r="124" spans="1:4" x14ac:dyDescent="0.3">
      <c r="A124" s="2">
        <v>45844</v>
      </c>
      <c r="B124" t="s">
        <v>15</v>
      </c>
      <c r="C124">
        <v>4</v>
      </c>
      <c r="D124" t="s">
        <v>516</v>
      </c>
    </row>
    <row r="125" spans="1:4" x14ac:dyDescent="0.3">
      <c r="A125" s="2">
        <v>45880</v>
      </c>
      <c r="B125" t="s">
        <v>9</v>
      </c>
      <c r="C125">
        <v>5</v>
      </c>
      <c r="D125" t="s">
        <v>517</v>
      </c>
    </row>
    <row r="126" spans="1:4" x14ac:dyDescent="0.3">
      <c r="A126" s="2">
        <v>45891</v>
      </c>
      <c r="B126" t="s">
        <v>9</v>
      </c>
      <c r="C126">
        <v>3</v>
      </c>
      <c r="D126" t="s">
        <v>519</v>
      </c>
    </row>
    <row r="127" spans="1:4" x14ac:dyDescent="0.3">
      <c r="A127" s="2">
        <v>45847</v>
      </c>
      <c r="B127" t="s">
        <v>15</v>
      </c>
      <c r="C127">
        <v>2</v>
      </c>
      <c r="D127" t="s">
        <v>521</v>
      </c>
    </row>
    <row r="128" spans="1:4" x14ac:dyDescent="0.3">
      <c r="A128" s="2">
        <v>45854</v>
      </c>
      <c r="B128" t="s">
        <v>9</v>
      </c>
      <c r="C128">
        <v>4</v>
      </c>
      <c r="D128" t="s">
        <v>516</v>
      </c>
    </row>
    <row r="129" spans="1:4" x14ac:dyDescent="0.3">
      <c r="A129" s="2">
        <v>45895</v>
      </c>
      <c r="B129" t="s">
        <v>9</v>
      </c>
      <c r="C129">
        <v>2</v>
      </c>
      <c r="D129" t="s">
        <v>519</v>
      </c>
    </row>
    <row r="130" spans="1:4" x14ac:dyDescent="0.3">
      <c r="A130" s="2">
        <v>45881</v>
      </c>
      <c r="B130" t="s">
        <v>9</v>
      </c>
      <c r="C130">
        <v>3</v>
      </c>
    </row>
    <row r="131" spans="1:4" x14ac:dyDescent="0.3">
      <c r="A131" s="2">
        <v>45862</v>
      </c>
      <c r="B131" t="s">
        <v>27</v>
      </c>
      <c r="C131">
        <v>5</v>
      </c>
      <c r="D131" t="s">
        <v>517</v>
      </c>
    </row>
    <row r="132" spans="1:4" x14ac:dyDescent="0.3">
      <c r="A132" s="2">
        <v>45883</v>
      </c>
      <c r="B132" t="s">
        <v>9</v>
      </c>
      <c r="C132">
        <v>2</v>
      </c>
      <c r="D132" t="s">
        <v>519</v>
      </c>
    </row>
    <row r="133" spans="1:4" x14ac:dyDescent="0.3">
      <c r="A133" s="2">
        <v>45856</v>
      </c>
      <c r="B133" t="s">
        <v>27</v>
      </c>
      <c r="C133">
        <v>2</v>
      </c>
      <c r="D133" t="s">
        <v>515</v>
      </c>
    </row>
    <row r="134" spans="1:4" x14ac:dyDescent="0.3">
      <c r="A134" s="2">
        <v>45840</v>
      </c>
      <c r="B134" t="s">
        <v>27</v>
      </c>
      <c r="C134">
        <v>5</v>
      </c>
      <c r="D134" t="s">
        <v>518</v>
      </c>
    </row>
    <row r="135" spans="1:4" x14ac:dyDescent="0.3">
      <c r="A135" s="2">
        <v>45889</v>
      </c>
      <c r="B135" t="s">
        <v>9</v>
      </c>
      <c r="C135">
        <v>4</v>
      </c>
      <c r="D135" t="s">
        <v>515</v>
      </c>
    </row>
    <row r="136" spans="1:4" x14ac:dyDescent="0.3">
      <c r="A136" s="2">
        <v>45875</v>
      </c>
      <c r="B136" t="s">
        <v>27</v>
      </c>
      <c r="C136">
        <v>4</v>
      </c>
      <c r="D136" t="s">
        <v>517</v>
      </c>
    </row>
    <row r="137" spans="1:4" x14ac:dyDescent="0.3">
      <c r="A137" s="2">
        <v>45841</v>
      </c>
      <c r="B137" t="s">
        <v>15</v>
      </c>
      <c r="C137">
        <v>5</v>
      </c>
      <c r="D137" t="s">
        <v>519</v>
      </c>
    </row>
    <row r="138" spans="1:4" x14ac:dyDescent="0.3">
      <c r="A138" s="2">
        <v>45889</v>
      </c>
      <c r="B138" t="s">
        <v>27</v>
      </c>
      <c r="C138">
        <v>4</v>
      </c>
      <c r="D138" t="s">
        <v>517</v>
      </c>
    </row>
    <row r="139" spans="1:4" x14ac:dyDescent="0.3">
      <c r="A139" s="2">
        <v>45887</v>
      </c>
      <c r="B139" t="s">
        <v>15</v>
      </c>
      <c r="C139">
        <v>4</v>
      </c>
    </row>
    <row r="140" spans="1:4" x14ac:dyDescent="0.3">
      <c r="A140" s="2">
        <v>45887</v>
      </c>
      <c r="B140" t="s">
        <v>9</v>
      </c>
      <c r="C140">
        <v>3</v>
      </c>
      <c r="D140" t="s">
        <v>518</v>
      </c>
    </row>
    <row r="141" spans="1:4" x14ac:dyDescent="0.3">
      <c r="A141" s="2">
        <v>45854</v>
      </c>
      <c r="B141" t="s">
        <v>15</v>
      </c>
      <c r="C141">
        <v>2</v>
      </c>
      <c r="D141" t="s">
        <v>517</v>
      </c>
    </row>
    <row r="142" spans="1:4" x14ac:dyDescent="0.3">
      <c r="A142" s="2">
        <v>45861</v>
      </c>
      <c r="B142" t="s">
        <v>9</v>
      </c>
      <c r="C142">
        <v>2</v>
      </c>
    </row>
    <row r="143" spans="1:4" x14ac:dyDescent="0.3">
      <c r="A143" s="2">
        <v>45840</v>
      </c>
      <c r="B143" t="s">
        <v>27</v>
      </c>
      <c r="C143">
        <v>2</v>
      </c>
      <c r="D143" t="s">
        <v>520</v>
      </c>
    </row>
    <row r="144" spans="1:4" x14ac:dyDescent="0.3">
      <c r="A144" s="2">
        <v>45874</v>
      </c>
      <c r="B144" t="s">
        <v>15</v>
      </c>
      <c r="C144">
        <v>3</v>
      </c>
      <c r="D144" t="s">
        <v>515</v>
      </c>
    </row>
    <row r="145" spans="1:4" x14ac:dyDescent="0.3">
      <c r="A145" s="2">
        <v>45842</v>
      </c>
      <c r="B145" t="s">
        <v>9</v>
      </c>
      <c r="C145">
        <v>5</v>
      </c>
      <c r="D145" t="s">
        <v>521</v>
      </c>
    </row>
    <row r="146" spans="1:4" x14ac:dyDescent="0.3">
      <c r="A146" s="2">
        <v>45870</v>
      </c>
      <c r="B146" t="s">
        <v>27</v>
      </c>
      <c r="C146">
        <v>5</v>
      </c>
      <c r="D146" t="s">
        <v>518</v>
      </c>
    </row>
    <row r="147" spans="1:4" x14ac:dyDescent="0.3">
      <c r="A147" s="2">
        <v>45865</v>
      </c>
      <c r="B147" t="s">
        <v>27</v>
      </c>
      <c r="C147">
        <v>4</v>
      </c>
      <c r="D147" t="s">
        <v>517</v>
      </c>
    </row>
    <row r="148" spans="1:4" x14ac:dyDescent="0.3">
      <c r="A148" s="2">
        <v>45887</v>
      </c>
      <c r="B148" t="s">
        <v>9</v>
      </c>
      <c r="C148">
        <v>2</v>
      </c>
      <c r="D148" t="s">
        <v>515</v>
      </c>
    </row>
    <row r="149" spans="1:4" x14ac:dyDescent="0.3">
      <c r="A149" s="2">
        <v>45860</v>
      </c>
      <c r="B149" t="s">
        <v>9</v>
      </c>
      <c r="C149">
        <v>2</v>
      </c>
      <c r="D149" t="s">
        <v>516</v>
      </c>
    </row>
    <row r="150" spans="1:4" x14ac:dyDescent="0.3">
      <c r="A150" s="2">
        <v>45845</v>
      </c>
      <c r="B150" t="s">
        <v>15</v>
      </c>
      <c r="C150">
        <v>4</v>
      </c>
      <c r="D150" t="s">
        <v>519</v>
      </c>
    </row>
    <row r="151" spans="1:4" x14ac:dyDescent="0.3">
      <c r="A151" s="2">
        <v>45870</v>
      </c>
      <c r="B151" t="s">
        <v>27</v>
      </c>
      <c r="C151">
        <v>5</v>
      </c>
    </row>
    <row r="152" spans="1:4" x14ac:dyDescent="0.3">
      <c r="A152" s="2">
        <v>45874</v>
      </c>
      <c r="B152" t="s">
        <v>27</v>
      </c>
      <c r="C152">
        <v>4</v>
      </c>
      <c r="D152" t="s">
        <v>519</v>
      </c>
    </row>
    <row r="153" spans="1:4" x14ac:dyDescent="0.3">
      <c r="A153" s="2">
        <v>45862</v>
      </c>
      <c r="B153" t="s">
        <v>15</v>
      </c>
      <c r="C153">
        <v>4</v>
      </c>
      <c r="D153" t="s">
        <v>520</v>
      </c>
    </row>
    <row r="154" spans="1:4" x14ac:dyDescent="0.3">
      <c r="A154" s="2">
        <v>45857</v>
      </c>
      <c r="B154" t="s">
        <v>9</v>
      </c>
      <c r="C154">
        <v>3</v>
      </c>
      <c r="D154" t="s">
        <v>515</v>
      </c>
    </row>
    <row r="155" spans="1:4" x14ac:dyDescent="0.3">
      <c r="A155" s="2">
        <v>45839</v>
      </c>
      <c r="B155" t="s">
        <v>15</v>
      </c>
      <c r="C155">
        <v>2</v>
      </c>
      <c r="D155" t="s">
        <v>521</v>
      </c>
    </row>
    <row r="156" spans="1:4" x14ac:dyDescent="0.3">
      <c r="A156" s="2">
        <v>45891</v>
      </c>
      <c r="B156" t="s">
        <v>15</v>
      </c>
      <c r="C156">
        <v>2</v>
      </c>
      <c r="D156" t="s">
        <v>518</v>
      </c>
    </row>
    <row r="157" spans="1:4" x14ac:dyDescent="0.3">
      <c r="A157" s="2">
        <v>45839</v>
      </c>
      <c r="B157" t="s">
        <v>9</v>
      </c>
      <c r="C157">
        <v>5</v>
      </c>
      <c r="D157" t="s">
        <v>519</v>
      </c>
    </row>
    <row r="158" spans="1:4" x14ac:dyDescent="0.3">
      <c r="A158" s="2">
        <v>45849</v>
      </c>
      <c r="B158" t="s">
        <v>27</v>
      </c>
      <c r="C158">
        <v>3</v>
      </c>
      <c r="D158" t="s">
        <v>516</v>
      </c>
    </row>
    <row r="159" spans="1:4" x14ac:dyDescent="0.3">
      <c r="A159" s="2">
        <v>45886</v>
      </c>
      <c r="B159" t="s">
        <v>27</v>
      </c>
      <c r="C159">
        <v>3</v>
      </c>
      <c r="D159" t="s">
        <v>519</v>
      </c>
    </row>
    <row r="160" spans="1:4" x14ac:dyDescent="0.3">
      <c r="A160" s="2">
        <v>45848</v>
      </c>
      <c r="B160" t="s">
        <v>27</v>
      </c>
      <c r="C160">
        <v>3</v>
      </c>
      <c r="D160" t="s">
        <v>516</v>
      </c>
    </row>
    <row r="161" spans="1:4" x14ac:dyDescent="0.3">
      <c r="A161" s="2">
        <v>45875</v>
      </c>
      <c r="B161" t="s">
        <v>15</v>
      </c>
      <c r="C161">
        <v>2</v>
      </c>
      <c r="D161" t="s">
        <v>517</v>
      </c>
    </row>
    <row r="162" spans="1:4" x14ac:dyDescent="0.3">
      <c r="A162" s="2">
        <v>45888</v>
      </c>
      <c r="B162" t="s">
        <v>27</v>
      </c>
      <c r="C162">
        <v>5</v>
      </c>
      <c r="D162" t="s">
        <v>517</v>
      </c>
    </row>
    <row r="163" spans="1:4" x14ac:dyDescent="0.3">
      <c r="A163" s="2">
        <v>45896</v>
      </c>
      <c r="B163" t="s">
        <v>9</v>
      </c>
      <c r="C163">
        <v>2</v>
      </c>
      <c r="D163" t="s">
        <v>516</v>
      </c>
    </row>
    <row r="164" spans="1:4" x14ac:dyDescent="0.3">
      <c r="A164" s="2">
        <v>45851</v>
      </c>
      <c r="B164" t="s">
        <v>27</v>
      </c>
      <c r="C164">
        <v>4</v>
      </c>
      <c r="D164" t="s">
        <v>519</v>
      </c>
    </row>
    <row r="165" spans="1:4" x14ac:dyDescent="0.3">
      <c r="A165" s="2">
        <v>45869</v>
      </c>
      <c r="B165" t="s">
        <v>15</v>
      </c>
      <c r="C165">
        <v>4</v>
      </c>
      <c r="D165" t="s">
        <v>518</v>
      </c>
    </row>
    <row r="166" spans="1:4" x14ac:dyDescent="0.3">
      <c r="A166" s="2">
        <v>45882</v>
      </c>
      <c r="B166" t="s">
        <v>15</v>
      </c>
      <c r="C166">
        <v>3</v>
      </c>
      <c r="D166" t="s">
        <v>517</v>
      </c>
    </row>
    <row r="167" spans="1:4" x14ac:dyDescent="0.3">
      <c r="A167" s="2">
        <v>45858</v>
      </c>
      <c r="B167" t="s">
        <v>27</v>
      </c>
      <c r="C167">
        <v>2</v>
      </c>
      <c r="D167" t="s">
        <v>515</v>
      </c>
    </row>
    <row r="168" spans="1:4" x14ac:dyDescent="0.3">
      <c r="A168" s="2">
        <v>45849</v>
      </c>
      <c r="B168" t="s">
        <v>27</v>
      </c>
      <c r="C168">
        <v>5</v>
      </c>
      <c r="D168" t="s">
        <v>520</v>
      </c>
    </row>
    <row r="169" spans="1:4" x14ac:dyDescent="0.3">
      <c r="A169" s="2">
        <v>45869</v>
      </c>
      <c r="B169" t="s">
        <v>15</v>
      </c>
      <c r="C169">
        <v>2</v>
      </c>
      <c r="D169" t="s">
        <v>518</v>
      </c>
    </row>
    <row r="170" spans="1:4" x14ac:dyDescent="0.3">
      <c r="A170" s="2">
        <v>45859</v>
      </c>
      <c r="B170" t="s">
        <v>15</v>
      </c>
      <c r="C170">
        <v>4</v>
      </c>
      <c r="D170" t="s">
        <v>520</v>
      </c>
    </row>
    <row r="171" spans="1:4" x14ac:dyDescent="0.3">
      <c r="A171" s="2">
        <v>45864</v>
      </c>
      <c r="B171" t="s">
        <v>27</v>
      </c>
      <c r="C171">
        <v>2</v>
      </c>
      <c r="D171" t="s">
        <v>515</v>
      </c>
    </row>
    <row r="172" spans="1:4" x14ac:dyDescent="0.3">
      <c r="A172" s="2">
        <v>45868</v>
      </c>
      <c r="B172" t="s">
        <v>9</v>
      </c>
      <c r="C172">
        <v>2</v>
      </c>
      <c r="D172" t="s">
        <v>521</v>
      </c>
    </row>
    <row r="173" spans="1:4" x14ac:dyDescent="0.3">
      <c r="A173" s="2">
        <v>45870</v>
      </c>
      <c r="B173" t="s">
        <v>27</v>
      </c>
      <c r="C173">
        <v>2</v>
      </c>
      <c r="D173" t="s">
        <v>521</v>
      </c>
    </row>
    <row r="174" spans="1:4" x14ac:dyDescent="0.3">
      <c r="A174" s="2">
        <v>45873</v>
      </c>
      <c r="B174" t="s">
        <v>15</v>
      </c>
      <c r="C174">
        <v>2</v>
      </c>
      <c r="D174" t="s">
        <v>519</v>
      </c>
    </row>
    <row r="175" spans="1:4" x14ac:dyDescent="0.3">
      <c r="A175" s="2">
        <v>45864</v>
      </c>
      <c r="B175" t="s">
        <v>27</v>
      </c>
      <c r="C175">
        <v>2</v>
      </c>
      <c r="D175" t="s">
        <v>516</v>
      </c>
    </row>
    <row r="176" spans="1:4" x14ac:dyDescent="0.3">
      <c r="A176" s="2">
        <v>45882</v>
      </c>
      <c r="B176" t="s">
        <v>9</v>
      </c>
      <c r="C176">
        <v>3</v>
      </c>
      <c r="D176" t="s">
        <v>517</v>
      </c>
    </row>
    <row r="177" spans="1:4" x14ac:dyDescent="0.3">
      <c r="A177" s="2">
        <v>45883</v>
      </c>
      <c r="B177" t="s">
        <v>27</v>
      </c>
      <c r="C177">
        <v>3</v>
      </c>
      <c r="D177" t="s">
        <v>517</v>
      </c>
    </row>
    <row r="178" spans="1:4" x14ac:dyDescent="0.3">
      <c r="A178" s="2">
        <v>45840</v>
      </c>
      <c r="B178" t="s">
        <v>27</v>
      </c>
      <c r="C178">
        <v>3</v>
      </c>
      <c r="D178" t="s">
        <v>515</v>
      </c>
    </row>
    <row r="179" spans="1:4" x14ac:dyDescent="0.3">
      <c r="A179" s="2">
        <v>45858</v>
      </c>
      <c r="B179" t="s">
        <v>15</v>
      </c>
      <c r="C179">
        <v>4</v>
      </c>
      <c r="D179" t="s">
        <v>517</v>
      </c>
    </row>
    <row r="180" spans="1:4" x14ac:dyDescent="0.3">
      <c r="A180" s="2">
        <v>45895</v>
      </c>
      <c r="B180" t="s">
        <v>9</v>
      </c>
      <c r="C180">
        <v>4</v>
      </c>
      <c r="D180" t="s">
        <v>517</v>
      </c>
    </row>
    <row r="181" spans="1:4" x14ac:dyDescent="0.3">
      <c r="A181" s="2">
        <v>45841</v>
      </c>
      <c r="B181" t="s">
        <v>27</v>
      </c>
      <c r="C181">
        <v>3</v>
      </c>
      <c r="D181" t="s">
        <v>520</v>
      </c>
    </row>
    <row r="182" spans="1:4" x14ac:dyDescent="0.3">
      <c r="A182" s="2">
        <v>45851</v>
      </c>
      <c r="B182" t="s">
        <v>27</v>
      </c>
      <c r="C182">
        <v>4</v>
      </c>
      <c r="D182" t="s">
        <v>517</v>
      </c>
    </row>
    <row r="183" spans="1:4" x14ac:dyDescent="0.3">
      <c r="A183" s="2">
        <v>45843</v>
      </c>
      <c r="B183" t="s">
        <v>15</v>
      </c>
      <c r="C183">
        <v>2</v>
      </c>
      <c r="D183" t="s">
        <v>515</v>
      </c>
    </row>
    <row r="184" spans="1:4" x14ac:dyDescent="0.3">
      <c r="A184" s="2">
        <v>45894</v>
      </c>
      <c r="B184" t="s">
        <v>15</v>
      </c>
      <c r="C184">
        <v>5</v>
      </c>
      <c r="D184" t="s">
        <v>520</v>
      </c>
    </row>
    <row r="185" spans="1:4" x14ac:dyDescent="0.3">
      <c r="A185" s="2">
        <v>45841</v>
      </c>
      <c r="B185" t="s">
        <v>15</v>
      </c>
      <c r="C185">
        <v>5</v>
      </c>
      <c r="D185" t="s">
        <v>515</v>
      </c>
    </row>
    <row r="186" spans="1:4" x14ac:dyDescent="0.3">
      <c r="A186" s="2">
        <v>45873</v>
      </c>
      <c r="B186" t="s">
        <v>27</v>
      </c>
      <c r="C186">
        <v>3</v>
      </c>
      <c r="D186" t="s">
        <v>519</v>
      </c>
    </row>
    <row r="187" spans="1:4" x14ac:dyDescent="0.3">
      <c r="A187" s="2">
        <v>45866</v>
      </c>
      <c r="B187" t="s">
        <v>15</v>
      </c>
      <c r="C187">
        <v>3</v>
      </c>
    </row>
    <row r="188" spans="1:4" x14ac:dyDescent="0.3">
      <c r="A188" s="2">
        <v>45862</v>
      </c>
      <c r="B188" t="s">
        <v>9</v>
      </c>
      <c r="C188">
        <v>4</v>
      </c>
      <c r="D188" t="s">
        <v>520</v>
      </c>
    </row>
    <row r="189" spans="1:4" x14ac:dyDescent="0.3">
      <c r="A189" s="2">
        <v>45879</v>
      </c>
      <c r="B189" t="s">
        <v>9</v>
      </c>
      <c r="C189">
        <v>5</v>
      </c>
    </row>
    <row r="190" spans="1:4" x14ac:dyDescent="0.3">
      <c r="A190" s="2">
        <v>45847</v>
      </c>
      <c r="B190" t="s">
        <v>15</v>
      </c>
      <c r="C190">
        <v>5</v>
      </c>
      <c r="D190" t="s">
        <v>515</v>
      </c>
    </row>
    <row r="191" spans="1:4" x14ac:dyDescent="0.3">
      <c r="A191" s="2">
        <v>45879</v>
      </c>
      <c r="B191" t="s">
        <v>27</v>
      </c>
      <c r="C191">
        <v>3</v>
      </c>
    </row>
    <row r="192" spans="1:4" x14ac:dyDescent="0.3">
      <c r="A192" s="2">
        <v>45876</v>
      </c>
      <c r="B192" t="s">
        <v>9</v>
      </c>
      <c r="C192">
        <v>4</v>
      </c>
      <c r="D192" t="s">
        <v>520</v>
      </c>
    </row>
    <row r="193" spans="1:4" x14ac:dyDescent="0.3">
      <c r="A193" s="2">
        <v>45891</v>
      </c>
      <c r="B193" t="s">
        <v>15</v>
      </c>
      <c r="C193">
        <v>4</v>
      </c>
      <c r="D193" t="s">
        <v>518</v>
      </c>
    </row>
    <row r="194" spans="1:4" x14ac:dyDescent="0.3">
      <c r="A194" s="2">
        <v>45876</v>
      </c>
      <c r="B194" t="s">
        <v>15</v>
      </c>
      <c r="C194">
        <v>3</v>
      </c>
    </row>
    <row r="195" spans="1:4" x14ac:dyDescent="0.3">
      <c r="A195" s="2">
        <v>45869</v>
      </c>
      <c r="B195" t="s">
        <v>9</v>
      </c>
      <c r="C195">
        <v>3</v>
      </c>
    </row>
    <row r="196" spans="1:4" x14ac:dyDescent="0.3">
      <c r="A196" s="2">
        <v>45866</v>
      </c>
      <c r="B196" t="s">
        <v>27</v>
      </c>
      <c r="C196">
        <v>5</v>
      </c>
      <c r="D196" t="s">
        <v>518</v>
      </c>
    </row>
    <row r="197" spans="1:4" x14ac:dyDescent="0.3">
      <c r="A197" s="2">
        <v>45895</v>
      </c>
      <c r="B197" t="s">
        <v>27</v>
      </c>
      <c r="C197">
        <v>3</v>
      </c>
      <c r="D197" t="s">
        <v>517</v>
      </c>
    </row>
    <row r="198" spans="1:4" x14ac:dyDescent="0.3">
      <c r="A198" s="2">
        <v>45863</v>
      </c>
      <c r="B198" t="s">
        <v>9</v>
      </c>
      <c r="C198">
        <v>3</v>
      </c>
      <c r="D198" t="s">
        <v>519</v>
      </c>
    </row>
    <row r="199" spans="1:4" x14ac:dyDescent="0.3">
      <c r="A199" s="2">
        <v>45890</v>
      </c>
      <c r="B199" t="s">
        <v>9</v>
      </c>
      <c r="C199">
        <v>2</v>
      </c>
      <c r="D199" t="s">
        <v>521</v>
      </c>
    </row>
    <row r="200" spans="1:4" x14ac:dyDescent="0.3">
      <c r="A200" s="2">
        <v>45894</v>
      </c>
      <c r="B200" t="s">
        <v>15</v>
      </c>
      <c r="C200">
        <v>4</v>
      </c>
      <c r="D200" t="s">
        <v>515</v>
      </c>
    </row>
    <row r="201" spans="1:4" x14ac:dyDescent="0.3">
      <c r="A201" s="2">
        <v>45856</v>
      </c>
      <c r="B201" t="s">
        <v>27</v>
      </c>
      <c r="C201">
        <v>4</v>
      </c>
      <c r="D201" t="s">
        <v>518</v>
      </c>
    </row>
    <row r="202" spans="1:4" x14ac:dyDescent="0.3">
      <c r="A202" s="2">
        <v>45896</v>
      </c>
      <c r="B202" t="s">
        <v>27</v>
      </c>
      <c r="C202">
        <v>4</v>
      </c>
      <c r="D202" t="s">
        <v>515</v>
      </c>
    </row>
    <row r="203" spans="1:4" x14ac:dyDescent="0.3">
      <c r="A203" s="2">
        <v>45893</v>
      </c>
      <c r="B203" t="s">
        <v>27</v>
      </c>
      <c r="C203">
        <v>5</v>
      </c>
      <c r="D203" t="s">
        <v>519</v>
      </c>
    </row>
    <row r="204" spans="1:4" x14ac:dyDescent="0.3">
      <c r="A204" s="2">
        <v>45856</v>
      </c>
      <c r="B204" t="s">
        <v>15</v>
      </c>
      <c r="C204">
        <v>2</v>
      </c>
      <c r="D204" t="s">
        <v>517</v>
      </c>
    </row>
    <row r="205" spans="1:4" x14ac:dyDescent="0.3">
      <c r="A205" s="2">
        <v>45844</v>
      </c>
      <c r="B205" t="s">
        <v>27</v>
      </c>
      <c r="C205">
        <v>3</v>
      </c>
    </row>
    <row r="206" spans="1:4" x14ac:dyDescent="0.3">
      <c r="A206" s="2">
        <v>45890</v>
      </c>
      <c r="B206" t="s">
        <v>15</v>
      </c>
      <c r="C206">
        <v>2</v>
      </c>
      <c r="D206" t="s">
        <v>518</v>
      </c>
    </row>
    <row r="207" spans="1:4" x14ac:dyDescent="0.3">
      <c r="A207" s="2">
        <v>45858</v>
      </c>
      <c r="B207" t="s">
        <v>27</v>
      </c>
      <c r="C207">
        <v>4</v>
      </c>
      <c r="D207" t="s">
        <v>515</v>
      </c>
    </row>
    <row r="208" spans="1:4" x14ac:dyDescent="0.3">
      <c r="A208" s="2">
        <v>45870</v>
      </c>
      <c r="B208" t="s">
        <v>27</v>
      </c>
      <c r="C208">
        <v>2</v>
      </c>
      <c r="D208" t="s">
        <v>515</v>
      </c>
    </row>
    <row r="209" spans="1:4" x14ac:dyDescent="0.3">
      <c r="A209" s="2">
        <v>45895</v>
      </c>
      <c r="B209" t="s">
        <v>9</v>
      </c>
      <c r="C209">
        <v>3</v>
      </c>
      <c r="D209" t="s">
        <v>517</v>
      </c>
    </row>
    <row r="210" spans="1:4" x14ac:dyDescent="0.3">
      <c r="A210" s="2">
        <v>45890</v>
      </c>
      <c r="B210" t="s">
        <v>15</v>
      </c>
      <c r="C210">
        <v>2</v>
      </c>
      <c r="D210" t="s">
        <v>518</v>
      </c>
    </row>
    <row r="211" spans="1:4" x14ac:dyDescent="0.3">
      <c r="A211" s="2">
        <v>45877</v>
      </c>
      <c r="B211" t="s">
        <v>9</v>
      </c>
      <c r="C211">
        <v>2</v>
      </c>
      <c r="D211" t="s">
        <v>518</v>
      </c>
    </row>
    <row r="212" spans="1:4" x14ac:dyDescent="0.3">
      <c r="A212" s="2">
        <v>45868</v>
      </c>
      <c r="B212" t="s">
        <v>15</v>
      </c>
      <c r="C212">
        <v>3</v>
      </c>
      <c r="D212" t="s">
        <v>515</v>
      </c>
    </row>
    <row r="213" spans="1:4" x14ac:dyDescent="0.3">
      <c r="A213" s="2">
        <v>45881</v>
      </c>
      <c r="B213" t="s">
        <v>9</v>
      </c>
      <c r="C213">
        <v>5</v>
      </c>
      <c r="D213" t="s">
        <v>518</v>
      </c>
    </row>
    <row r="214" spans="1:4" x14ac:dyDescent="0.3">
      <c r="A214" s="2">
        <v>45855</v>
      </c>
      <c r="B214" t="s">
        <v>9</v>
      </c>
      <c r="C214">
        <v>4</v>
      </c>
      <c r="D214" t="s">
        <v>521</v>
      </c>
    </row>
    <row r="215" spans="1:4" x14ac:dyDescent="0.3">
      <c r="A215" s="2">
        <v>45896</v>
      </c>
      <c r="B215" t="s">
        <v>27</v>
      </c>
      <c r="C215">
        <v>5</v>
      </c>
      <c r="D215" t="s">
        <v>519</v>
      </c>
    </row>
    <row r="216" spans="1:4" x14ac:dyDescent="0.3">
      <c r="A216" s="2">
        <v>45867</v>
      </c>
      <c r="B216" t="s">
        <v>27</v>
      </c>
      <c r="C216">
        <v>3</v>
      </c>
    </row>
    <row r="217" spans="1:4" x14ac:dyDescent="0.3">
      <c r="A217" s="2">
        <v>45894</v>
      </c>
      <c r="B217" t="s">
        <v>15</v>
      </c>
      <c r="C217">
        <v>2</v>
      </c>
      <c r="D217" t="s">
        <v>515</v>
      </c>
    </row>
    <row r="218" spans="1:4" x14ac:dyDescent="0.3">
      <c r="A218" s="2">
        <v>45897</v>
      </c>
      <c r="B218" t="s">
        <v>15</v>
      </c>
      <c r="C218">
        <v>3</v>
      </c>
      <c r="D218" t="s">
        <v>517</v>
      </c>
    </row>
    <row r="219" spans="1:4" x14ac:dyDescent="0.3">
      <c r="A219" s="2">
        <v>45887</v>
      </c>
      <c r="B219" t="s">
        <v>27</v>
      </c>
      <c r="C219">
        <v>4</v>
      </c>
      <c r="D219" t="s">
        <v>517</v>
      </c>
    </row>
    <row r="220" spans="1:4" x14ac:dyDescent="0.3">
      <c r="A220" s="2">
        <v>45862</v>
      </c>
      <c r="B220" t="s">
        <v>15</v>
      </c>
      <c r="C220">
        <v>4</v>
      </c>
      <c r="D220" t="s">
        <v>515</v>
      </c>
    </row>
    <row r="221" spans="1:4" x14ac:dyDescent="0.3">
      <c r="A221" s="2">
        <v>45847</v>
      </c>
      <c r="B221" t="s">
        <v>9</v>
      </c>
      <c r="C221">
        <v>4</v>
      </c>
      <c r="D221" t="s">
        <v>520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Orders</vt:lpstr>
      <vt:lpstr>OrderLines</vt:lpstr>
      <vt:lpstr>pivot charts</vt:lpstr>
      <vt:lpstr>Dashboard</vt:lpstr>
      <vt:lpstr>Day 2 Ans</vt:lpstr>
      <vt:lpstr>Day 4 Ans</vt:lpstr>
      <vt:lpstr>Daily Summary</vt:lpstr>
      <vt:lpstr>Menu (Day 6 Ans)</vt:lpstr>
      <vt:lpstr>Staff</vt:lpstr>
      <vt:lpstr>Inventory</vt:lpstr>
      <vt:lpstr>Suppliers</vt:lpstr>
      <vt:lpstr>WasteLog</vt:lpstr>
      <vt:lpstr>Feedback</vt:lpstr>
      <vt:lpstr>'Menu (Day 6 Ans)'!Category</vt:lpstr>
      <vt:lpstr>Category</vt:lpstr>
      <vt:lpstr>ItemName</vt:lpstr>
      <vt:lpstr>OrderID</vt:lpstr>
      <vt:lpstr>Qty</vt:lpstr>
      <vt:lpstr>'Menu (Day 6 Ans)'!SKU</vt:lpstr>
      <vt:lpstr>SKU</vt:lpstr>
      <vt:lpstr>SupplierID</vt:lpstr>
      <vt:lpstr>'Menu (Day 6 Ans)'!UnitCost</vt:lpstr>
      <vt:lpstr>UnitCost</vt:lpstr>
      <vt:lpstr>'Menu (Day 6 Ans)'!UnitPrice</vt:lpstr>
      <vt:lpstr>UnitPrice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dc:creator>
  <cp:lastModifiedBy>shibi patel</cp:lastModifiedBy>
  <dcterms:created xsi:type="dcterms:W3CDTF">2026-06-17T12:42:05Z</dcterms:created>
  <dcterms:modified xsi:type="dcterms:W3CDTF">2026-08-11T06:07:19Z</dcterms:modified>
</cp:coreProperties>
</file>